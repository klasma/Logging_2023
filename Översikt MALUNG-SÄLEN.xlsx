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45791</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12426-2025</t>
        </is>
      </c>
      <c r="B7" s="1" t="n">
        <v>45730</v>
      </c>
      <c r="C7" s="1" t="n">
        <v>45791</v>
      </c>
      <c r="D7" t="inlineStr">
        <is>
          <t>DALARNAS LÄN</t>
        </is>
      </c>
      <c r="E7" t="inlineStr">
        <is>
          <t>MALUNG-SÄLEN</t>
        </is>
      </c>
      <c r="G7" t="n">
        <v>71.59999999999999</v>
      </c>
      <c r="H7" t="n">
        <v>2</v>
      </c>
      <c r="I7" t="n">
        <v>2</v>
      </c>
      <c r="J7" t="n">
        <v>8</v>
      </c>
      <c r="K7" t="n">
        <v>1</v>
      </c>
      <c r="L7" t="n">
        <v>0</v>
      </c>
      <c r="M7" t="n">
        <v>0</v>
      </c>
      <c r="N7" t="n">
        <v>0</v>
      </c>
      <c r="O7" t="n">
        <v>9</v>
      </c>
      <c r="P7" t="n">
        <v>1</v>
      </c>
      <c r="Q7" t="n">
        <v>12</v>
      </c>
      <c r="R7" s="2" t="inlineStr">
        <is>
          <t>Knärot
Garnlav
Kolflarnlav
Lunglav
Mörk kolflarnlav
Skrovellav
Vedflamlav
Vedskivlav
Violettgrå tagellav
Norrlandslav
Nästlav
Tjäder</t>
        </is>
      </c>
      <c r="S7">
        <f>HYPERLINK("https://klasma.github.io/Logging_202023/artfynd/A 12426-2025 artfynd.xlsx", "A 12426-2025")</f>
        <v/>
      </c>
      <c r="T7">
        <f>HYPERLINK("https://klasma.github.io/Logging_202023/kartor/A 12426-2025 karta.png", "A 12426-2025")</f>
        <v/>
      </c>
      <c r="U7">
        <f>HYPERLINK("https://klasma.github.io/Logging_202023/knärot/A 12426-2025 karta knärot.png", "A 12426-2025")</f>
        <v/>
      </c>
      <c r="V7">
        <f>HYPERLINK("https://klasma.github.io/Logging_202023/klagomål/A 12426-2025 FSC-klagomål.docx", "A 12426-2025")</f>
        <v/>
      </c>
      <c r="W7">
        <f>HYPERLINK("https://klasma.github.io/Logging_202023/klagomålsmail/A 12426-2025 FSC-klagomål mail.docx", "A 12426-2025")</f>
        <v/>
      </c>
      <c r="X7">
        <f>HYPERLINK("https://klasma.github.io/Logging_202023/tillsyn/A 12426-2025 tillsynsbegäran.docx", "A 12426-2025")</f>
        <v/>
      </c>
      <c r="Y7">
        <f>HYPERLINK("https://klasma.github.io/Logging_202023/tillsynsmail/A 12426-2025 tillsynsbegäran mail.docx", "A 12426-2025")</f>
        <v/>
      </c>
      <c r="Z7">
        <f>HYPERLINK("https://klasma.github.io/Logging_202023/fåglar/A 12426-2025 prioriterade fågelarter.docx", "A 12426-2025")</f>
        <v/>
      </c>
    </row>
    <row r="8" ht="15" customHeight="1">
      <c r="A8" t="inlineStr">
        <is>
          <t>A 30281-2019</t>
        </is>
      </c>
      <c r="B8" s="1" t="n">
        <v>43633</v>
      </c>
      <c r="C8" s="1" t="n">
        <v>45791</v>
      </c>
      <c r="D8" t="inlineStr">
        <is>
          <t>DALARNAS LÄN</t>
        </is>
      </c>
      <c r="E8" t="inlineStr">
        <is>
          <t>MALUNG-SÄLEN</t>
        </is>
      </c>
      <c r="G8" t="n">
        <v>12.9</v>
      </c>
      <c r="H8" t="n">
        <v>1</v>
      </c>
      <c r="I8" t="n">
        <v>2</v>
      </c>
      <c r="J8" t="n">
        <v>9</v>
      </c>
      <c r="K8" t="n">
        <v>0</v>
      </c>
      <c r="L8" t="n">
        <v>0</v>
      </c>
      <c r="M8" t="n">
        <v>0</v>
      </c>
      <c r="N8" t="n">
        <v>0</v>
      </c>
      <c r="O8" t="n">
        <v>9</v>
      </c>
      <c r="P8" t="n">
        <v>0</v>
      </c>
      <c r="Q8" t="n">
        <v>11</v>
      </c>
      <c r="R8" s="2" t="inlineStr">
        <is>
          <t>Gammelgransskål
Garnlav
Granticka
Lunglav
Skrovellav
Tretåig hackspett
Ullticka
Violettgrå tagellav
Vitgrynig nållav
Bronshjon
Stuplav</t>
        </is>
      </c>
      <c r="S8">
        <f>HYPERLINK("https://klasma.github.io/Logging_2023/artfynd/A 30281-2019 artfynd.xlsx", "A 30281-2019")</f>
        <v/>
      </c>
      <c r="T8">
        <f>HYPERLINK("https://klasma.github.io/Logging_2023/kartor/A 30281-2019 karta.png", "A 30281-2019")</f>
        <v/>
      </c>
      <c r="V8">
        <f>HYPERLINK("https://klasma.github.io/Logging_2023/klagomål/A 30281-2019 FSC-klagomål.docx", "A 30281-2019")</f>
        <v/>
      </c>
      <c r="W8">
        <f>HYPERLINK("https://klasma.github.io/Logging_2023/klagomålsmail/A 30281-2019 FSC-klagomål mail.docx", "A 30281-2019")</f>
        <v/>
      </c>
      <c r="X8">
        <f>HYPERLINK("https://klasma.github.io/Logging_2023/tillsyn/A 30281-2019 tillsynsbegäran.docx", "A 30281-2019")</f>
        <v/>
      </c>
      <c r="Y8">
        <f>HYPERLINK("https://klasma.github.io/Logging_2023/tillsynsmail/A 30281-2019 tillsynsbegäran mail.docx", "A 30281-2019")</f>
        <v/>
      </c>
      <c r="Z8">
        <f>HYPERLINK("https://klasma.github.io/Logging_2023/fåglar/A 30281-2019 prioriterade fågelarter.docx", "A 30281-2019")</f>
        <v/>
      </c>
    </row>
    <row r="9" ht="15" customHeight="1">
      <c r="A9" t="inlineStr">
        <is>
          <t>A 62314-2019</t>
        </is>
      </c>
      <c r="B9" s="1" t="n">
        <v>43788</v>
      </c>
      <c r="C9" s="1" t="n">
        <v>45791</v>
      </c>
      <c r="D9" t="inlineStr">
        <is>
          <t>DALARNAS LÄN</t>
        </is>
      </c>
      <c r="E9" t="inlineStr">
        <is>
          <t>MALUNG-SÄLEN</t>
        </is>
      </c>
      <c r="G9" t="n">
        <v>4</v>
      </c>
      <c r="H9" t="n">
        <v>2</v>
      </c>
      <c r="I9" t="n">
        <v>5</v>
      </c>
      <c r="J9" t="n">
        <v>6</v>
      </c>
      <c r="K9" t="n">
        <v>0</v>
      </c>
      <c r="L9" t="n">
        <v>0</v>
      </c>
      <c r="M9" t="n">
        <v>0</v>
      </c>
      <c r="N9" t="n">
        <v>0</v>
      </c>
      <c r="O9" t="n">
        <v>6</v>
      </c>
      <c r="P9" t="n">
        <v>0</v>
      </c>
      <c r="Q9" t="n">
        <v>11</v>
      </c>
      <c r="R9" s="2" t="inlineStr">
        <is>
          <t>Brunpudrad nållav
Garnlav
Järpe
Kolflarnlav
Lunglav
Tretåig hackspett
Bronshjon
Bårdlav
Gulnål
Rödgul trumpetsvamp
Skuggblåslav</t>
        </is>
      </c>
      <c r="S9">
        <f>HYPERLINK("https://klasma.github.io/Logging_2023/artfynd/A 62314-2019 artfynd.xlsx", "A 62314-2019")</f>
        <v/>
      </c>
      <c r="T9">
        <f>HYPERLINK("https://klasma.github.io/Logging_2023/kartor/A 62314-2019 karta.png", "A 62314-2019")</f>
        <v/>
      </c>
      <c r="V9">
        <f>HYPERLINK("https://klasma.github.io/Logging_2023/klagomål/A 62314-2019 FSC-klagomål.docx", "A 62314-2019")</f>
        <v/>
      </c>
      <c r="W9">
        <f>HYPERLINK("https://klasma.github.io/Logging_2023/klagomålsmail/A 62314-2019 FSC-klagomål mail.docx", "A 62314-2019")</f>
        <v/>
      </c>
      <c r="X9">
        <f>HYPERLINK("https://klasma.github.io/Logging_2023/tillsyn/A 62314-2019 tillsynsbegäran.docx", "A 62314-2019")</f>
        <v/>
      </c>
      <c r="Y9">
        <f>HYPERLINK("https://klasma.github.io/Logging_2023/tillsynsmail/A 62314-2019 tillsynsbegäran mail.docx", "A 62314-2019")</f>
        <v/>
      </c>
      <c r="Z9">
        <f>HYPERLINK("https://klasma.github.io/Logging_2023/fåglar/A 62314-2019 prioriterade fågelarter.docx", "A 62314-2019")</f>
        <v/>
      </c>
    </row>
    <row r="10" ht="15" customHeight="1">
      <c r="A10" t="inlineStr">
        <is>
          <t>A 62103-2022</t>
        </is>
      </c>
      <c r="B10" s="1" t="n">
        <v>44920</v>
      </c>
      <c r="C10" s="1" t="n">
        <v>45791</v>
      </c>
      <c r="D10" t="inlineStr">
        <is>
          <t>DALARNAS LÄN</t>
        </is>
      </c>
      <c r="E10" t="inlineStr">
        <is>
          <t>MALUNG-SÄLEN</t>
        </is>
      </c>
      <c r="G10" t="n">
        <v>4.1</v>
      </c>
      <c r="H10" t="n">
        <v>1</v>
      </c>
      <c r="I10" t="n">
        <v>3</v>
      </c>
      <c r="J10" t="n">
        <v>7</v>
      </c>
      <c r="K10" t="n">
        <v>1</v>
      </c>
      <c r="L10" t="n">
        <v>0</v>
      </c>
      <c r="M10" t="n">
        <v>0</v>
      </c>
      <c r="N10" t="n">
        <v>0</v>
      </c>
      <c r="O10" t="n">
        <v>8</v>
      </c>
      <c r="P10" t="n">
        <v>1</v>
      </c>
      <c r="Q10" t="n">
        <v>11</v>
      </c>
      <c r="R10" s="2" t="inlineStr">
        <is>
          <t>Luddig stiftdynlav
Gammelgransskål
Garnlav
Lunglav
Skrovellav
Tretåig hackspett
Ullticka
Vitgrynig nållav
Korallblylav
Skuggblåslav
Trådticka</t>
        </is>
      </c>
      <c r="S10">
        <f>HYPERLINK("https://klasma.github.io/Logging_2023/artfynd/A 62103-2022 artfynd.xlsx", "A 62103-2022")</f>
        <v/>
      </c>
      <c r="T10">
        <f>HYPERLINK("https://klasma.github.io/Logging_2023/kartor/A 62103-2022 karta.png", "A 62103-2022")</f>
        <v/>
      </c>
      <c r="V10">
        <f>HYPERLINK("https://klasma.github.io/Logging_2023/klagomål/A 62103-2022 FSC-klagomål.docx", "A 62103-2022")</f>
        <v/>
      </c>
      <c r="W10">
        <f>HYPERLINK("https://klasma.github.io/Logging_2023/klagomålsmail/A 62103-2022 FSC-klagomål mail.docx", "A 62103-2022")</f>
        <v/>
      </c>
      <c r="X10">
        <f>HYPERLINK("https://klasma.github.io/Logging_2023/tillsyn/A 62103-2022 tillsynsbegäran.docx", "A 62103-2022")</f>
        <v/>
      </c>
      <c r="Y10">
        <f>HYPERLINK("https://klasma.github.io/Logging_2023/tillsynsmail/A 62103-2022 tillsynsbegäran mail.docx", "A 62103-2022")</f>
        <v/>
      </c>
      <c r="Z10">
        <f>HYPERLINK("https://klasma.github.io/Logging_2023/fåglar/A 62103-2022 prioriterade fågelarter.docx", "A 62103-2022")</f>
        <v/>
      </c>
    </row>
    <row r="11" ht="15" customHeight="1">
      <c r="A11" t="inlineStr">
        <is>
          <t>A 19473-2021</t>
        </is>
      </c>
      <c r="B11" s="1" t="n">
        <v>44311</v>
      </c>
      <c r="C11" s="1" t="n">
        <v>45791</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45791</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22112-2025</t>
        </is>
      </c>
      <c r="B13" s="1" t="n">
        <v>45785</v>
      </c>
      <c r="C13" s="1" t="n">
        <v>45791</v>
      </c>
      <c r="D13" t="inlineStr">
        <is>
          <t>DALARNAS LÄN</t>
        </is>
      </c>
      <c r="E13" t="inlineStr">
        <is>
          <t>MALUNG-SÄLEN</t>
        </is>
      </c>
      <c r="F13" t="inlineStr">
        <is>
          <t>Allmännings- och besparingsskogar</t>
        </is>
      </c>
      <c r="G13" t="n">
        <v>53.9</v>
      </c>
      <c r="H13" t="n">
        <v>2</v>
      </c>
      <c r="I13" t="n">
        <v>3</v>
      </c>
      <c r="J13" t="n">
        <v>7</v>
      </c>
      <c r="K13" t="n">
        <v>0</v>
      </c>
      <c r="L13" t="n">
        <v>0</v>
      </c>
      <c r="M13" t="n">
        <v>0</v>
      </c>
      <c r="N13" t="n">
        <v>0</v>
      </c>
      <c r="O13" t="n">
        <v>7</v>
      </c>
      <c r="P13" t="n">
        <v>0</v>
      </c>
      <c r="Q13" t="n">
        <v>10</v>
      </c>
      <c r="R13" s="2" t="inlineStr">
        <is>
          <t>Dvärgbägarlav
Garnlav
Kolflarnlav
Mörk kolflarnlav
Tretåig hackspett
Vedflamlav
Vedskivlav
Dropptaggsvamp
Korallrot
Skinnlav</t>
        </is>
      </c>
      <c r="S13">
        <f>HYPERLINK("https://klasma.github.io/Logging_202023/artfynd/A 22112-2025 artfynd.xlsx", "A 22112-2025")</f>
        <v/>
      </c>
      <c r="T13">
        <f>HYPERLINK("https://klasma.github.io/Logging_202023/kartor/A 22112-2025 karta.png", "A 22112-2025")</f>
        <v/>
      </c>
      <c r="V13">
        <f>HYPERLINK("https://klasma.github.io/Logging_202023/klagomål/A 22112-2025 FSC-klagomål.docx", "A 22112-2025")</f>
        <v/>
      </c>
      <c r="W13">
        <f>HYPERLINK("https://klasma.github.io/Logging_202023/klagomålsmail/A 22112-2025 FSC-klagomål mail.docx", "A 22112-2025")</f>
        <v/>
      </c>
      <c r="X13">
        <f>HYPERLINK("https://klasma.github.io/Logging_202023/tillsyn/A 22112-2025 tillsynsbegäran.docx", "A 22112-2025")</f>
        <v/>
      </c>
      <c r="Y13">
        <f>HYPERLINK("https://klasma.github.io/Logging_202023/tillsynsmail/A 22112-2025 tillsynsbegäran mail.docx", "A 22112-2025")</f>
        <v/>
      </c>
      <c r="Z13">
        <f>HYPERLINK("https://klasma.github.io/Logging_202023/fåglar/A 22112-2025 prioriterade fågelarter.docx", "A 22112-2025")</f>
        <v/>
      </c>
    </row>
    <row r="14" ht="15" customHeight="1">
      <c r="A14" t="inlineStr">
        <is>
          <t>A 62204-2019</t>
        </is>
      </c>
      <c r="B14" s="1" t="n">
        <v>43788</v>
      </c>
      <c r="C14" s="1" t="n">
        <v>45791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45791</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45791</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45791</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45791</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45791</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45791</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45791</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45791</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45791</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45791</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45791</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45791</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45791</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39475-2019</t>
        </is>
      </c>
      <c r="B62" s="1" t="n">
        <v>43691</v>
      </c>
      <c r="C62" s="1" t="n">
        <v>45791</v>
      </c>
      <c r="D62" t="inlineStr">
        <is>
          <t>DALARNAS LÄN</t>
        </is>
      </c>
      <c r="E62" t="inlineStr">
        <is>
          <t>MALUNG-SÄLEN</t>
        </is>
      </c>
      <c r="G62" t="n">
        <v>4.4</v>
      </c>
      <c r="H62" t="n">
        <v>1</v>
      </c>
      <c r="I62" t="n">
        <v>0</v>
      </c>
      <c r="J62" t="n">
        <v>0</v>
      </c>
      <c r="K62" t="n">
        <v>0</v>
      </c>
      <c r="L62" t="n">
        <v>0</v>
      </c>
      <c r="M62" t="n">
        <v>0</v>
      </c>
      <c r="N62" t="n">
        <v>0</v>
      </c>
      <c r="O62" t="n">
        <v>0</v>
      </c>
      <c r="P62" t="n">
        <v>0</v>
      </c>
      <c r="Q62" t="n">
        <v>1</v>
      </c>
      <c r="R62" s="2" t="inlineStr">
        <is>
          <t>Nattviol</t>
        </is>
      </c>
      <c r="S62">
        <f>HYPERLINK("https://klasma.github.io/Logging_2023/artfynd/A 39475-2019 artfynd.xlsx", "A 39475-2019")</f>
        <v/>
      </c>
      <c r="T62">
        <f>HYPERLINK("https://klasma.github.io/Logging_2023/kartor/A 39475-2019 karta.png", "A 39475-2019")</f>
        <v/>
      </c>
      <c r="V62">
        <f>HYPERLINK("https://klasma.github.io/Logging_2023/klagomål/A 39475-2019 FSC-klagomål.docx", "A 39475-2019")</f>
        <v/>
      </c>
      <c r="W62">
        <f>HYPERLINK("https://klasma.github.io/Logging_2023/klagomålsmail/A 39475-2019 FSC-klagomål mail.docx", "A 39475-2019")</f>
        <v/>
      </c>
      <c r="X62">
        <f>HYPERLINK("https://klasma.github.io/Logging_2023/tillsyn/A 39475-2019 tillsynsbegäran.docx", "A 39475-2019")</f>
        <v/>
      </c>
      <c r="Y62">
        <f>HYPERLINK("https://klasma.github.io/Logging_2023/tillsynsmail/A 39475-2019 tillsynsbegäran mail.docx", "A 39475-2019")</f>
        <v/>
      </c>
    </row>
    <row r="63" ht="15" customHeight="1">
      <c r="A63" t="inlineStr">
        <is>
          <t>A 62206-2019</t>
        </is>
      </c>
      <c r="B63" s="1" t="n">
        <v>43788</v>
      </c>
      <c r="C63" s="1" t="n">
        <v>45791</v>
      </c>
      <c r="D63" t="inlineStr">
        <is>
          <t>DALARNAS LÄN</t>
        </is>
      </c>
      <c r="E63" t="inlineStr">
        <is>
          <t>MALUNG-SÄLEN</t>
        </is>
      </c>
      <c r="G63" t="n">
        <v>0.8</v>
      </c>
      <c r="H63" t="n">
        <v>0</v>
      </c>
      <c r="I63" t="n">
        <v>0</v>
      </c>
      <c r="J63" t="n">
        <v>1</v>
      </c>
      <c r="K63" t="n">
        <v>0</v>
      </c>
      <c r="L63" t="n">
        <v>0</v>
      </c>
      <c r="M63" t="n">
        <v>0</v>
      </c>
      <c r="N63" t="n">
        <v>0</v>
      </c>
      <c r="O63" t="n">
        <v>1</v>
      </c>
      <c r="P63" t="n">
        <v>0</v>
      </c>
      <c r="Q63" t="n">
        <v>1</v>
      </c>
      <c r="R63" s="2" t="inlineStr">
        <is>
          <t>Lunglav</t>
        </is>
      </c>
      <c r="S63">
        <f>HYPERLINK("https://klasma.github.io/Logging_2023/artfynd/A 62206-2019 artfynd.xlsx", "A 62206-2019")</f>
        <v/>
      </c>
      <c r="T63">
        <f>HYPERLINK("https://klasma.github.io/Logging_2023/kartor/A 62206-2019 karta.png", "A 62206-2019")</f>
        <v/>
      </c>
      <c r="V63">
        <f>HYPERLINK("https://klasma.github.io/Logging_2023/klagomål/A 62206-2019 FSC-klagomål.docx", "A 62206-2019")</f>
        <v/>
      </c>
      <c r="W63">
        <f>HYPERLINK("https://klasma.github.io/Logging_2023/klagomålsmail/A 62206-2019 FSC-klagomål mail.docx", "A 62206-2019")</f>
        <v/>
      </c>
      <c r="X63">
        <f>HYPERLINK("https://klasma.github.io/Logging_2023/tillsyn/A 62206-2019 tillsynsbegäran.docx", "A 62206-2019")</f>
        <v/>
      </c>
      <c r="Y63">
        <f>HYPERLINK("https://klasma.github.io/Logging_2023/tillsynsmail/A 62206-2019 tillsynsbegäran mail.docx", "A 62206-2019")</f>
        <v/>
      </c>
    </row>
    <row r="64" ht="15" customHeight="1">
      <c r="A64" t="inlineStr">
        <is>
          <t>A 12761-2020</t>
        </is>
      </c>
      <c r="B64" s="1" t="n">
        <v>43899</v>
      </c>
      <c r="C64" s="1" t="n">
        <v>45791</v>
      </c>
      <c r="D64" t="inlineStr">
        <is>
          <t>DALARNAS LÄN</t>
        </is>
      </c>
      <c r="E64" t="inlineStr">
        <is>
          <t>MALUNG-SÄLEN</t>
        </is>
      </c>
      <c r="G64" t="n">
        <v>1.4</v>
      </c>
      <c r="H64" t="n">
        <v>0</v>
      </c>
      <c r="I64" t="n">
        <v>0</v>
      </c>
      <c r="J64" t="n">
        <v>1</v>
      </c>
      <c r="K64" t="n">
        <v>0</v>
      </c>
      <c r="L64" t="n">
        <v>0</v>
      </c>
      <c r="M64" t="n">
        <v>0</v>
      </c>
      <c r="N64" t="n">
        <v>0</v>
      </c>
      <c r="O64" t="n">
        <v>1</v>
      </c>
      <c r="P64" t="n">
        <v>0</v>
      </c>
      <c r="Q64" t="n">
        <v>1</v>
      </c>
      <c r="R64" s="2" t="inlineStr">
        <is>
          <t>Motaggsvamp</t>
        </is>
      </c>
      <c r="S64">
        <f>HYPERLINK("https://klasma.github.io/Logging_2023/artfynd/A 12761-2020 artfynd.xlsx", "A 12761-2020")</f>
        <v/>
      </c>
      <c r="T64">
        <f>HYPERLINK("https://klasma.github.io/Logging_2023/kartor/A 12761-2020 karta.png", "A 12761-2020")</f>
        <v/>
      </c>
      <c r="V64">
        <f>HYPERLINK("https://klasma.github.io/Logging_2023/klagomål/A 12761-2020 FSC-klagomål.docx", "A 12761-2020")</f>
        <v/>
      </c>
      <c r="W64">
        <f>HYPERLINK("https://klasma.github.io/Logging_2023/klagomålsmail/A 12761-2020 FSC-klagomål mail.docx", "A 12761-2020")</f>
        <v/>
      </c>
      <c r="X64">
        <f>HYPERLINK("https://klasma.github.io/Logging_2023/tillsyn/A 12761-2020 tillsynsbegäran.docx", "A 12761-2020")</f>
        <v/>
      </c>
      <c r="Y64">
        <f>HYPERLINK("https://klasma.github.io/Logging_2023/tillsynsmail/A 12761-2020 tillsynsbegäran mail.docx", "A 12761-2020")</f>
        <v/>
      </c>
    </row>
    <row r="65" ht="15" customHeight="1">
      <c r="A65" t="inlineStr">
        <is>
          <t>A 19759-2020</t>
        </is>
      </c>
      <c r="B65" s="1" t="n">
        <v>43942</v>
      </c>
      <c r="C65" s="1" t="n">
        <v>45791</v>
      </c>
      <c r="D65" t="inlineStr">
        <is>
          <t>DALARNAS LÄN</t>
        </is>
      </c>
      <c r="E65" t="inlineStr">
        <is>
          <t>MALUNG-SÄLEN</t>
        </is>
      </c>
      <c r="G65" t="n">
        <v>3.8</v>
      </c>
      <c r="H65" t="n">
        <v>1</v>
      </c>
      <c r="I65" t="n">
        <v>0</v>
      </c>
      <c r="J65" t="n">
        <v>0</v>
      </c>
      <c r="K65" t="n">
        <v>0</v>
      </c>
      <c r="L65" t="n">
        <v>1</v>
      </c>
      <c r="M65" t="n">
        <v>0</v>
      </c>
      <c r="N65" t="n">
        <v>0</v>
      </c>
      <c r="O65" t="n">
        <v>1</v>
      </c>
      <c r="P65" t="n">
        <v>1</v>
      </c>
      <c r="Q65" t="n">
        <v>1</v>
      </c>
      <c r="R65" s="2" t="inlineStr">
        <is>
          <t>Mosippa</t>
        </is>
      </c>
      <c r="S65">
        <f>HYPERLINK("https://klasma.github.io/Logging_2023/artfynd/A 19759-2020 artfynd.xlsx", "A 19759-2020")</f>
        <v/>
      </c>
      <c r="T65">
        <f>HYPERLINK("https://klasma.github.io/Logging_2023/kartor/A 19759-2020 karta.png", "A 19759-2020")</f>
        <v/>
      </c>
      <c r="V65">
        <f>HYPERLINK("https://klasma.github.io/Logging_2023/klagomål/A 19759-2020 FSC-klagomål.docx", "A 19759-2020")</f>
        <v/>
      </c>
      <c r="W65">
        <f>HYPERLINK("https://klasma.github.io/Logging_2023/klagomålsmail/A 19759-2020 FSC-klagomål mail.docx", "A 19759-2020")</f>
        <v/>
      </c>
      <c r="X65">
        <f>HYPERLINK("https://klasma.github.io/Logging_2023/tillsyn/A 19759-2020 tillsynsbegäran.docx", "A 19759-2020")</f>
        <v/>
      </c>
      <c r="Y65">
        <f>HYPERLINK("https://klasma.github.io/Logging_2023/tillsynsmail/A 19759-2020 tillsynsbegäran mail.docx", "A 19759-2020")</f>
        <v/>
      </c>
    </row>
    <row r="66" ht="15" customHeight="1">
      <c r="A66" t="inlineStr">
        <is>
          <t>A 25590-2020</t>
        </is>
      </c>
      <c r="B66" s="1" t="n">
        <v>43983</v>
      </c>
      <c r="C66" s="1" t="n">
        <v>45791</v>
      </c>
      <c r="D66" t="inlineStr">
        <is>
          <t>DALARNAS LÄN</t>
        </is>
      </c>
      <c r="E66" t="inlineStr">
        <is>
          <t>MALUNG-SÄLEN</t>
        </is>
      </c>
      <c r="F66" t="inlineStr">
        <is>
          <t>Allmännings- och besparingsskogar</t>
        </is>
      </c>
      <c r="G66" t="n">
        <v>2.2</v>
      </c>
      <c r="H66" t="n">
        <v>1</v>
      </c>
      <c r="I66" t="n">
        <v>0</v>
      </c>
      <c r="J66" t="n">
        <v>1</v>
      </c>
      <c r="K66" t="n">
        <v>0</v>
      </c>
      <c r="L66" t="n">
        <v>0</v>
      </c>
      <c r="M66" t="n">
        <v>0</v>
      </c>
      <c r="N66" t="n">
        <v>0</v>
      </c>
      <c r="O66" t="n">
        <v>1</v>
      </c>
      <c r="P66" t="n">
        <v>0</v>
      </c>
      <c r="Q66" t="n">
        <v>1</v>
      </c>
      <c r="R66" s="2" t="inlineStr">
        <is>
          <t>Tretåig hackspett</t>
        </is>
      </c>
      <c r="S66">
        <f>HYPERLINK("https://klasma.github.io/Logging_2023/artfynd/A 25590-2020 artfynd.xlsx", "A 25590-2020")</f>
        <v/>
      </c>
      <c r="T66">
        <f>HYPERLINK("https://klasma.github.io/Logging_2023/kartor/A 25590-2020 karta.png", "A 25590-2020")</f>
        <v/>
      </c>
      <c r="V66">
        <f>HYPERLINK("https://klasma.github.io/Logging_2023/klagomål/A 25590-2020 FSC-klagomål.docx", "A 25590-2020")</f>
        <v/>
      </c>
      <c r="W66">
        <f>HYPERLINK("https://klasma.github.io/Logging_2023/klagomålsmail/A 25590-2020 FSC-klagomål mail.docx", "A 25590-2020")</f>
        <v/>
      </c>
      <c r="X66">
        <f>HYPERLINK("https://klasma.github.io/Logging_2023/tillsyn/A 25590-2020 tillsynsbegäran.docx", "A 25590-2020")</f>
        <v/>
      </c>
      <c r="Y66">
        <f>HYPERLINK("https://klasma.github.io/Logging_2023/tillsynsmail/A 25590-2020 tillsynsbegäran mail.docx", "A 25590-2020")</f>
        <v/>
      </c>
      <c r="Z66">
        <f>HYPERLINK("https://klasma.github.io/Logging_2023/fåglar/A 25590-2020 prioriterade fågelarter.docx", "A 25590-2020")</f>
        <v/>
      </c>
    </row>
    <row r="67" ht="15" customHeight="1">
      <c r="A67" t="inlineStr">
        <is>
          <t>A 26557-2020</t>
        </is>
      </c>
      <c r="B67" s="1" t="n">
        <v>43987</v>
      </c>
      <c r="C67" s="1" t="n">
        <v>45791</v>
      </c>
      <c r="D67" t="inlineStr">
        <is>
          <t>DALARNAS LÄN</t>
        </is>
      </c>
      <c r="E67" t="inlineStr">
        <is>
          <t>MALUNG-SÄLEN</t>
        </is>
      </c>
      <c r="F67" t="inlineStr">
        <is>
          <t>Allmännings- och besparingsskogar</t>
        </is>
      </c>
      <c r="G67" t="n">
        <v>30.5</v>
      </c>
      <c r="H67" t="n">
        <v>1</v>
      </c>
      <c r="I67" t="n">
        <v>0</v>
      </c>
      <c r="J67" t="n">
        <v>0</v>
      </c>
      <c r="K67" t="n">
        <v>0</v>
      </c>
      <c r="L67" t="n">
        <v>0</v>
      </c>
      <c r="M67" t="n">
        <v>0</v>
      </c>
      <c r="N67" t="n">
        <v>0</v>
      </c>
      <c r="O67" t="n">
        <v>0</v>
      </c>
      <c r="P67" t="n">
        <v>0</v>
      </c>
      <c r="Q67" t="n">
        <v>1</v>
      </c>
      <c r="R67" s="2" t="inlineStr">
        <is>
          <t>Fläcknycklar</t>
        </is>
      </c>
      <c r="S67">
        <f>HYPERLINK("https://klasma.github.io/Logging_2023/artfynd/A 26557-2020 artfynd.xlsx", "A 26557-2020")</f>
        <v/>
      </c>
      <c r="T67">
        <f>HYPERLINK("https://klasma.github.io/Logging_2023/kartor/A 26557-2020 karta.png", "A 26557-2020")</f>
        <v/>
      </c>
      <c r="V67">
        <f>HYPERLINK("https://klasma.github.io/Logging_2023/klagomål/A 26557-2020 FSC-klagomål.docx", "A 26557-2020")</f>
        <v/>
      </c>
      <c r="W67">
        <f>HYPERLINK("https://klasma.github.io/Logging_2023/klagomålsmail/A 26557-2020 FSC-klagomål mail.docx", "A 26557-2020")</f>
        <v/>
      </c>
      <c r="X67">
        <f>HYPERLINK("https://klasma.github.io/Logging_2023/tillsyn/A 26557-2020 tillsynsbegäran.docx", "A 26557-2020")</f>
        <v/>
      </c>
      <c r="Y67">
        <f>HYPERLINK("https://klasma.github.io/Logging_2023/tillsynsmail/A 26557-2020 tillsynsbegäran mail.docx", "A 26557-2020")</f>
        <v/>
      </c>
    </row>
    <row r="68" ht="15" customHeight="1">
      <c r="A68" t="inlineStr">
        <is>
          <t>A 20921-2021</t>
        </is>
      </c>
      <c r="B68" s="1" t="n">
        <v>44319</v>
      </c>
      <c r="C68" s="1" t="n">
        <v>45791</v>
      </c>
      <c r="D68" t="inlineStr">
        <is>
          <t>DALARNAS LÄN</t>
        </is>
      </c>
      <c r="E68" t="inlineStr">
        <is>
          <t>MALUNG-SÄLEN</t>
        </is>
      </c>
      <c r="G68" t="n">
        <v>1.8</v>
      </c>
      <c r="H68" t="n">
        <v>0</v>
      </c>
      <c r="I68" t="n">
        <v>0</v>
      </c>
      <c r="J68" t="n">
        <v>1</v>
      </c>
      <c r="K68" t="n">
        <v>0</v>
      </c>
      <c r="L68" t="n">
        <v>0</v>
      </c>
      <c r="M68" t="n">
        <v>0</v>
      </c>
      <c r="N68" t="n">
        <v>0</v>
      </c>
      <c r="O68" t="n">
        <v>1</v>
      </c>
      <c r="P68" t="n">
        <v>0</v>
      </c>
      <c r="Q68" t="n">
        <v>1</v>
      </c>
      <c r="R68" s="2" t="inlineStr">
        <is>
          <t>Garnlav</t>
        </is>
      </c>
      <c r="S68">
        <f>HYPERLINK("https://klasma.github.io/Logging_2023/artfynd/A 20921-2021 artfynd.xlsx", "A 20921-2021")</f>
        <v/>
      </c>
      <c r="T68">
        <f>HYPERLINK("https://klasma.github.io/Logging_2023/kartor/A 20921-2021 karta.png", "A 20921-2021")</f>
        <v/>
      </c>
      <c r="V68">
        <f>HYPERLINK("https://klasma.github.io/Logging_2023/klagomål/A 20921-2021 FSC-klagomål.docx", "A 20921-2021")</f>
        <v/>
      </c>
      <c r="W68">
        <f>HYPERLINK("https://klasma.github.io/Logging_2023/klagomålsmail/A 20921-2021 FSC-klagomål mail.docx", "A 20921-2021")</f>
        <v/>
      </c>
      <c r="X68">
        <f>HYPERLINK("https://klasma.github.io/Logging_2023/tillsyn/A 20921-2021 tillsynsbegäran.docx", "A 20921-2021")</f>
        <v/>
      </c>
      <c r="Y68">
        <f>HYPERLINK("https://klasma.github.io/Logging_2023/tillsynsmail/A 20921-2021 tillsynsbegäran mail.docx", "A 20921-2021")</f>
        <v/>
      </c>
    </row>
    <row r="69" ht="15" customHeight="1">
      <c r="A69" t="inlineStr">
        <is>
          <t>A 42981-2021</t>
        </is>
      </c>
      <c r="B69" s="1" t="n">
        <v>44427</v>
      </c>
      <c r="C69" s="1" t="n">
        <v>45791</v>
      </c>
      <c r="D69" t="inlineStr">
        <is>
          <t>DALARNAS LÄN</t>
        </is>
      </c>
      <c r="E69" t="inlineStr">
        <is>
          <t>MALUNG-SÄLEN</t>
        </is>
      </c>
      <c r="G69" t="n">
        <v>3.4</v>
      </c>
      <c r="H69" t="n">
        <v>0</v>
      </c>
      <c r="I69" t="n">
        <v>0</v>
      </c>
      <c r="J69" t="n">
        <v>1</v>
      </c>
      <c r="K69" t="n">
        <v>0</v>
      </c>
      <c r="L69" t="n">
        <v>0</v>
      </c>
      <c r="M69" t="n">
        <v>0</v>
      </c>
      <c r="N69" t="n">
        <v>0</v>
      </c>
      <c r="O69" t="n">
        <v>1</v>
      </c>
      <c r="P69" t="n">
        <v>0</v>
      </c>
      <c r="Q69" t="n">
        <v>1</v>
      </c>
      <c r="R69" s="2" t="inlineStr">
        <is>
          <t>Lunglav</t>
        </is>
      </c>
      <c r="S69">
        <f>HYPERLINK("https://klasma.github.io/Logging_2023/artfynd/A 42981-2021 artfynd.xlsx", "A 42981-2021")</f>
        <v/>
      </c>
      <c r="T69">
        <f>HYPERLINK("https://klasma.github.io/Logging_2023/kartor/A 42981-2021 karta.png", "A 42981-2021")</f>
        <v/>
      </c>
      <c r="V69">
        <f>HYPERLINK("https://klasma.github.io/Logging_2023/klagomål/A 42981-2021 FSC-klagomål.docx", "A 42981-2021")</f>
        <v/>
      </c>
      <c r="W69">
        <f>HYPERLINK("https://klasma.github.io/Logging_2023/klagomålsmail/A 42981-2021 FSC-klagomål mail.docx", "A 42981-2021")</f>
        <v/>
      </c>
      <c r="X69">
        <f>HYPERLINK("https://klasma.github.io/Logging_2023/tillsyn/A 42981-2021 tillsynsbegäran.docx", "A 42981-2021")</f>
        <v/>
      </c>
      <c r="Y69">
        <f>HYPERLINK("https://klasma.github.io/Logging_2023/tillsynsmail/A 42981-2021 tillsynsbegäran mail.docx", "A 42981-2021")</f>
        <v/>
      </c>
    </row>
    <row r="70" ht="15" customHeight="1">
      <c r="A70" t="inlineStr">
        <is>
          <t>A 52669-2021</t>
        </is>
      </c>
      <c r="B70" s="1" t="n">
        <v>44464</v>
      </c>
      <c r="C70" s="1" t="n">
        <v>45791</v>
      </c>
      <c r="D70" t="inlineStr">
        <is>
          <t>DALARNAS LÄN</t>
        </is>
      </c>
      <c r="E70" t="inlineStr">
        <is>
          <t>MALUNG-SÄLEN</t>
        </is>
      </c>
      <c r="G70" t="n">
        <v>0.2</v>
      </c>
      <c r="H70" t="n">
        <v>0</v>
      </c>
      <c r="I70" t="n">
        <v>0</v>
      </c>
      <c r="J70" t="n">
        <v>1</v>
      </c>
      <c r="K70" t="n">
        <v>0</v>
      </c>
      <c r="L70" t="n">
        <v>0</v>
      </c>
      <c r="M70" t="n">
        <v>0</v>
      </c>
      <c r="N70" t="n">
        <v>0</v>
      </c>
      <c r="O70" t="n">
        <v>1</v>
      </c>
      <c r="P70" t="n">
        <v>0</v>
      </c>
      <c r="Q70" t="n">
        <v>1</v>
      </c>
      <c r="R70" s="2" t="inlineStr">
        <is>
          <t>Garnlav</t>
        </is>
      </c>
      <c r="S70">
        <f>HYPERLINK("https://klasma.github.io/Logging_2023/artfynd/A 52669-2021 artfynd.xlsx", "A 52669-2021")</f>
        <v/>
      </c>
      <c r="T70">
        <f>HYPERLINK("https://klasma.github.io/Logging_2023/kartor/A 52669-2021 karta.png", "A 52669-2021")</f>
        <v/>
      </c>
      <c r="V70">
        <f>HYPERLINK("https://klasma.github.io/Logging_2023/klagomål/A 52669-2021 FSC-klagomål.docx", "A 52669-2021")</f>
        <v/>
      </c>
      <c r="W70">
        <f>HYPERLINK("https://klasma.github.io/Logging_2023/klagomålsmail/A 52669-2021 FSC-klagomål mail.docx", "A 52669-2021")</f>
        <v/>
      </c>
      <c r="X70">
        <f>HYPERLINK("https://klasma.github.io/Logging_2023/tillsyn/A 52669-2021 tillsynsbegäran.docx", "A 52669-2021")</f>
        <v/>
      </c>
      <c r="Y70">
        <f>HYPERLINK("https://klasma.github.io/Logging_2023/tillsynsmail/A 52669-2021 tillsynsbegäran mail.docx", "A 52669-2021")</f>
        <v/>
      </c>
    </row>
    <row r="71" ht="15" customHeight="1">
      <c r="A71" t="inlineStr">
        <is>
          <t>A 11560-2022</t>
        </is>
      </c>
      <c r="B71" s="1" t="n">
        <v>44631</v>
      </c>
      <c r="C71" s="1" t="n">
        <v>45791</v>
      </c>
      <c r="D71" t="inlineStr">
        <is>
          <t>DALARNAS LÄN</t>
        </is>
      </c>
      <c r="E71" t="inlineStr">
        <is>
          <t>MALUNG-SÄLEN</t>
        </is>
      </c>
      <c r="G71" t="n">
        <v>7.4</v>
      </c>
      <c r="H71" t="n">
        <v>0</v>
      </c>
      <c r="I71" t="n">
        <v>0</v>
      </c>
      <c r="J71" t="n">
        <v>1</v>
      </c>
      <c r="K71" t="n">
        <v>0</v>
      </c>
      <c r="L71" t="n">
        <v>0</v>
      </c>
      <c r="M71" t="n">
        <v>0</v>
      </c>
      <c r="N71" t="n">
        <v>0</v>
      </c>
      <c r="O71" t="n">
        <v>1</v>
      </c>
      <c r="P71" t="n">
        <v>0</v>
      </c>
      <c r="Q71" t="n">
        <v>1</v>
      </c>
      <c r="R71" s="2" t="inlineStr">
        <is>
          <t>Blå taggsvamp</t>
        </is>
      </c>
      <c r="S71">
        <f>HYPERLINK("https://klasma.github.io/Logging_2023/artfynd/A 11560-2022 artfynd.xlsx", "A 11560-2022")</f>
        <v/>
      </c>
      <c r="T71">
        <f>HYPERLINK("https://klasma.github.io/Logging_2023/kartor/A 11560-2022 karta.png", "A 11560-2022")</f>
        <v/>
      </c>
      <c r="V71">
        <f>HYPERLINK("https://klasma.github.io/Logging_2023/klagomål/A 11560-2022 FSC-klagomål.docx", "A 11560-2022")</f>
        <v/>
      </c>
      <c r="W71">
        <f>HYPERLINK("https://klasma.github.io/Logging_2023/klagomålsmail/A 11560-2022 FSC-klagomål mail.docx", "A 11560-2022")</f>
        <v/>
      </c>
      <c r="X71">
        <f>HYPERLINK("https://klasma.github.io/Logging_2023/tillsyn/A 11560-2022 tillsynsbegäran.docx", "A 11560-2022")</f>
        <v/>
      </c>
      <c r="Y71">
        <f>HYPERLINK("https://klasma.github.io/Logging_2023/tillsynsmail/A 11560-2022 tillsynsbegäran mail.docx", "A 11560-2022")</f>
        <v/>
      </c>
    </row>
    <row r="72" ht="15" customHeight="1">
      <c r="A72" t="inlineStr">
        <is>
          <t>A 23476-2022</t>
        </is>
      </c>
      <c r="B72" s="1" t="n">
        <v>44721</v>
      </c>
      <c r="C72" s="1" t="n">
        <v>45791</v>
      </c>
      <c r="D72" t="inlineStr">
        <is>
          <t>DALARNAS LÄN</t>
        </is>
      </c>
      <c r="E72" t="inlineStr">
        <is>
          <t>MALUNG-SÄLEN</t>
        </is>
      </c>
      <c r="F72" t="inlineStr">
        <is>
          <t>Övriga statliga verk och myndigheter</t>
        </is>
      </c>
      <c r="G72" t="n">
        <v>1.2</v>
      </c>
      <c r="H72" t="n">
        <v>0</v>
      </c>
      <c r="I72" t="n">
        <v>1</v>
      </c>
      <c r="J72" t="n">
        <v>0</v>
      </c>
      <c r="K72" t="n">
        <v>0</v>
      </c>
      <c r="L72" t="n">
        <v>0</v>
      </c>
      <c r="M72" t="n">
        <v>0</v>
      </c>
      <c r="N72" t="n">
        <v>0</v>
      </c>
      <c r="O72" t="n">
        <v>0</v>
      </c>
      <c r="P72" t="n">
        <v>0</v>
      </c>
      <c r="Q72" t="n">
        <v>1</v>
      </c>
      <c r="R72" s="2" t="inlineStr">
        <is>
          <t>Sotlav</t>
        </is>
      </c>
      <c r="S72">
        <f>HYPERLINK("https://klasma.github.io/Logging_2023/artfynd/A 23476-2022 artfynd.xlsx", "A 23476-2022")</f>
        <v/>
      </c>
      <c r="T72">
        <f>HYPERLINK("https://klasma.github.io/Logging_2023/kartor/A 23476-2022 karta.png", "A 23476-2022")</f>
        <v/>
      </c>
      <c r="V72">
        <f>HYPERLINK("https://klasma.github.io/Logging_2023/klagomål/A 23476-2022 FSC-klagomål.docx", "A 23476-2022")</f>
        <v/>
      </c>
      <c r="W72">
        <f>HYPERLINK("https://klasma.github.io/Logging_2023/klagomålsmail/A 23476-2022 FSC-klagomål mail.docx", "A 23476-2022")</f>
        <v/>
      </c>
      <c r="X72">
        <f>HYPERLINK("https://klasma.github.io/Logging_2023/tillsyn/A 23476-2022 tillsynsbegäran.docx", "A 23476-2022")</f>
        <v/>
      </c>
      <c r="Y72">
        <f>HYPERLINK("https://klasma.github.io/Logging_2023/tillsynsmail/A 23476-2022 tillsynsbegäran mail.docx", "A 23476-2022")</f>
        <v/>
      </c>
    </row>
    <row r="73" ht="15" customHeight="1">
      <c r="A73" t="inlineStr">
        <is>
          <t>A 33859-2022</t>
        </is>
      </c>
      <c r="B73" s="1" t="n">
        <v>44790</v>
      </c>
      <c r="C73" s="1" t="n">
        <v>45791</v>
      </c>
      <c r="D73" t="inlineStr">
        <is>
          <t>DALARNAS LÄN</t>
        </is>
      </c>
      <c r="E73" t="inlineStr">
        <is>
          <t>MALUNG-SÄLEN</t>
        </is>
      </c>
      <c r="G73" t="n">
        <v>18.8</v>
      </c>
      <c r="H73" t="n">
        <v>1</v>
      </c>
      <c r="I73" t="n">
        <v>0</v>
      </c>
      <c r="J73" t="n">
        <v>1</v>
      </c>
      <c r="K73" t="n">
        <v>0</v>
      </c>
      <c r="L73" t="n">
        <v>0</v>
      </c>
      <c r="M73" t="n">
        <v>0</v>
      </c>
      <c r="N73" t="n">
        <v>0</v>
      </c>
      <c r="O73" t="n">
        <v>1</v>
      </c>
      <c r="P73" t="n">
        <v>0</v>
      </c>
      <c r="Q73" t="n">
        <v>1</v>
      </c>
      <c r="R73" s="2" t="inlineStr">
        <is>
          <t>Nordfladdermus</t>
        </is>
      </c>
      <c r="S73">
        <f>HYPERLINK("https://klasma.github.io/Logging_2023/artfynd/A 33859-2022 artfynd.xlsx", "A 33859-2022")</f>
        <v/>
      </c>
      <c r="T73">
        <f>HYPERLINK("https://klasma.github.io/Logging_2023/kartor/A 33859-2022 karta.png", "A 33859-2022")</f>
        <v/>
      </c>
      <c r="V73">
        <f>HYPERLINK("https://klasma.github.io/Logging_2023/klagomål/A 33859-2022 FSC-klagomål.docx", "A 33859-2022")</f>
        <v/>
      </c>
      <c r="W73">
        <f>HYPERLINK("https://klasma.github.io/Logging_2023/klagomålsmail/A 33859-2022 FSC-klagomål mail.docx", "A 33859-2022")</f>
        <v/>
      </c>
      <c r="X73">
        <f>HYPERLINK("https://klasma.github.io/Logging_2023/tillsyn/A 33859-2022 tillsynsbegäran.docx", "A 33859-2022")</f>
        <v/>
      </c>
      <c r="Y73">
        <f>HYPERLINK("https://klasma.github.io/Logging_2023/tillsynsmail/A 33859-2022 tillsynsbegäran mail.docx", "A 33859-2022")</f>
        <v/>
      </c>
    </row>
    <row r="74" ht="15" customHeight="1">
      <c r="A74" t="inlineStr">
        <is>
          <t>A 48842-2022</t>
        </is>
      </c>
      <c r="B74" s="1" t="n">
        <v>44859</v>
      </c>
      <c r="C74" s="1" t="n">
        <v>45791</v>
      </c>
      <c r="D74" t="inlineStr">
        <is>
          <t>DALARNAS LÄN</t>
        </is>
      </c>
      <c r="E74" t="inlineStr">
        <is>
          <t>MALUNG-SÄLEN</t>
        </is>
      </c>
      <c r="G74" t="n">
        <v>4.8</v>
      </c>
      <c r="H74" t="n">
        <v>0</v>
      </c>
      <c r="I74" t="n">
        <v>0</v>
      </c>
      <c r="J74" t="n">
        <v>1</v>
      </c>
      <c r="K74" t="n">
        <v>0</v>
      </c>
      <c r="L74" t="n">
        <v>0</v>
      </c>
      <c r="M74" t="n">
        <v>0</v>
      </c>
      <c r="N74" t="n">
        <v>0</v>
      </c>
      <c r="O74" t="n">
        <v>1</v>
      </c>
      <c r="P74" t="n">
        <v>0</v>
      </c>
      <c r="Q74" t="n">
        <v>1</v>
      </c>
      <c r="R74" s="2" t="inlineStr">
        <is>
          <t>Gränsticka</t>
        </is>
      </c>
      <c r="S74">
        <f>HYPERLINK("https://klasma.github.io/Logging_2023/artfynd/A 48842-2022 artfynd.xlsx", "A 48842-2022")</f>
        <v/>
      </c>
      <c r="T74">
        <f>HYPERLINK("https://klasma.github.io/Logging_2023/kartor/A 48842-2022 karta.png", "A 48842-2022")</f>
        <v/>
      </c>
      <c r="V74">
        <f>HYPERLINK("https://klasma.github.io/Logging_2023/klagomål/A 48842-2022 FSC-klagomål.docx", "A 48842-2022")</f>
        <v/>
      </c>
      <c r="W74">
        <f>HYPERLINK("https://klasma.github.io/Logging_2023/klagomålsmail/A 48842-2022 FSC-klagomål mail.docx", "A 48842-2022")</f>
        <v/>
      </c>
      <c r="X74">
        <f>HYPERLINK("https://klasma.github.io/Logging_2023/tillsyn/A 48842-2022 tillsynsbegäran.docx", "A 48842-2022")</f>
        <v/>
      </c>
      <c r="Y74">
        <f>HYPERLINK("https://klasma.github.io/Logging_2023/tillsynsmail/A 48842-2022 tillsynsbegäran mail.docx", "A 48842-2022")</f>
        <v/>
      </c>
    </row>
    <row r="75" ht="15" customHeight="1">
      <c r="A75" t="inlineStr">
        <is>
          <t>A 32068-2023</t>
        </is>
      </c>
      <c r="B75" s="1" t="n">
        <v>45119</v>
      </c>
      <c r="C75" s="1" t="n">
        <v>45791</v>
      </c>
      <c r="D75" t="inlineStr">
        <is>
          <t>DALARNAS LÄN</t>
        </is>
      </c>
      <c r="E75" t="inlineStr">
        <is>
          <t>MALUNG-SÄLEN</t>
        </is>
      </c>
      <c r="F75" t="inlineStr">
        <is>
          <t>Bergvik skog öst AB</t>
        </is>
      </c>
      <c r="G75" t="n">
        <v>1.6</v>
      </c>
      <c r="H75" t="n">
        <v>1</v>
      </c>
      <c r="I75" t="n">
        <v>0</v>
      </c>
      <c r="J75" t="n">
        <v>1</v>
      </c>
      <c r="K75" t="n">
        <v>0</v>
      </c>
      <c r="L75" t="n">
        <v>0</v>
      </c>
      <c r="M75" t="n">
        <v>0</v>
      </c>
      <c r="N75" t="n">
        <v>0</v>
      </c>
      <c r="O75" t="n">
        <v>1</v>
      </c>
      <c r="P75" t="n">
        <v>0</v>
      </c>
      <c r="Q75" t="n">
        <v>1</v>
      </c>
      <c r="R75" s="2" t="inlineStr">
        <is>
          <t>Kungsörn</t>
        </is>
      </c>
      <c r="S75">
        <f>HYPERLINK("https://klasma.github.io/Logging_2023/artfynd/A 32068-2023 artfynd.xlsx", "A 32068-2023")</f>
        <v/>
      </c>
      <c r="T75">
        <f>HYPERLINK("https://klasma.github.io/Logging_2023/kartor/A 32068-2023 karta.png", "A 32068-2023")</f>
        <v/>
      </c>
      <c r="V75">
        <f>HYPERLINK("https://klasma.github.io/Logging_2023/klagomål/A 32068-2023 FSC-klagomål.docx", "A 32068-2023")</f>
        <v/>
      </c>
      <c r="W75">
        <f>HYPERLINK("https://klasma.github.io/Logging_2023/klagomålsmail/A 32068-2023 FSC-klagomål mail.docx", "A 32068-2023")</f>
        <v/>
      </c>
      <c r="X75">
        <f>HYPERLINK("https://klasma.github.io/Logging_2023/tillsyn/A 32068-2023 tillsynsbegäran.docx", "A 32068-2023")</f>
        <v/>
      </c>
      <c r="Y75">
        <f>HYPERLINK("https://klasma.github.io/Logging_2023/tillsynsmail/A 32068-2023 tillsynsbegäran mail.docx", "A 32068-2023")</f>
        <v/>
      </c>
      <c r="Z75">
        <f>HYPERLINK("https://klasma.github.io/Logging_2023/fåglar/A 32068-2023 prioriterade fågelarter.docx", "A 32068-2023")</f>
        <v/>
      </c>
    </row>
    <row r="76" ht="15" customHeight="1">
      <c r="A76" t="inlineStr">
        <is>
          <t>A 57333-2023</t>
        </is>
      </c>
      <c r="B76" s="1" t="n">
        <v>45245</v>
      </c>
      <c r="C76" s="1" t="n">
        <v>45791</v>
      </c>
      <c r="D76" t="inlineStr">
        <is>
          <t>DALARNAS LÄN</t>
        </is>
      </c>
      <c r="E76" t="inlineStr">
        <is>
          <t>MALUNG-SÄLEN</t>
        </is>
      </c>
      <c r="G76" t="n">
        <v>6.7</v>
      </c>
      <c r="H76" t="n">
        <v>0</v>
      </c>
      <c r="I76" t="n">
        <v>0</v>
      </c>
      <c r="J76" t="n">
        <v>0</v>
      </c>
      <c r="K76" t="n">
        <v>1</v>
      </c>
      <c r="L76" t="n">
        <v>0</v>
      </c>
      <c r="M76" t="n">
        <v>0</v>
      </c>
      <c r="N76" t="n">
        <v>0</v>
      </c>
      <c r="O76" t="n">
        <v>1</v>
      </c>
      <c r="P76" t="n">
        <v>1</v>
      </c>
      <c r="Q76" t="n">
        <v>1</v>
      </c>
      <c r="R76" s="2" t="inlineStr">
        <is>
          <t>Gräddporing</t>
        </is>
      </c>
      <c r="S76">
        <f>HYPERLINK("https://klasma.github.io/Logging_2023/artfynd/A 57333-2023 artfynd.xlsx", "A 57333-2023")</f>
        <v/>
      </c>
      <c r="T76">
        <f>HYPERLINK("https://klasma.github.io/Logging_2023/kartor/A 57333-2023 karta.png", "A 57333-2023")</f>
        <v/>
      </c>
      <c r="V76">
        <f>HYPERLINK("https://klasma.github.io/Logging_2023/klagomål/A 57333-2023 FSC-klagomål.docx", "A 57333-2023")</f>
        <v/>
      </c>
      <c r="W76">
        <f>HYPERLINK("https://klasma.github.io/Logging_2023/klagomålsmail/A 57333-2023 FSC-klagomål mail.docx", "A 57333-2023")</f>
        <v/>
      </c>
      <c r="X76">
        <f>HYPERLINK("https://klasma.github.io/Logging_2023/tillsyn/A 57333-2023 tillsynsbegäran.docx", "A 57333-2023")</f>
        <v/>
      </c>
      <c r="Y76">
        <f>HYPERLINK("https://klasma.github.io/Logging_2023/tillsynsmail/A 57333-2023 tillsynsbegäran mail.docx", "A 57333-2023")</f>
        <v/>
      </c>
    </row>
    <row r="77" ht="15" customHeight="1">
      <c r="A77" t="inlineStr">
        <is>
          <t>A 57702-2023</t>
        </is>
      </c>
      <c r="B77" s="1" t="n">
        <v>45246</v>
      </c>
      <c r="C77" s="1" t="n">
        <v>45791</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6807-2024</t>
        </is>
      </c>
      <c r="B78" s="1" t="n">
        <v>45342</v>
      </c>
      <c r="C78" s="1" t="n">
        <v>45791</v>
      </c>
      <c r="D78" t="inlineStr">
        <is>
          <t>DALARNAS LÄN</t>
        </is>
      </c>
      <c r="E78" t="inlineStr">
        <is>
          <t>MALUNG-SÄLEN</t>
        </is>
      </c>
      <c r="G78" t="n">
        <v>10.7</v>
      </c>
      <c r="H78" t="n">
        <v>0</v>
      </c>
      <c r="I78" t="n">
        <v>0</v>
      </c>
      <c r="J78" t="n">
        <v>1</v>
      </c>
      <c r="K78" t="n">
        <v>0</v>
      </c>
      <c r="L78" t="n">
        <v>0</v>
      </c>
      <c r="M78" t="n">
        <v>0</v>
      </c>
      <c r="N78" t="n">
        <v>0</v>
      </c>
      <c r="O78" t="n">
        <v>1</v>
      </c>
      <c r="P78" t="n">
        <v>0</v>
      </c>
      <c r="Q78" t="n">
        <v>1</v>
      </c>
      <c r="R78" s="2" t="inlineStr">
        <is>
          <t>Motaggsvamp</t>
        </is>
      </c>
      <c r="S78">
        <f>HYPERLINK("https://klasma.github.io/Logging_2023/artfynd/A 6807-2024 artfynd.xlsx", "A 6807-2024")</f>
        <v/>
      </c>
      <c r="T78">
        <f>HYPERLINK("https://klasma.github.io/Logging_2023/kartor/A 6807-2024 karta.png", "A 6807-2024")</f>
        <v/>
      </c>
      <c r="V78">
        <f>HYPERLINK("https://klasma.github.io/Logging_2023/klagomål/A 6807-2024 FSC-klagomål.docx", "A 6807-2024")</f>
        <v/>
      </c>
      <c r="W78">
        <f>HYPERLINK("https://klasma.github.io/Logging_2023/klagomålsmail/A 6807-2024 FSC-klagomål mail.docx", "A 6807-2024")</f>
        <v/>
      </c>
      <c r="X78">
        <f>HYPERLINK("https://klasma.github.io/Logging_2023/tillsyn/A 6807-2024 tillsynsbegäran.docx", "A 6807-2024")</f>
        <v/>
      </c>
      <c r="Y78">
        <f>HYPERLINK("https://klasma.github.io/Logging_2023/tillsynsmail/A 6807-2024 tillsynsbegäran mail.docx", "A 6807-2024")</f>
        <v/>
      </c>
    </row>
    <row r="79" ht="15" customHeight="1">
      <c r="A79" t="inlineStr">
        <is>
          <t>A 8326-2024</t>
        </is>
      </c>
      <c r="B79" s="1" t="n">
        <v>45352</v>
      </c>
      <c r="C79" s="1" t="n">
        <v>45791</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Doftskinn</t>
        </is>
      </c>
      <c r="S79">
        <f>HYPERLINK("https://klasma.github.io/Logging_2023/artfynd/A 8326-2024 artfynd.xlsx", "A 8326-2024")</f>
        <v/>
      </c>
      <c r="T79">
        <f>HYPERLINK("https://klasma.github.io/Logging_2023/kartor/A 8326-2024 karta.png", "A 8326-2024")</f>
        <v/>
      </c>
      <c r="V79">
        <f>HYPERLINK("https://klasma.github.io/Logging_2023/klagomål/A 8326-2024 FSC-klagomål.docx", "A 8326-2024")</f>
        <v/>
      </c>
      <c r="W79">
        <f>HYPERLINK("https://klasma.github.io/Logging_2023/klagomålsmail/A 8326-2024 FSC-klagomål mail.docx", "A 8326-2024")</f>
        <v/>
      </c>
      <c r="X79">
        <f>HYPERLINK("https://klasma.github.io/Logging_2023/tillsyn/A 8326-2024 tillsynsbegäran.docx", "A 8326-2024")</f>
        <v/>
      </c>
      <c r="Y79">
        <f>HYPERLINK("https://klasma.github.io/Logging_2023/tillsynsmail/A 8326-2024 tillsynsbegäran mail.docx", "A 8326-2024")</f>
        <v/>
      </c>
    </row>
    <row r="80" ht="15" customHeight="1">
      <c r="A80" t="inlineStr">
        <is>
          <t>A 19374-2024</t>
        </is>
      </c>
      <c r="B80" s="1" t="n">
        <v>45429</v>
      </c>
      <c r="C80" s="1" t="n">
        <v>45791</v>
      </c>
      <c r="D80" t="inlineStr">
        <is>
          <t>DALARNAS LÄN</t>
        </is>
      </c>
      <c r="E80" t="inlineStr">
        <is>
          <t>MALUNG-SÄLEN</t>
        </is>
      </c>
      <c r="F80" t="inlineStr">
        <is>
          <t>Bergvik skog öst AB</t>
        </is>
      </c>
      <c r="G80" t="n">
        <v>1.1</v>
      </c>
      <c r="H80" t="n">
        <v>0</v>
      </c>
      <c r="I80" t="n">
        <v>1</v>
      </c>
      <c r="J80" t="n">
        <v>0</v>
      </c>
      <c r="K80" t="n">
        <v>0</v>
      </c>
      <c r="L80" t="n">
        <v>0</v>
      </c>
      <c r="M80" t="n">
        <v>0</v>
      </c>
      <c r="N80" t="n">
        <v>0</v>
      </c>
      <c r="O80" t="n">
        <v>0</v>
      </c>
      <c r="P80" t="n">
        <v>0</v>
      </c>
      <c r="Q80" t="n">
        <v>1</v>
      </c>
      <c r="R80" s="2" t="inlineStr">
        <is>
          <t>Skarp dropptaggsvamp</t>
        </is>
      </c>
      <c r="S80">
        <f>HYPERLINK("https://klasma.github.io/Logging_2023/artfynd/A 19374-2024 artfynd.xlsx", "A 19374-2024")</f>
        <v/>
      </c>
      <c r="T80">
        <f>HYPERLINK("https://klasma.github.io/Logging_2023/kartor/A 19374-2024 karta.png", "A 19374-2024")</f>
        <v/>
      </c>
      <c r="V80">
        <f>HYPERLINK("https://klasma.github.io/Logging_2023/klagomål/A 19374-2024 FSC-klagomål.docx", "A 19374-2024")</f>
        <v/>
      </c>
      <c r="W80">
        <f>HYPERLINK("https://klasma.github.io/Logging_2023/klagomålsmail/A 19374-2024 FSC-klagomål mail.docx", "A 19374-2024")</f>
        <v/>
      </c>
      <c r="X80">
        <f>HYPERLINK("https://klasma.github.io/Logging_2023/tillsyn/A 19374-2024 tillsynsbegäran.docx", "A 19374-2024")</f>
        <v/>
      </c>
      <c r="Y80">
        <f>HYPERLINK("https://klasma.github.io/Logging_2023/tillsynsmail/A 19374-2024 tillsynsbegäran mail.docx", "A 19374-2024")</f>
        <v/>
      </c>
    </row>
    <row r="81" ht="15" customHeight="1">
      <c r="A81" t="inlineStr">
        <is>
          <t>A 22186-2024</t>
        </is>
      </c>
      <c r="B81" s="1" t="n">
        <v>45446</v>
      </c>
      <c r="C81" s="1" t="n">
        <v>45791</v>
      </c>
      <c r="D81" t="inlineStr">
        <is>
          <t>DALARNAS LÄN</t>
        </is>
      </c>
      <c r="E81" t="inlineStr">
        <is>
          <t>MALUNG-SÄLEN</t>
        </is>
      </c>
      <c r="F81" t="inlineStr">
        <is>
          <t>Allmännings- och besparingsskogar</t>
        </is>
      </c>
      <c r="G81" t="n">
        <v>36</v>
      </c>
      <c r="H81" t="n">
        <v>1</v>
      </c>
      <c r="I81" t="n">
        <v>0</v>
      </c>
      <c r="J81" t="n">
        <v>1</v>
      </c>
      <c r="K81" t="n">
        <v>0</v>
      </c>
      <c r="L81" t="n">
        <v>0</v>
      </c>
      <c r="M81" t="n">
        <v>0</v>
      </c>
      <c r="N81" t="n">
        <v>0</v>
      </c>
      <c r="O81" t="n">
        <v>1</v>
      </c>
      <c r="P81" t="n">
        <v>0</v>
      </c>
      <c r="Q81" t="n">
        <v>1</v>
      </c>
      <c r="R81" s="2" t="inlineStr">
        <is>
          <t>Varglav</t>
        </is>
      </c>
      <c r="S81">
        <f>HYPERLINK("https://klasma.github.io/Logging_2023/artfynd/A 22186-2024 artfynd.xlsx", "A 22186-2024")</f>
        <v/>
      </c>
      <c r="T81">
        <f>HYPERLINK("https://klasma.github.io/Logging_2023/kartor/A 22186-2024 karta.png", "A 22186-2024")</f>
        <v/>
      </c>
      <c r="V81">
        <f>HYPERLINK("https://klasma.github.io/Logging_2023/klagomål/A 22186-2024 FSC-klagomål.docx", "A 22186-2024")</f>
        <v/>
      </c>
      <c r="W81">
        <f>HYPERLINK("https://klasma.github.io/Logging_2023/klagomålsmail/A 22186-2024 FSC-klagomål mail.docx", "A 22186-2024")</f>
        <v/>
      </c>
      <c r="X81">
        <f>HYPERLINK("https://klasma.github.io/Logging_2023/tillsyn/A 22186-2024 tillsynsbegäran.docx", "A 22186-2024")</f>
        <v/>
      </c>
      <c r="Y81">
        <f>HYPERLINK("https://klasma.github.io/Logging_2023/tillsynsmail/A 22186-2024 tillsynsbegäran mail.docx", "A 22186-2024")</f>
        <v/>
      </c>
    </row>
    <row r="82" ht="15" customHeight="1">
      <c r="A82" t="inlineStr">
        <is>
          <t>A 24907-2024</t>
        </is>
      </c>
      <c r="B82" s="1" t="n">
        <v>45461</v>
      </c>
      <c r="C82" s="1" t="n">
        <v>45791</v>
      </c>
      <c r="D82" t="inlineStr">
        <is>
          <t>DALARNAS LÄN</t>
        </is>
      </c>
      <c r="E82" t="inlineStr">
        <is>
          <t>MALUNG-SÄLEN</t>
        </is>
      </c>
      <c r="F82" t="inlineStr">
        <is>
          <t>Allmännings- och besparingsskogar</t>
        </is>
      </c>
      <c r="G82" t="n">
        <v>1.4</v>
      </c>
      <c r="H82" t="n">
        <v>1</v>
      </c>
      <c r="I82" t="n">
        <v>0</v>
      </c>
      <c r="J82" t="n">
        <v>1</v>
      </c>
      <c r="K82" t="n">
        <v>0</v>
      </c>
      <c r="L82" t="n">
        <v>0</v>
      </c>
      <c r="M82" t="n">
        <v>0</v>
      </c>
      <c r="N82" t="n">
        <v>0</v>
      </c>
      <c r="O82" t="n">
        <v>1</v>
      </c>
      <c r="P82" t="n">
        <v>0</v>
      </c>
      <c r="Q82" t="n">
        <v>1</v>
      </c>
      <c r="R82" s="2" t="inlineStr">
        <is>
          <t>Tretåig hackspett</t>
        </is>
      </c>
      <c r="S82">
        <f>HYPERLINK("https://klasma.github.io/Logging_2023/artfynd/A 24907-2024 artfynd.xlsx", "A 24907-2024")</f>
        <v/>
      </c>
      <c r="T82">
        <f>HYPERLINK("https://klasma.github.io/Logging_2023/kartor/A 24907-2024 karta.png", "A 24907-2024")</f>
        <v/>
      </c>
      <c r="V82">
        <f>HYPERLINK("https://klasma.github.io/Logging_2023/klagomål/A 24907-2024 FSC-klagomål.docx", "A 24907-2024")</f>
        <v/>
      </c>
      <c r="W82">
        <f>HYPERLINK("https://klasma.github.io/Logging_2023/klagomålsmail/A 24907-2024 FSC-klagomål mail.docx", "A 24907-2024")</f>
        <v/>
      </c>
      <c r="X82">
        <f>HYPERLINK("https://klasma.github.io/Logging_2023/tillsyn/A 24907-2024 tillsynsbegäran.docx", "A 24907-2024")</f>
        <v/>
      </c>
      <c r="Y82">
        <f>HYPERLINK("https://klasma.github.io/Logging_2023/tillsynsmail/A 24907-2024 tillsynsbegäran mail.docx", "A 24907-2024")</f>
        <v/>
      </c>
      <c r="Z82">
        <f>HYPERLINK("https://klasma.github.io/Logging_2023/fåglar/A 24907-2024 prioriterade fågelarter.docx", "A 24907-2024")</f>
        <v/>
      </c>
    </row>
    <row r="83" ht="15" customHeight="1">
      <c r="A83" t="inlineStr">
        <is>
          <t>A 29045-2024</t>
        </is>
      </c>
      <c r="B83" s="1" t="n">
        <v>45481</v>
      </c>
      <c r="C83" s="1" t="n">
        <v>45791</v>
      </c>
      <c r="D83" t="inlineStr">
        <is>
          <t>DALARNAS LÄN</t>
        </is>
      </c>
      <c r="E83" t="inlineStr">
        <is>
          <t>MALUNG-SÄLEN</t>
        </is>
      </c>
      <c r="G83" t="n">
        <v>5.7</v>
      </c>
      <c r="H83" t="n">
        <v>1</v>
      </c>
      <c r="I83" t="n">
        <v>0</v>
      </c>
      <c r="J83" t="n">
        <v>0</v>
      </c>
      <c r="K83" t="n">
        <v>1</v>
      </c>
      <c r="L83" t="n">
        <v>0</v>
      </c>
      <c r="M83" t="n">
        <v>0</v>
      </c>
      <c r="N83" t="n">
        <v>0</v>
      </c>
      <c r="O83" t="n">
        <v>1</v>
      </c>
      <c r="P83" t="n">
        <v>1</v>
      </c>
      <c r="Q83" t="n">
        <v>1</v>
      </c>
      <c r="R83" s="2" t="inlineStr">
        <is>
          <t>Knärot</t>
        </is>
      </c>
      <c r="S83">
        <f>HYPERLINK("https://klasma.github.io/Logging_2023/artfynd/A 29045-2024 artfynd.xlsx", "A 29045-2024")</f>
        <v/>
      </c>
      <c r="T83">
        <f>HYPERLINK("https://klasma.github.io/Logging_2023/kartor/A 29045-2024 karta.png", "A 29045-2024")</f>
        <v/>
      </c>
      <c r="U83">
        <f>HYPERLINK("https://klasma.github.io/Logging_2023/knärot/A 29045-2024 karta knärot.png", "A 29045-2024")</f>
        <v/>
      </c>
      <c r="V83">
        <f>HYPERLINK("https://klasma.github.io/Logging_2023/klagomål/A 29045-2024 FSC-klagomål.docx", "A 29045-2024")</f>
        <v/>
      </c>
      <c r="W83">
        <f>HYPERLINK("https://klasma.github.io/Logging_2023/klagomålsmail/A 29045-2024 FSC-klagomål mail.docx", "A 29045-2024")</f>
        <v/>
      </c>
      <c r="X83">
        <f>HYPERLINK("https://klasma.github.io/Logging_2023/tillsyn/A 29045-2024 tillsynsbegäran.docx", "A 29045-2024")</f>
        <v/>
      </c>
      <c r="Y83">
        <f>HYPERLINK("https://klasma.github.io/Logging_2023/tillsynsmail/A 29045-2024 tillsynsbegäran mail.docx", "A 29045-2024")</f>
        <v/>
      </c>
    </row>
    <row r="84" ht="15" customHeight="1">
      <c r="A84" t="inlineStr">
        <is>
          <t>A 55914-2024</t>
        </is>
      </c>
      <c r="B84" s="1" t="n">
        <v>45623</v>
      </c>
      <c r="C84" s="1" t="n">
        <v>45791</v>
      </c>
      <c r="D84" t="inlineStr">
        <is>
          <t>DALARNAS LÄN</t>
        </is>
      </c>
      <c r="E84" t="inlineStr">
        <is>
          <t>MALUNG-SÄLEN</t>
        </is>
      </c>
      <c r="G84" t="n">
        <v>1.3</v>
      </c>
      <c r="H84" t="n">
        <v>0</v>
      </c>
      <c r="I84" t="n">
        <v>0</v>
      </c>
      <c r="J84" t="n">
        <v>1</v>
      </c>
      <c r="K84" t="n">
        <v>0</v>
      </c>
      <c r="L84" t="n">
        <v>0</v>
      </c>
      <c r="M84" t="n">
        <v>0</v>
      </c>
      <c r="N84" t="n">
        <v>0</v>
      </c>
      <c r="O84" t="n">
        <v>1</v>
      </c>
      <c r="P84" t="n">
        <v>0</v>
      </c>
      <c r="Q84" t="n">
        <v>1</v>
      </c>
      <c r="R84" s="2" t="inlineStr">
        <is>
          <t>Lunglav</t>
        </is>
      </c>
      <c r="S84">
        <f>HYPERLINK("https://klasma.github.io/Logging_2023/artfynd/A 55914-2024 artfynd.xlsx", "A 55914-2024")</f>
        <v/>
      </c>
      <c r="T84">
        <f>HYPERLINK("https://klasma.github.io/Logging_2023/kartor/A 55914-2024 karta.png", "A 55914-2024")</f>
        <v/>
      </c>
      <c r="V84">
        <f>HYPERLINK("https://klasma.github.io/Logging_2023/klagomål/A 55914-2024 FSC-klagomål.docx", "A 55914-2024")</f>
        <v/>
      </c>
      <c r="W84">
        <f>HYPERLINK("https://klasma.github.io/Logging_2023/klagomålsmail/A 55914-2024 FSC-klagomål mail.docx", "A 55914-2024")</f>
        <v/>
      </c>
      <c r="X84">
        <f>HYPERLINK("https://klasma.github.io/Logging_2023/tillsyn/A 55914-2024 tillsynsbegäran.docx", "A 55914-2024")</f>
        <v/>
      </c>
      <c r="Y84">
        <f>HYPERLINK("https://klasma.github.io/Logging_2023/tillsynsmail/A 55914-2024 tillsynsbegäran mail.docx", "A 55914-2024")</f>
        <v/>
      </c>
    </row>
    <row r="85" ht="15" customHeight="1">
      <c r="A85" t="inlineStr">
        <is>
          <t>A 2940-2025</t>
        </is>
      </c>
      <c r="B85" s="1" t="n">
        <v>45678</v>
      </c>
      <c r="C85" s="1" t="n">
        <v>45791</v>
      </c>
      <c r="D85" t="inlineStr">
        <is>
          <t>DALARNAS LÄN</t>
        </is>
      </c>
      <c r="E85" t="inlineStr">
        <is>
          <t>MALUNG-SÄLEN</t>
        </is>
      </c>
      <c r="G85" t="n">
        <v>3.8</v>
      </c>
      <c r="H85" t="n">
        <v>0</v>
      </c>
      <c r="I85" t="n">
        <v>0</v>
      </c>
      <c r="J85" t="n">
        <v>1</v>
      </c>
      <c r="K85" t="n">
        <v>0</v>
      </c>
      <c r="L85" t="n">
        <v>0</v>
      </c>
      <c r="M85" t="n">
        <v>0</v>
      </c>
      <c r="N85" t="n">
        <v>0</v>
      </c>
      <c r="O85" t="n">
        <v>1</v>
      </c>
      <c r="P85" t="n">
        <v>0</v>
      </c>
      <c r="Q85" t="n">
        <v>1</v>
      </c>
      <c r="R85" s="2" t="inlineStr">
        <is>
          <t>Garnlav</t>
        </is>
      </c>
      <c r="S85">
        <f>HYPERLINK("https://klasma.github.io/Logging_2023/artfynd/A 2940-2025 artfynd.xlsx", "A 2940-2025")</f>
        <v/>
      </c>
      <c r="T85">
        <f>HYPERLINK("https://klasma.github.io/Logging_2023/kartor/A 2940-2025 karta.png", "A 2940-2025")</f>
        <v/>
      </c>
      <c r="V85">
        <f>HYPERLINK("https://klasma.github.io/Logging_2023/klagomål/A 2940-2025 FSC-klagomål.docx", "A 2940-2025")</f>
        <v/>
      </c>
      <c r="W85">
        <f>HYPERLINK("https://klasma.github.io/Logging_2023/klagomålsmail/A 2940-2025 FSC-klagomål mail.docx", "A 2940-2025")</f>
        <v/>
      </c>
      <c r="X85">
        <f>HYPERLINK("https://klasma.github.io/Logging_2023/tillsyn/A 2940-2025 tillsynsbegäran.docx", "A 2940-2025")</f>
        <v/>
      </c>
      <c r="Y85">
        <f>HYPERLINK("https://klasma.github.io/Logging_2023/tillsynsmail/A 2940-2025 tillsynsbegäran mail.docx", "A 2940-2025")</f>
        <v/>
      </c>
    </row>
    <row r="86" ht="15" customHeight="1">
      <c r="A86" t="inlineStr">
        <is>
          <t>A 8696-2025</t>
        </is>
      </c>
      <c r="B86" s="1" t="n">
        <v>45712</v>
      </c>
      <c r="C86" s="1" t="n">
        <v>45791</v>
      </c>
      <c r="D86" t="inlineStr">
        <is>
          <t>DALARNAS LÄN</t>
        </is>
      </c>
      <c r="E86" t="inlineStr">
        <is>
          <t>MALUNG-SÄLEN</t>
        </is>
      </c>
      <c r="G86" t="n">
        <v>6.5</v>
      </c>
      <c r="H86" t="n">
        <v>0</v>
      </c>
      <c r="I86" t="n">
        <v>0</v>
      </c>
      <c r="J86" t="n">
        <v>1</v>
      </c>
      <c r="K86" t="n">
        <v>0</v>
      </c>
      <c r="L86" t="n">
        <v>0</v>
      </c>
      <c r="M86" t="n">
        <v>0</v>
      </c>
      <c r="N86" t="n">
        <v>0</v>
      </c>
      <c r="O86" t="n">
        <v>1</v>
      </c>
      <c r="P86" t="n">
        <v>0</v>
      </c>
      <c r="Q86" t="n">
        <v>1</v>
      </c>
      <c r="R86" s="2" t="inlineStr">
        <is>
          <t>Garnlav</t>
        </is>
      </c>
      <c r="S86">
        <f>HYPERLINK("https://klasma.github.io/Logging_2023/artfynd/A 8696-2025 artfynd.xlsx", "A 8696-2025")</f>
        <v/>
      </c>
      <c r="T86">
        <f>HYPERLINK("https://klasma.github.io/Logging_2023/kartor/A 8696-2025 karta.png", "A 8696-2025")</f>
        <v/>
      </c>
      <c r="V86">
        <f>HYPERLINK("https://klasma.github.io/Logging_2023/klagomål/A 8696-2025 FSC-klagomål.docx", "A 8696-2025")</f>
        <v/>
      </c>
      <c r="W86">
        <f>HYPERLINK("https://klasma.github.io/Logging_2023/klagomålsmail/A 8696-2025 FSC-klagomål mail.docx", "A 8696-2025")</f>
        <v/>
      </c>
      <c r="X86">
        <f>HYPERLINK("https://klasma.github.io/Logging_2023/tillsyn/A 8696-2025 tillsynsbegäran.docx", "A 8696-2025")</f>
        <v/>
      </c>
      <c r="Y86">
        <f>HYPERLINK("https://klasma.github.io/Logging_2023/tillsynsmail/A 8696-2025 tillsynsbegäran mail.docx", "A 8696-2025")</f>
        <v/>
      </c>
    </row>
    <row r="87" ht="15" customHeight="1">
      <c r="A87" t="inlineStr">
        <is>
          <t>A 18265-2019</t>
        </is>
      </c>
      <c r="B87" s="1" t="n">
        <v>43558</v>
      </c>
      <c r="C87" s="1" t="n">
        <v>45791</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45791</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45791</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45791</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45791</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45791</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45791</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45791</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45791</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45791</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45791</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45791</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45791</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45791</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45791</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45791</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45791</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45791</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45791</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45791</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45791</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45791</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45791</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45791</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45791</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45791</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45791</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45791</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45791</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45791</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45791</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45791</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45791</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45791</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45791</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45791</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45791</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45791</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45791</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45791</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45791</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45791</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45791</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45791</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45791</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45791</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45791</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45791</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45791</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45791</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45791</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45791</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45791</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45791</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45791</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45791</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45791</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45791</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45791</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45791</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45791</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45791</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45791</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45791</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45791</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45791</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45791</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45791</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45791</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45791</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45791</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45791</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45791</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45791</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45791</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45791</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45791</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45791</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45791</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45791</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45791</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45791</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45791</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45791</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45791</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45791</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45791</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45791</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45791</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45791</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45791</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45791</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45791</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45791</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45791</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45791</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45791</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45791</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45791</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45791</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45791</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45791</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45791</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45791</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45791</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45791</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45791</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45791</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45791</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45791</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45791</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45791</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45791</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45791</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45791</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45791</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45791</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45791</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45791</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45791</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45791</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45791</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45791</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45791</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45791</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45791</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45791</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45791</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45791</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45791</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45791</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45791</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45791</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45791</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45791</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45791</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45791</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45791</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45791</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45791</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45791</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45791</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45791</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45791</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45791</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45791</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45791</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45791</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45791</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45791</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45791</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45791</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45791</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45791</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45791</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45791</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45791</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45791</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45791</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45791</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45791</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45791</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45791</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45791</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45791</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45791</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45791</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45791</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45791</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45791</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45791</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45791</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45791</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45791</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45791</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45791</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45791</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45791</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45791</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45791</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45791</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45791</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45791</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45791</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45791</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45791</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45791</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45791</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45791</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45791</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45791</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45791</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45791</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45791</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45791</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45791</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45791</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45791</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45791</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45791</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45791</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45791</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45791</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45791</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45791</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45791</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45791</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45791</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45791</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45791</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45791</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45791</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45791</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45791</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45791</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45791</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45791</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45791</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45791</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45791</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45791</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45791</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45791</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45791</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45791</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45791</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45791</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45791</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45791</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45791</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45791</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45791</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45791</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45791</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45791</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45791</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45791</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45791</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45791</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45791</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45791</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45791</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45791</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45791</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45791</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45791</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45791</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45791</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45791</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45791</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45791</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45791</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45791</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45791</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45791</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45791</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45791</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45791</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45791</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45791</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45791</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45791</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45791</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45791</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45791</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45791</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45791</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45791</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45791</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45791</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45791</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45791</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45791</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45791</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45791</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45791</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45791</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45791</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45791</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45791</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45791</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45791</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45791</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45791</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45791</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45791</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45791</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45791</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45791</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45791</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45791</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45791</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45791</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45791</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45791</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45791</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45791</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45791</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45791</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45791</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45791</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45791</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45791</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45791</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45791</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45791</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45791</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45791</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45791</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45791</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45791</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45791</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45791</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45791</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45791</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45791</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45791</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45791</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45791</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45791</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45791</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45791</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45791</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45791</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45791</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45791</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45791</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45791</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45791</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45791</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45791</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45791</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45791</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45791</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45791</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45791</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45791</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45791</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45791</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45791</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45791</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45791</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45791</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45791</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45791</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45791</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45791</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45791</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45791</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45791</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45791</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45791</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45791</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45791</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45791</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45791</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45791</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45791</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45791</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45791</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45791</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45791</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45791</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45791</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45791</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45791</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45791</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45791</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45791</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45791</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45791</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45791</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45791</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45791</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45791</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45791</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45791</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45791</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45791</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45791</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45791</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45791</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45791</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45791</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45791</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45791</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45791</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45791</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45791</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45791</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45791</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45791</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45791</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45791</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45791</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45791</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45791</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45791</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45791</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45791</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45791</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45791</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45791</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45791</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45791</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45791</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45791</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45791</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45791</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45791</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45791</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45791</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45791</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45791</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45791</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45791</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45791</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45791</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45791</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45791</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45791</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45791</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45791</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45791</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45791</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45791</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45791</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45791</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45791</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45791</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45791</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45791</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45791</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45791</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45791</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45791</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45791</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45791</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45791</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45791</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45791</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45791</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45791</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45791</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45791</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45791</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45791</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45791</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45791</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45791</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45791</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45791</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45791</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45791</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45791</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45791</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45791</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45791</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45791</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45791</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45791</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45791</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45791</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45791</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45791</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45791</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45791</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45791</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45791</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45791</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45791</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45791</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45791</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45791</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45791</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45791</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45791</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45791</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45791</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45791</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45791</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45791</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45791</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45791</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45791</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45791</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45791</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45791</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45791</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45791</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45791</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45791</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45791</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45791</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45791</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45791</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45791</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45791</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45791</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45791</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45791</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45791</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45791</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45791</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45791</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45791</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45791</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45791</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45791</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45791</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45791</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45791</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45791</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45791</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45791</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45791</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45791</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45791</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45791</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45791</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45791</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45791</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45791</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45791</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45791</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45791</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45791</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45791</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45791</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45791</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45791</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45791</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45791</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45791</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45791</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45791</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45791</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45791</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45791</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45791</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45791</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45791</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45791</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45791</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45791</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45791</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45791</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45791</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45791</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45791</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45791</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45791</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45791</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45791</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45791</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45791</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45791</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45791</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45791</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45791</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45791</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45791</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45791</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45791</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45791</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45791</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45791</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45791</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45791</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45791</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45791</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45791</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45791</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45791</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45791</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45791</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45791</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45791</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45791</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45791</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45791</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45791</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45791</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45791</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45791</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45791</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45791</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45791</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45791</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45791</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45791</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45791</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45791</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45791</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45791</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45791</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45791</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45791</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45791</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45791</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45791</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45791</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45791</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45791</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45791</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45791</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45791</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45791</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45791</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45791</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45791</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45791</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45791</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45791</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45791</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45791</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45791</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45791</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45791</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45791</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45791</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45791</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45791</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45791</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45791</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45791</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45791</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45791</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45791</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45791</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45791</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45791</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45791</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45791</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45791</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45791</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45791</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45791</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45791</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45791</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45791</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45791</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45791</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45791</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45791</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45791</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45791</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45791</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45791</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45791</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45791</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45791</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45791</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45791</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45791</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45791</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45791</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45791</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45791</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45791</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45791</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45791</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45791</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45791</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45791</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45791</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45791</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45791</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45791</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45791</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45791</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45791</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45791</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45791</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45791</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45791</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45791</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45791</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45791</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45791</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45791</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45791</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45791</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45791</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45791</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45791</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45791</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45791</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45791</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45791</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45791</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45791</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45791</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45791</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45791</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45791</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45791</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45791</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45791</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45791</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45791</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45791</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45791</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45791</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45791</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45791</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45791</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45791</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45791</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45791</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45791</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45791</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45791</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45791</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45791</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45791</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45791</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45791</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45791</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45791</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45791</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45791</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45791</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45791</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45791</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45791</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45791</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45791</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45791</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45791</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45791</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45791</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45791</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45791</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45791</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45791</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45791</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45791</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45791</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45791</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45791</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45791</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45791</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45791</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45791</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45791</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45791</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45791</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45791</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45791</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45791</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45791</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45791</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45791</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45791</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45791</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45791</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45791</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45791</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45791</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45791</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45791</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45791</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45791</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45791</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45791</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45791</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45791</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45791</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45791</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45791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45791</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45791</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45791</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45791</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45791</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45791</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45791</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45791</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45791</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45791</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45791</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45791</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45791</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45791</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45791</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45791</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45791</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45791</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45791</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45791</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45791</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45791</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45791</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45791</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45791</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45791</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45791</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45791</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45791</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45791</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45791</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45791</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45791</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45791</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45791</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45791</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45791</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45791</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45791</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45791</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45791</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45791</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45791</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45791</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45791</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45791</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45791</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45791</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45791</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45791</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45791</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45791</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45791</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45791</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45791</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45791</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45791</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45791</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45791</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45791</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45791</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45791</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45791</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45791</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45791</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45791</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45791</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45791</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45791</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45791</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45791</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45791</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45791</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45791</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45791</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45791</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45791</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45791</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45791</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45791</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45791</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45791</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45791</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45791</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45791</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45791</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45791</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45791</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45791</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45791</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45791</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45791</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45791</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45791</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45791</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45791</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45791</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45791</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45791</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45791</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45791</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45791</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45791</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45791</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45791</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45791</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45791</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45791</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45791</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45791</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45791</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45791</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45791</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45791</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45791</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45791</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45791</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45791</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45791</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45791</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45791</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45791</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45791</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45791</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45791</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45791</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45791</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45791</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45791</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45791</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45791</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45791</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45791</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45791</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45791</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45791</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45791</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45791</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45791</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45791</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45791</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45791</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45791</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45791</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45791</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45791</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45791</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45791</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45791</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45791</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45791</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45791</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45791</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45791</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45791</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45791</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45791</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45791</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45791</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45791</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45791</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45791</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45791</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45791</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45791</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45791</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45791</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45791</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45791</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45791</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45791</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45791</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45791</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45791</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45791</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45791</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45791</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45791</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45791</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45791</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45791</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45791</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45791</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45791</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45791</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45791</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45791</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45791</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45791</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45791</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45791</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45791</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45791</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45791</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45791</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45791</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45791</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45791</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45791</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45791</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45791</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45791</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45791</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45791</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45791</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45791</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45791</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45791</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45791</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45791</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45791</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45791</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45791</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45791</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45791</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45791</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45791</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45791</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45791</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45791</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45791</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45791</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45791</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45791</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45791</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45791</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45791</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45791</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45791</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45791</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45791</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45791</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45791</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45791</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45791</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45791</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45791</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45791</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45791</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45791</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45791</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45791</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45791</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45791</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45791</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45791</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45791</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45791</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45791</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45791</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45791</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45791</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45791</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45791</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45791</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45791</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45791</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45791</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45791</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45791</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45791</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45791</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45791</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45791</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45791</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45791</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45791</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45791</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45791</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45791</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45791</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45791</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45791</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45791</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45791</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45791</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45791</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45791</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45791</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45791</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45791</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45791</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45791</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45791</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45791</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45791</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45791</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45791</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45791</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45791</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45791</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45791</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45791</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45791</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45791</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45791</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45791</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45791</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45791</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45791</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45791</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45791</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45791</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45791</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45791</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45791</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45791</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45791</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45791</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45791</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45791</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45791</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45791</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45791</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45791</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45791</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45791</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45791</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45791</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45791</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45791</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45791</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45791</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45791</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45791</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45791</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45791</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45791</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45791</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45791</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45791</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45791</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45791</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45791</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45791</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45791</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45791</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45791</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45791</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45791</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45791</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45791</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45791</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45791</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45791</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45791</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45791</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45791</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45791</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45791</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45791</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45791</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45791</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45791</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45791</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45791</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45791</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45791</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45791</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45791</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45791</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45791</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45791</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45791</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45791</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45791</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45791</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45791</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45791</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45791</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45791</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45791</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45791</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45791</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45791</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45791</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45791</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45791</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45791</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45791</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45791</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45791</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45791</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45791</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45791</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45791</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45791</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45791</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45791</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45791</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45791</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45791</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45791</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45791</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45791</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45791</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45791</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45791</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45791</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45791</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45791</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45791</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45791</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45791</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45791</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45791</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45791</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45791</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45791</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45791</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45791</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45791</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45791</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45791</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45791</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45791</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45791</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45791</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45791</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45791</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45791</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45791</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45791</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45791</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45791</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45791</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45791</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45791</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45791</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45791</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45791</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45791</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45791</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45791</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45791</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45791</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45791</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45791</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45791</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45791</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45791</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45791</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45791</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45791</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45791</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45791</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45791</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45791</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45791</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45791</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45791</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45791</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45791</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45791</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45791</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45791</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45791</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45791</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45791</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45791</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45791</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45791</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45791</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45791</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45791</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45791</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45791</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45791</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45791</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45791</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45791</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45791</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45791</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18260-2025</t>
        </is>
      </c>
      <c r="B1331" s="1" t="n">
        <v>45762</v>
      </c>
      <c r="C1331" s="1" t="n">
        <v>45791</v>
      </c>
      <c r="D1331" t="inlineStr">
        <is>
          <t>DALARNAS LÄN</t>
        </is>
      </c>
      <c r="E1331" t="inlineStr">
        <is>
          <t>MALUNG-SÄLEN</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45791</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45791</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45791</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45791</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45791</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45791</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19312-2025</t>
        </is>
      </c>
      <c r="B1338" s="1" t="n">
        <v>45769</v>
      </c>
      <c r="C1338" s="1" t="n">
        <v>45791</v>
      </c>
      <c r="D1338" t="inlineStr">
        <is>
          <t>DALARNAS LÄN</t>
        </is>
      </c>
      <c r="E1338" t="inlineStr">
        <is>
          <t>MALUNG-SÄLEN</t>
        </is>
      </c>
      <c r="F1338" t="inlineStr">
        <is>
          <t>Bergvik skog öst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45791</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45791</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45791</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20514-2025</t>
        </is>
      </c>
      <c r="B1342" s="1" t="n">
        <v>45775</v>
      </c>
      <c r="C1342" s="1" t="n">
        <v>45791</v>
      </c>
      <c r="D1342" t="inlineStr">
        <is>
          <t>DALARNAS LÄN</t>
        </is>
      </c>
      <c r="E1342" t="inlineStr">
        <is>
          <t>MALUNG-SÄLEN</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45791</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45791</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45791</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45791</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45791</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45791</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2025-05-14T17:31:10Z</dcterms:created>
  <dcterms:modified xmlns:dcterms="http://purl.org/dc/terms/" xmlns:xsi="http://www.w3.org/2001/XMLSchema-instance" xsi:type="dcterms:W3CDTF">2025-05-14T17:31:11Z</dcterms:modified>
</cp:coreProperties>
</file>