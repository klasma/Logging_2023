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45828</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45828</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45828</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45828</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45828</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45828</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45828</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45828</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45828</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45828</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45828</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45828</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45828</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45828</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45828</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45828</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45828</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45828</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45828</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45828</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45828</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45828</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45828</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45828</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45828</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45828</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45828</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45828</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45828</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45828</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45828</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45828</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45828</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45828</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45828</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45828</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45828</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45828</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45828</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45828</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45828</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45828</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45828</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45828</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45828</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45828</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45828</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45828</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45828</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45828</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45828</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45828</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45828</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45828</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45828</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45828</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45828</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45828</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39475-2019</t>
        </is>
      </c>
      <c r="B64" s="1" t="n">
        <v>43691</v>
      </c>
      <c r="C64" s="1" t="n">
        <v>45828</v>
      </c>
      <c r="D64" t="inlineStr">
        <is>
          <t>DALARNAS LÄN</t>
        </is>
      </c>
      <c r="E64" t="inlineStr">
        <is>
          <t>MALUNG-SÄLEN</t>
        </is>
      </c>
      <c r="G64" t="n">
        <v>4.4</v>
      </c>
      <c r="H64" t="n">
        <v>1</v>
      </c>
      <c r="I64" t="n">
        <v>0</v>
      </c>
      <c r="J64" t="n">
        <v>0</v>
      </c>
      <c r="K64" t="n">
        <v>0</v>
      </c>
      <c r="L64" t="n">
        <v>0</v>
      </c>
      <c r="M64" t="n">
        <v>0</v>
      </c>
      <c r="N64" t="n">
        <v>0</v>
      </c>
      <c r="O64" t="n">
        <v>0</v>
      </c>
      <c r="P64" t="n">
        <v>0</v>
      </c>
      <c r="Q64" t="n">
        <v>1</v>
      </c>
      <c r="R64" s="2" t="inlineStr">
        <is>
          <t>Nattviol</t>
        </is>
      </c>
      <c r="S64">
        <f>HYPERLINK("https://klasma.github.io/Logging_2023/artfynd/A 39475-2019 artfynd.xlsx", "A 39475-2019")</f>
        <v/>
      </c>
      <c r="T64">
        <f>HYPERLINK("https://klasma.github.io/Logging_2023/kartor/A 39475-2019 karta.png", "A 39475-2019")</f>
        <v/>
      </c>
      <c r="V64">
        <f>HYPERLINK("https://klasma.github.io/Logging_2023/klagomål/A 39475-2019 FSC-klagomål.docx", "A 39475-2019")</f>
        <v/>
      </c>
      <c r="W64">
        <f>HYPERLINK("https://klasma.github.io/Logging_2023/klagomålsmail/A 39475-2019 FSC-klagomål mail.docx", "A 39475-2019")</f>
        <v/>
      </c>
      <c r="X64">
        <f>HYPERLINK("https://klasma.github.io/Logging_2023/tillsyn/A 39475-2019 tillsynsbegäran.docx", "A 39475-2019")</f>
        <v/>
      </c>
      <c r="Y64">
        <f>HYPERLINK("https://klasma.github.io/Logging_2023/tillsynsmail/A 39475-2019 tillsynsbegäran mail.docx", "A 39475-2019")</f>
        <v/>
      </c>
    </row>
    <row r="65" ht="15" customHeight="1">
      <c r="A65" t="inlineStr">
        <is>
          <t>A 62206-2019</t>
        </is>
      </c>
      <c r="B65" s="1" t="n">
        <v>43788</v>
      </c>
      <c r="C65" s="1" t="n">
        <v>45828</v>
      </c>
      <c r="D65" t="inlineStr">
        <is>
          <t>DALARNAS LÄN</t>
        </is>
      </c>
      <c r="E65" t="inlineStr">
        <is>
          <t>MALUNG-SÄLEN</t>
        </is>
      </c>
      <c r="G65" t="n">
        <v>0.8</v>
      </c>
      <c r="H65" t="n">
        <v>0</v>
      </c>
      <c r="I65" t="n">
        <v>0</v>
      </c>
      <c r="J65" t="n">
        <v>1</v>
      </c>
      <c r="K65" t="n">
        <v>0</v>
      </c>
      <c r="L65" t="n">
        <v>0</v>
      </c>
      <c r="M65" t="n">
        <v>0</v>
      </c>
      <c r="N65" t="n">
        <v>0</v>
      </c>
      <c r="O65" t="n">
        <v>1</v>
      </c>
      <c r="P65" t="n">
        <v>0</v>
      </c>
      <c r="Q65" t="n">
        <v>1</v>
      </c>
      <c r="R65" s="2" t="inlineStr">
        <is>
          <t>Lunglav</t>
        </is>
      </c>
      <c r="S65">
        <f>HYPERLINK("https://klasma.github.io/Logging_2023/artfynd/A 62206-2019 artfynd.xlsx", "A 62206-2019")</f>
        <v/>
      </c>
      <c r="T65">
        <f>HYPERLINK("https://klasma.github.io/Logging_2023/kartor/A 62206-2019 karta.png", "A 62206-2019")</f>
        <v/>
      </c>
      <c r="V65">
        <f>HYPERLINK("https://klasma.github.io/Logging_2023/klagomål/A 62206-2019 FSC-klagomål.docx", "A 62206-2019")</f>
        <v/>
      </c>
      <c r="W65">
        <f>HYPERLINK("https://klasma.github.io/Logging_2023/klagomålsmail/A 62206-2019 FSC-klagomål mail.docx", "A 62206-2019")</f>
        <v/>
      </c>
      <c r="X65">
        <f>HYPERLINK("https://klasma.github.io/Logging_2023/tillsyn/A 62206-2019 tillsynsbegäran.docx", "A 62206-2019")</f>
        <v/>
      </c>
      <c r="Y65">
        <f>HYPERLINK("https://klasma.github.io/Logging_2023/tillsynsmail/A 62206-2019 tillsynsbegäran mail.docx", "A 62206-2019")</f>
        <v/>
      </c>
    </row>
    <row r="66" ht="15" customHeight="1">
      <c r="A66" t="inlineStr">
        <is>
          <t>A 12761-2020</t>
        </is>
      </c>
      <c r="B66" s="1" t="n">
        <v>43899</v>
      </c>
      <c r="C66" s="1" t="n">
        <v>45828</v>
      </c>
      <c r="D66" t="inlineStr">
        <is>
          <t>DALARNAS LÄN</t>
        </is>
      </c>
      <c r="E66" t="inlineStr">
        <is>
          <t>MALUNG-SÄLEN</t>
        </is>
      </c>
      <c r="G66" t="n">
        <v>1.4</v>
      </c>
      <c r="H66" t="n">
        <v>0</v>
      </c>
      <c r="I66" t="n">
        <v>0</v>
      </c>
      <c r="J66" t="n">
        <v>1</v>
      </c>
      <c r="K66" t="n">
        <v>0</v>
      </c>
      <c r="L66" t="n">
        <v>0</v>
      </c>
      <c r="M66" t="n">
        <v>0</v>
      </c>
      <c r="N66" t="n">
        <v>0</v>
      </c>
      <c r="O66" t="n">
        <v>1</v>
      </c>
      <c r="P66" t="n">
        <v>0</v>
      </c>
      <c r="Q66" t="n">
        <v>1</v>
      </c>
      <c r="R66" s="2" t="inlineStr">
        <is>
          <t>Motaggsvamp</t>
        </is>
      </c>
      <c r="S66">
        <f>HYPERLINK("https://klasma.github.io/Logging_2023/artfynd/A 12761-2020 artfynd.xlsx", "A 12761-2020")</f>
        <v/>
      </c>
      <c r="T66">
        <f>HYPERLINK("https://klasma.github.io/Logging_2023/kartor/A 12761-2020 karta.png", "A 12761-2020")</f>
        <v/>
      </c>
      <c r="V66">
        <f>HYPERLINK("https://klasma.github.io/Logging_2023/klagomål/A 12761-2020 FSC-klagomål.docx", "A 12761-2020")</f>
        <v/>
      </c>
      <c r="W66">
        <f>HYPERLINK("https://klasma.github.io/Logging_2023/klagomålsmail/A 12761-2020 FSC-klagomål mail.docx", "A 12761-2020")</f>
        <v/>
      </c>
      <c r="X66">
        <f>HYPERLINK("https://klasma.github.io/Logging_2023/tillsyn/A 12761-2020 tillsynsbegäran.docx", "A 12761-2020")</f>
        <v/>
      </c>
      <c r="Y66">
        <f>HYPERLINK("https://klasma.github.io/Logging_2023/tillsynsmail/A 12761-2020 tillsynsbegäran mail.docx", "A 12761-2020")</f>
        <v/>
      </c>
    </row>
    <row r="67" ht="15" customHeight="1">
      <c r="A67" t="inlineStr">
        <is>
          <t>A 19759-2020</t>
        </is>
      </c>
      <c r="B67" s="1" t="n">
        <v>43942</v>
      </c>
      <c r="C67" s="1" t="n">
        <v>45828</v>
      </c>
      <c r="D67" t="inlineStr">
        <is>
          <t>DALARNAS LÄN</t>
        </is>
      </c>
      <c r="E67" t="inlineStr">
        <is>
          <t>MALUNG-SÄLEN</t>
        </is>
      </c>
      <c r="G67" t="n">
        <v>3.8</v>
      </c>
      <c r="H67" t="n">
        <v>1</v>
      </c>
      <c r="I67" t="n">
        <v>0</v>
      </c>
      <c r="J67" t="n">
        <v>0</v>
      </c>
      <c r="K67" t="n">
        <v>0</v>
      </c>
      <c r="L67" t="n">
        <v>1</v>
      </c>
      <c r="M67" t="n">
        <v>0</v>
      </c>
      <c r="N67" t="n">
        <v>0</v>
      </c>
      <c r="O67" t="n">
        <v>1</v>
      </c>
      <c r="P67" t="n">
        <v>1</v>
      </c>
      <c r="Q67" t="n">
        <v>1</v>
      </c>
      <c r="R67" s="2" t="inlineStr">
        <is>
          <t>Mosippa</t>
        </is>
      </c>
      <c r="S67">
        <f>HYPERLINK("https://klasma.github.io/Logging_2023/artfynd/A 19759-2020 artfynd.xlsx", "A 19759-2020")</f>
        <v/>
      </c>
      <c r="T67">
        <f>HYPERLINK("https://klasma.github.io/Logging_2023/kartor/A 19759-2020 karta.png", "A 19759-2020")</f>
        <v/>
      </c>
      <c r="V67">
        <f>HYPERLINK("https://klasma.github.io/Logging_2023/klagomål/A 19759-2020 FSC-klagomål.docx", "A 19759-2020")</f>
        <v/>
      </c>
      <c r="W67">
        <f>HYPERLINK("https://klasma.github.io/Logging_2023/klagomålsmail/A 19759-2020 FSC-klagomål mail.docx", "A 19759-2020")</f>
        <v/>
      </c>
      <c r="X67">
        <f>HYPERLINK("https://klasma.github.io/Logging_2023/tillsyn/A 19759-2020 tillsynsbegäran.docx", "A 19759-2020")</f>
        <v/>
      </c>
      <c r="Y67">
        <f>HYPERLINK("https://klasma.github.io/Logging_2023/tillsynsmail/A 19759-2020 tillsynsbegäran mail.docx", "A 19759-2020")</f>
        <v/>
      </c>
    </row>
    <row r="68" ht="15" customHeight="1">
      <c r="A68" t="inlineStr">
        <is>
          <t>A 25590-2020</t>
        </is>
      </c>
      <c r="B68" s="1" t="n">
        <v>43983</v>
      </c>
      <c r="C68" s="1" t="n">
        <v>45828</v>
      </c>
      <c r="D68" t="inlineStr">
        <is>
          <t>DALARNAS LÄN</t>
        </is>
      </c>
      <c r="E68" t="inlineStr">
        <is>
          <t>MALUNG-SÄLEN</t>
        </is>
      </c>
      <c r="F68" t="inlineStr">
        <is>
          <t>Allmännings- och besparingsskogar</t>
        </is>
      </c>
      <c r="G68" t="n">
        <v>2.2</v>
      </c>
      <c r="H68" t="n">
        <v>1</v>
      </c>
      <c r="I68" t="n">
        <v>0</v>
      </c>
      <c r="J68" t="n">
        <v>1</v>
      </c>
      <c r="K68" t="n">
        <v>0</v>
      </c>
      <c r="L68" t="n">
        <v>0</v>
      </c>
      <c r="M68" t="n">
        <v>0</v>
      </c>
      <c r="N68" t="n">
        <v>0</v>
      </c>
      <c r="O68" t="n">
        <v>1</v>
      </c>
      <c r="P68" t="n">
        <v>0</v>
      </c>
      <c r="Q68" t="n">
        <v>1</v>
      </c>
      <c r="R68" s="2" t="inlineStr">
        <is>
          <t>Tretåig hackspett</t>
        </is>
      </c>
      <c r="S68">
        <f>HYPERLINK("https://klasma.github.io/Logging_2023/artfynd/A 25590-2020 artfynd.xlsx", "A 25590-2020")</f>
        <v/>
      </c>
      <c r="T68">
        <f>HYPERLINK("https://klasma.github.io/Logging_2023/kartor/A 25590-2020 karta.png", "A 25590-2020")</f>
        <v/>
      </c>
      <c r="V68">
        <f>HYPERLINK("https://klasma.github.io/Logging_2023/klagomål/A 25590-2020 FSC-klagomål.docx", "A 25590-2020")</f>
        <v/>
      </c>
      <c r="W68">
        <f>HYPERLINK("https://klasma.github.io/Logging_2023/klagomålsmail/A 25590-2020 FSC-klagomål mail.docx", "A 25590-2020")</f>
        <v/>
      </c>
      <c r="X68">
        <f>HYPERLINK("https://klasma.github.io/Logging_2023/tillsyn/A 25590-2020 tillsynsbegäran.docx", "A 25590-2020")</f>
        <v/>
      </c>
      <c r="Y68">
        <f>HYPERLINK("https://klasma.github.io/Logging_2023/tillsynsmail/A 25590-2020 tillsynsbegäran mail.docx", "A 25590-2020")</f>
        <v/>
      </c>
      <c r="Z68">
        <f>HYPERLINK("https://klasma.github.io/Logging_2023/fåglar/A 25590-2020 prioriterade fågelarter.docx", "A 25590-2020")</f>
        <v/>
      </c>
    </row>
    <row r="69" ht="15" customHeight="1">
      <c r="A69" t="inlineStr">
        <is>
          <t>A 26557-2020</t>
        </is>
      </c>
      <c r="B69" s="1" t="n">
        <v>43987</v>
      </c>
      <c r="C69" s="1" t="n">
        <v>45828</v>
      </c>
      <c r="D69" t="inlineStr">
        <is>
          <t>DALARNAS LÄN</t>
        </is>
      </c>
      <c r="E69" t="inlineStr">
        <is>
          <t>MALUNG-SÄLEN</t>
        </is>
      </c>
      <c r="F69" t="inlineStr">
        <is>
          <t>Allmännings- och besparingsskogar</t>
        </is>
      </c>
      <c r="G69" t="n">
        <v>30.5</v>
      </c>
      <c r="H69" t="n">
        <v>1</v>
      </c>
      <c r="I69" t="n">
        <v>0</v>
      </c>
      <c r="J69" t="n">
        <v>0</v>
      </c>
      <c r="K69" t="n">
        <v>0</v>
      </c>
      <c r="L69" t="n">
        <v>0</v>
      </c>
      <c r="M69" t="n">
        <v>0</v>
      </c>
      <c r="N69" t="n">
        <v>0</v>
      </c>
      <c r="O69" t="n">
        <v>0</v>
      </c>
      <c r="P69" t="n">
        <v>0</v>
      </c>
      <c r="Q69" t="n">
        <v>1</v>
      </c>
      <c r="R69" s="2" t="inlineStr">
        <is>
          <t>Fläcknycklar</t>
        </is>
      </c>
      <c r="S69">
        <f>HYPERLINK("https://klasma.github.io/Logging_2023/artfynd/A 26557-2020 artfynd.xlsx", "A 26557-2020")</f>
        <v/>
      </c>
      <c r="T69">
        <f>HYPERLINK("https://klasma.github.io/Logging_2023/kartor/A 26557-2020 karta.png", "A 26557-2020")</f>
        <v/>
      </c>
      <c r="V69">
        <f>HYPERLINK("https://klasma.github.io/Logging_2023/klagomål/A 26557-2020 FSC-klagomål.docx", "A 26557-2020")</f>
        <v/>
      </c>
      <c r="W69">
        <f>HYPERLINK("https://klasma.github.io/Logging_2023/klagomålsmail/A 26557-2020 FSC-klagomål mail.docx", "A 26557-2020")</f>
        <v/>
      </c>
      <c r="X69">
        <f>HYPERLINK("https://klasma.github.io/Logging_2023/tillsyn/A 26557-2020 tillsynsbegäran.docx", "A 26557-2020")</f>
        <v/>
      </c>
      <c r="Y69">
        <f>HYPERLINK("https://klasma.github.io/Logging_2023/tillsynsmail/A 26557-2020 tillsynsbegäran mail.docx", "A 26557-2020")</f>
        <v/>
      </c>
    </row>
    <row r="70" ht="15" customHeight="1">
      <c r="A70" t="inlineStr">
        <is>
          <t>A 20921-2021</t>
        </is>
      </c>
      <c r="B70" s="1" t="n">
        <v>44319</v>
      </c>
      <c r="C70" s="1" t="n">
        <v>45828</v>
      </c>
      <c r="D70" t="inlineStr">
        <is>
          <t>DALARNAS LÄN</t>
        </is>
      </c>
      <c r="E70" t="inlineStr">
        <is>
          <t>MALUNG-SÄLEN</t>
        </is>
      </c>
      <c r="G70" t="n">
        <v>1.8</v>
      </c>
      <c r="H70" t="n">
        <v>0</v>
      </c>
      <c r="I70" t="n">
        <v>0</v>
      </c>
      <c r="J70" t="n">
        <v>1</v>
      </c>
      <c r="K70" t="n">
        <v>0</v>
      </c>
      <c r="L70" t="n">
        <v>0</v>
      </c>
      <c r="M70" t="n">
        <v>0</v>
      </c>
      <c r="N70" t="n">
        <v>0</v>
      </c>
      <c r="O70" t="n">
        <v>1</v>
      </c>
      <c r="P70" t="n">
        <v>0</v>
      </c>
      <c r="Q70" t="n">
        <v>1</v>
      </c>
      <c r="R70" s="2" t="inlineStr">
        <is>
          <t>Garnlav</t>
        </is>
      </c>
      <c r="S70">
        <f>HYPERLINK("https://klasma.github.io/Logging_2023/artfynd/A 20921-2021 artfynd.xlsx", "A 20921-2021")</f>
        <v/>
      </c>
      <c r="T70">
        <f>HYPERLINK("https://klasma.github.io/Logging_2023/kartor/A 20921-2021 karta.png", "A 20921-2021")</f>
        <v/>
      </c>
      <c r="V70">
        <f>HYPERLINK("https://klasma.github.io/Logging_2023/klagomål/A 20921-2021 FSC-klagomål.docx", "A 20921-2021")</f>
        <v/>
      </c>
      <c r="W70">
        <f>HYPERLINK("https://klasma.github.io/Logging_2023/klagomålsmail/A 20921-2021 FSC-klagomål mail.docx", "A 20921-2021")</f>
        <v/>
      </c>
      <c r="X70">
        <f>HYPERLINK("https://klasma.github.io/Logging_2023/tillsyn/A 20921-2021 tillsynsbegäran.docx", "A 20921-2021")</f>
        <v/>
      </c>
      <c r="Y70">
        <f>HYPERLINK("https://klasma.github.io/Logging_2023/tillsynsmail/A 20921-2021 tillsynsbegäran mail.docx", "A 20921-2021")</f>
        <v/>
      </c>
    </row>
    <row r="71" ht="15" customHeight="1">
      <c r="A71" t="inlineStr">
        <is>
          <t>A 42981-2021</t>
        </is>
      </c>
      <c r="B71" s="1" t="n">
        <v>44427</v>
      </c>
      <c r="C71" s="1" t="n">
        <v>45828</v>
      </c>
      <c r="D71" t="inlineStr">
        <is>
          <t>DALARNAS LÄN</t>
        </is>
      </c>
      <c r="E71" t="inlineStr">
        <is>
          <t>MALUNG-SÄLEN</t>
        </is>
      </c>
      <c r="G71" t="n">
        <v>3.4</v>
      </c>
      <c r="H71" t="n">
        <v>0</v>
      </c>
      <c r="I71" t="n">
        <v>0</v>
      </c>
      <c r="J71" t="n">
        <v>1</v>
      </c>
      <c r="K71" t="n">
        <v>0</v>
      </c>
      <c r="L71" t="n">
        <v>0</v>
      </c>
      <c r="M71" t="n">
        <v>0</v>
      </c>
      <c r="N71" t="n">
        <v>0</v>
      </c>
      <c r="O71" t="n">
        <v>1</v>
      </c>
      <c r="P71" t="n">
        <v>0</v>
      </c>
      <c r="Q71" t="n">
        <v>1</v>
      </c>
      <c r="R71" s="2" t="inlineStr">
        <is>
          <t>Lunglav</t>
        </is>
      </c>
      <c r="S71">
        <f>HYPERLINK("https://klasma.github.io/Logging_2023/artfynd/A 42981-2021 artfynd.xlsx", "A 42981-2021")</f>
        <v/>
      </c>
      <c r="T71">
        <f>HYPERLINK("https://klasma.github.io/Logging_2023/kartor/A 42981-2021 karta.png", "A 42981-2021")</f>
        <v/>
      </c>
      <c r="V71">
        <f>HYPERLINK("https://klasma.github.io/Logging_2023/klagomål/A 42981-2021 FSC-klagomål.docx", "A 42981-2021")</f>
        <v/>
      </c>
      <c r="W71">
        <f>HYPERLINK("https://klasma.github.io/Logging_2023/klagomålsmail/A 42981-2021 FSC-klagomål mail.docx", "A 42981-2021")</f>
        <v/>
      </c>
      <c r="X71">
        <f>HYPERLINK("https://klasma.github.io/Logging_2023/tillsyn/A 42981-2021 tillsynsbegäran.docx", "A 42981-2021")</f>
        <v/>
      </c>
      <c r="Y71">
        <f>HYPERLINK("https://klasma.github.io/Logging_2023/tillsynsmail/A 42981-2021 tillsynsbegäran mail.docx", "A 42981-2021")</f>
        <v/>
      </c>
    </row>
    <row r="72" ht="15" customHeight="1">
      <c r="A72" t="inlineStr">
        <is>
          <t>A 52669-2021</t>
        </is>
      </c>
      <c r="B72" s="1" t="n">
        <v>44464</v>
      </c>
      <c r="C72" s="1" t="n">
        <v>45828</v>
      </c>
      <c r="D72" t="inlineStr">
        <is>
          <t>DALARNAS LÄN</t>
        </is>
      </c>
      <c r="E72" t="inlineStr">
        <is>
          <t>MALUNG-SÄLEN</t>
        </is>
      </c>
      <c r="G72" t="n">
        <v>0.2</v>
      </c>
      <c r="H72" t="n">
        <v>0</v>
      </c>
      <c r="I72" t="n">
        <v>0</v>
      </c>
      <c r="J72" t="n">
        <v>1</v>
      </c>
      <c r="K72" t="n">
        <v>0</v>
      </c>
      <c r="L72" t="n">
        <v>0</v>
      </c>
      <c r="M72" t="n">
        <v>0</v>
      </c>
      <c r="N72" t="n">
        <v>0</v>
      </c>
      <c r="O72" t="n">
        <v>1</v>
      </c>
      <c r="P72" t="n">
        <v>0</v>
      </c>
      <c r="Q72" t="n">
        <v>1</v>
      </c>
      <c r="R72" s="2" t="inlineStr">
        <is>
          <t>Garnlav</t>
        </is>
      </c>
      <c r="S72">
        <f>HYPERLINK("https://klasma.github.io/Logging_2023/artfynd/A 52669-2021 artfynd.xlsx", "A 52669-2021")</f>
        <v/>
      </c>
      <c r="T72">
        <f>HYPERLINK("https://klasma.github.io/Logging_2023/kartor/A 52669-2021 karta.png", "A 52669-2021")</f>
        <v/>
      </c>
      <c r="V72">
        <f>HYPERLINK("https://klasma.github.io/Logging_2023/klagomål/A 52669-2021 FSC-klagomål.docx", "A 52669-2021")</f>
        <v/>
      </c>
      <c r="W72">
        <f>HYPERLINK("https://klasma.github.io/Logging_2023/klagomålsmail/A 52669-2021 FSC-klagomål mail.docx", "A 52669-2021")</f>
        <v/>
      </c>
      <c r="X72">
        <f>HYPERLINK("https://klasma.github.io/Logging_2023/tillsyn/A 52669-2021 tillsynsbegäran.docx", "A 52669-2021")</f>
        <v/>
      </c>
      <c r="Y72">
        <f>HYPERLINK("https://klasma.github.io/Logging_2023/tillsynsmail/A 52669-2021 tillsynsbegäran mail.docx", "A 52669-2021")</f>
        <v/>
      </c>
    </row>
    <row r="73" ht="15" customHeight="1">
      <c r="A73" t="inlineStr">
        <is>
          <t>A 11560-2022</t>
        </is>
      </c>
      <c r="B73" s="1" t="n">
        <v>44631</v>
      </c>
      <c r="C73" s="1" t="n">
        <v>45828</v>
      </c>
      <c r="D73" t="inlineStr">
        <is>
          <t>DALARNAS LÄN</t>
        </is>
      </c>
      <c r="E73" t="inlineStr">
        <is>
          <t>MALUNG-SÄLEN</t>
        </is>
      </c>
      <c r="G73" t="n">
        <v>7.4</v>
      </c>
      <c r="H73" t="n">
        <v>0</v>
      </c>
      <c r="I73" t="n">
        <v>0</v>
      </c>
      <c r="J73" t="n">
        <v>1</v>
      </c>
      <c r="K73" t="n">
        <v>0</v>
      </c>
      <c r="L73" t="n">
        <v>0</v>
      </c>
      <c r="M73" t="n">
        <v>0</v>
      </c>
      <c r="N73" t="n">
        <v>0</v>
      </c>
      <c r="O73" t="n">
        <v>1</v>
      </c>
      <c r="P73" t="n">
        <v>0</v>
      </c>
      <c r="Q73" t="n">
        <v>1</v>
      </c>
      <c r="R73" s="2" t="inlineStr">
        <is>
          <t>Blå taggsvamp</t>
        </is>
      </c>
      <c r="S73">
        <f>HYPERLINK("https://klasma.github.io/Logging_2023/artfynd/A 11560-2022 artfynd.xlsx", "A 11560-2022")</f>
        <v/>
      </c>
      <c r="T73">
        <f>HYPERLINK("https://klasma.github.io/Logging_2023/kartor/A 11560-2022 karta.png", "A 11560-2022")</f>
        <v/>
      </c>
      <c r="V73">
        <f>HYPERLINK("https://klasma.github.io/Logging_2023/klagomål/A 11560-2022 FSC-klagomål.docx", "A 11560-2022")</f>
        <v/>
      </c>
      <c r="W73">
        <f>HYPERLINK("https://klasma.github.io/Logging_2023/klagomålsmail/A 11560-2022 FSC-klagomål mail.docx", "A 11560-2022")</f>
        <v/>
      </c>
      <c r="X73">
        <f>HYPERLINK("https://klasma.github.io/Logging_2023/tillsyn/A 11560-2022 tillsynsbegäran.docx", "A 11560-2022")</f>
        <v/>
      </c>
      <c r="Y73">
        <f>HYPERLINK("https://klasma.github.io/Logging_2023/tillsynsmail/A 11560-2022 tillsynsbegäran mail.docx", "A 11560-2022")</f>
        <v/>
      </c>
    </row>
    <row r="74" ht="15" customHeight="1">
      <c r="A74" t="inlineStr">
        <is>
          <t>A 23476-2022</t>
        </is>
      </c>
      <c r="B74" s="1" t="n">
        <v>44721</v>
      </c>
      <c r="C74" s="1" t="n">
        <v>45828</v>
      </c>
      <c r="D74" t="inlineStr">
        <is>
          <t>DALARNAS LÄN</t>
        </is>
      </c>
      <c r="E74" t="inlineStr">
        <is>
          <t>MALUNG-SÄLEN</t>
        </is>
      </c>
      <c r="F74" t="inlineStr">
        <is>
          <t>Övriga statliga verk och myndigheter</t>
        </is>
      </c>
      <c r="G74" t="n">
        <v>1.2</v>
      </c>
      <c r="H74" t="n">
        <v>0</v>
      </c>
      <c r="I74" t="n">
        <v>1</v>
      </c>
      <c r="J74" t="n">
        <v>0</v>
      </c>
      <c r="K74" t="n">
        <v>0</v>
      </c>
      <c r="L74" t="n">
        <v>0</v>
      </c>
      <c r="M74" t="n">
        <v>0</v>
      </c>
      <c r="N74" t="n">
        <v>0</v>
      </c>
      <c r="O74" t="n">
        <v>0</v>
      </c>
      <c r="P74" t="n">
        <v>0</v>
      </c>
      <c r="Q74" t="n">
        <v>1</v>
      </c>
      <c r="R74" s="2" t="inlineStr">
        <is>
          <t>Sotlav</t>
        </is>
      </c>
      <c r="S74">
        <f>HYPERLINK("https://klasma.github.io/Logging_2023/artfynd/A 23476-2022 artfynd.xlsx", "A 23476-2022")</f>
        <v/>
      </c>
      <c r="T74">
        <f>HYPERLINK("https://klasma.github.io/Logging_2023/kartor/A 23476-2022 karta.png", "A 23476-2022")</f>
        <v/>
      </c>
      <c r="V74">
        <f>HYPERLINK("https://klasma.github.io/Logging_2023/klagomål/A 23476-2022 FSC-klagomål.docx", "A 23476-2022")</f>
        <v/>
      </c>
      <c r="W74">
        <f>HYPERLINK("https://klasma.github.io/Logging_2023/klagomålsmail/A 23476-2022 FSC-klagomål mail.docx", "A 23476-2022")</f>
        <v/>
      </c>
      <c r="X74">
        <f>HYPERLINK("https://klasma.github.io/Logging_2023/tillsyn/A 23476-2022 tillsynsbegäran.docx", "A 23476-2022")</f>
        <v/>
      </c>
      <c r="Y74">
        <f>HYPERLINK("https://klasma.github.io/Logging_2023/tillsynsmail/A 23476-2022 tillsynsbegäran mail.docx", "A 23476-2022")</f>
        <v/>
      </c>
    </row>
    <row r="75" ht="15" customHeight="1">
      <c r="A75" t="inlineStr">
        <is>
          <t>A 33859-2022</t>
        </is>
      </c>
      <c r="B75" s="1" t="n">
        <v>44790</v>
      </c>
      <c r="C75" s="1" t="n">
        <v>45828</v>
      </c>
      <c r="D75" t="inlineStr">
        <is>
          <t>DALARNAS LÄN</t>
        </is>
      </c>
      <c r="E75" t="inlineStr">
        <is>
          <t>MALUNG-SÄLEN</t>
        </is>
      </c>
      <c r="G75" t="n">
        <v>18.8</v>
      </c>
      <c r="H75" t="n">
        <v>1</v>
      </c>
      <c r="I75" t="n">
        <v>0</v>
      </c>
      <c r="J75" t="n">
        <v>1</v>
      </c>
      <c r="K75" t="n">
        <v>0</v>
      </c>
      <c r="L75" t="n">
        <v>0</v>
      </c>
      <c r="M75" t="n">
        <v>0</v>
      </c>
      <c r="N75" t="n">
        <v>0</v>
      </c>
      <c r="O75" t="n">
        <v>1</v>
      </c>
      <c r="P75" t="n">
        <v>0</v>
      </c>
      <c r="Q75" t="n">
        <v>1</v>
      </c>
      <c r="R75" s="2" t="inlineStr">
        <is>
          <t>Nordfladdermus</t>
        </is>
      </c>
      <c r="S75">
        <f>HYPERLINK("https://klasma.github.io/Logging_2023/artfynd/A 33859-2022 artfynd.xlsx", "A 33859-2022")</f>
        <v/>
      </c>
      <c r="T75">
        <f>HYPERLINK("https://klasma.github.io/Logging_2023/kartor/A 33859-2022 karta.png", "A 33859-2022")</f>
        <v/>
      </c>
      <c r="V75">
        <f>HYPERLINK("https://klasma.github.io/Logging_2023/klagomål/A 33859-2022 FSC-klagomål.docx", "A 33859-2022")</f>
        <v/>
      </c>
      <c r="W75">
        <f>HYPERLINK("https://klasma.github.io/Logging_2023/klagomålsmail/A 33859-2022 FSC-klagomål mail.docx", "A 33859-2022")</f>
        <v/>
      </c>
      <c r="X75">
        <f>HYPERLINK("https://klasma.github.io/Logging_2023/tillsyn/A 33859-2022 tillsynsbegäran.docx", "A 33859-2022")</f>
        <v/>
      </c>
      <c r="Y75">
        <f>HYPERLINK("https://klasma.github.io/Logging_2023/tillsynsmail/A 33859-2022 tillsynsbegäran mail.docx", "A 33859-2022")</f>
        <v/>
      </c>
    </row>
    <row r="76" ht="15" customHeight="1">
      <c r="A76" t="inlineStr">
        <is>
          <t>A 48842-2022</t>
        </is>
      </c>
      <c r="B76" s="1" t="n">
        <v>44859</v>
      </c>
      <c r="C76" s="1" t="n">
        <v>45828</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Gränsticka</t>
        </is>
      </c>
      <c r="S76">
        <f>HYPERLINK("https://klasma.github.io/Logging_2023/artfynd/A 48842-2022 artfynd.xlsx", "A 48842-2022")</f>
        <v/>
      </c>
      <c r="T76">
        <f>HYPERLINK("https://klasma.github.io/Logging_2023/kartor/A 48842-2022 karta.png", "A 48842-2022")</f>
        <v/>
      </c>
      <c r="V76">
        <f>HYPERLINK("https://klasma.github.io/Logging_2023/klagomål/A 48842-2022 FSC-klagomål.docx", "A 48842-2022")</f>
        <v/>
      </c>
      <c r="W76">
        <f>HYPERLINK("https://klasma.github.io/Logging_2023/klagomålsmail/A 48842-2022 FSC-klagomål mail.docx", "A 48842-2022")</f>
        <v/>
      </c>
      <c r="X76">
        <f>HYPERLINK("https://klasma.github.io/Logging_2023/tillsyn/A 48842-2022 tillsynsbegäran.docx", "A 48842-2022")</f>
        <v/>
      </c>
      <c r="Y76">
        <f>HYPERLINK("https://klasma.github.io/Logging_2023/tillsynsmail/A 48842-2022 tillsynsbegäran mail.docx", "A 48842-2022")</f>
        <v/>
      </c>
    </row>
    <row r="77" ht="15" customHeight="1">
      <c r="A77" t="inlineStr">
        <is>
          <t>A 32068-2023</t>
        </is>
      </c>
      <c r="B77" s="1" t="n">
        <v>45119</v>
      </c>
      <c r="C77" s="1" t="n">
        <v>45828</v>
      </c>
      <c r="D77" t="inlineStr">
        <is>
          <t>DALARNAS LÄN</t>
        </is>
      </c>
      <c r="E77" t="inlineStr">
        <is>
          <t>MALUNG-SÄLEN</t>
        </is>
      </c>
      <c r="F77" t="inlineStr">
        <is>
          <t>Bergvik skog öst AB</t>
        </is>
      </c>
      <c r="G77" t="n">
        <v>1.6</v>
      </c>
      <c r="H77" t="n">
        <v>1</v>
      </c>
      <c r="I77" t="n">
        <v>0</v>
      </c>
      <c r="J77" t="n">
        <v>1</v>
      </c>
      <c r="K77" t="n">
        <v>0</v>
      </c>
      <c r="L77" t="n">
        <v>0</v>
      </c>
      <c r="M77" t="n">
        <v>0</v>
      </c>
      <c r="N77" t="n">
        <v>0</v>
      </c>
      <c r="O77" t="n">
        <v>1</v>
      </c>
      <c r="P77" t="n">
        <v>0</v>
      </c>
      <c r="Q77" t="n">
        <v>1</v>
      </c>
      <c r="R77" s="2" t="inlineStr">
        <is>
          <t>Kungsörn</t>
        </is>
      </c>
      <c r="S77">
        <f>HYPERLINK("https://klasma.github.io/Logging_2023/artfynd/A 32068-2023 artfynd.xlsx", "A 32068-2023")</f>
        <v/>
      </c>
      <c r="T77">
        <f>HYPERLINK("https://klasma.github.io/Logging_2023/kartor/A 32068-2023 karta.png", "A 32068-2023")</f>
        <v/>
      </c>
      <c r="V77">
        <f>HYPERLINK("https://klasma.github.io/Logging_2023/klagomål/A 32068-2023 FSC-klagomål.docx", "A 32068-2023")</f>
        <v/>
      </c>
      <c r="W77">
        <f>HYPERLINK("https://klasma.github.io/Logging_2023/klagomålsmail/A 32068-2023 FSC-klagomål mail.docx", "A 32068-2023")</f>
        <v/>
      </c>
      <c r="X77">
        <f>HYPERLINK("https://klasma.github.io/Logging_2023/tillsyn/A 32068-2023 tillsynsbegäran.docx", "A 32068-2023")</f>
        <v/>
      </c>
      <c r="Y77">
        <f>HYPERLINK("https://klasma.github.io/Logging_2023/tillsynsmail/A 32068-2023 tillsynsbegäran mail.docx", "A 32068-2023")</f>
        <v/>
      </c>
      <c r="Z77">
        <f>HYPERLINK("https://klasma.github.io/Logging_2023/fåglar/A 32068-2023 prioriterade fågelarter.docx", "A 32068-2023")</f>
        <v/>
      </c>
    </row>
    <row r="78" ht="15" customHeight="1">
      <c r="A78" t="inlineStr">
        <is>
          <t>A 57333-2023</t>
        </is>
      </c>
      <c r="B78" s="1" t="n">
        <v>45245</v>
      </c>
      <c r="C78" s="1" t="n">
        <v>45828</v>
      </c>
      <c r="D78" t="inlineStr">
        <is>
          <t>DALARNAS LÄN</t>
        </is>
      </c>
      <c r="E78" t="inlineStr">
        <is>
          <t>MALUNG-SÄLEN</t>
        </is>
      </c>
      <c r="G78" t="n">
        <v>6.7</v>
      </c>
      <c r="H78" t="n">
        <v>0</v>
      </c>
      <c r="I78" t="n">
        <v>0</v>
      </c>
      <c r="J78" t="n">
        <v>0</v>
      </c>
      <c r="K78" t="n">
        <v>1</v>
      </c>
      <c r="L78" t="n">
        <v>0</v>
      </c>
      <c r="M78" t="n">
        <v>0</v>
      </c>
      <c r="N78" t="n">
        <v>0</v>
      </c>
      <c r="O78" t="n">
        <v>1</v>
      </c>
      <c r="P78" t="n">
        <v>1</v>
      </c>
      <c r="Q78" t="n">
        <v>1</v>
      </c>
      <c r="R78" s="2" t="inlineStr">
        <is>
          <t>Gräddporing</t>
        </is>
      </c>
      <c r="S78">
        <f>HYPERLINK("https://klasma.github.io/Logging_2023/artfynd/A 57333-2023 artfynd.xlsx", "A 57333-2023")</f>
        <v/>
      </c>
      <c r="T78">
        <f>HYPERLINK("https://klasma.github.io/Logging_2023/kartor/A 57333-2023 karta.png", "A 57333-2023")</f>
        <v/>
      </c>
      <c r="V78">
        <f>HYPERLINK("https://klasma.github.io/Logging_2023/klagomål/A 57333-2023 FSC-klagomål.docx", "A 57333-2023")</f>
        <v/>
      </c>
      <c r="W78">
        <f>HYPERLINK("https://klasma.github.io/Logging_2023/klagomålsmail/A 57333-2023 FSC-klagomål mail.docx", "A 57333-2023")</f>
        <v/>
      </c>
      <c r="X78">
        <f>HYPERLINK("https://klasma.github.io/Logging_2023/tillsyn/A 57333-2023 tillsynsbegäran.docx", "A 57333-2023")</f>
        <v/>
      </c>
      <c r="Y78">
        <f>HYPERLINK("https://klasma.github.io/Logging_2023/tillsynsmail/A 57333-2023 tillsynsbegäran mail.docx", "A 57333-2023")</f>
        <v/>
      </c>
    </row>
    <row r="79" ht="15" customHeight="1">
      <c r="A79" t="inlineStr">
        <is>
          <t>A 57702-2023</t>
        </is>
      </c>
      <c r="B79" s="1" t="n">
        <v>45246</v>
      </c>
      <c r="C79" s="1" t="n">
        <v>45828</v>
      </c>
      <c r="D79" t="inlineStr">
        <is>
          <t>DALARNAS LÄN</t>
        </is>
      </c>
      <c r="E79" t="inlineStr">
        <is>
          <t>MALUNG-SÄLEN</t>
        </is>
      </c>
      <c r="G79" t="n">
        <v>1.5</v>
      </c>
      <c r="H79" t="n">
        <v>0</v>
      </c>
      <c r="I79" t="n">
        <v>1</v>
      </c>
      <c r="J79" t="n">
        <v>0</v>
      </c>
      <c r="K79" t="n">
        <v>0</v>
      </c>
      <c r="L79" t="n">
        <v>0</v>
      </c>
      <c r="M79" t="n">
        <v>0</v>
      </c>
      <c r="N79" t="n">
        <v>0</v>
      </c>
      <c r="O79" t="n">
        <v>0</v>
      </c>
      <c r="P79" t="n">
        <v>0</v>
      </c>
      <c r="Q79" t="n">
        <v>1</v>
      </c>
      <c r="R79" s="2" t="inlineStr">
        <is>
          <t>Brun nållav</t>
        </is>
      </c>
      <c r="S79">
        <f>HYPERLINK("https://klasma.github.io/Logging_2023/artfynd/A 57702-2023 artfynd.xlsx", "A 57702-2023")</f>
        <v/>
      </c>
      <c r="T79">
        <f>HYPERLINK("https://klasma.github.io/Logging_2023/kartor/A 57702-2023 karta.png", "A 57702-2023")</f>
        <v/>
      </c>
      <c r="V79">
        <f>HYPERLINK("https://klasma.github.io/Logging_2023/klagomål/A 57702-2023 FSC-klagomål.docx", "A 57702-2023")</f>
        <v/>
      </c>
      <c r="W79">
        <f>HYPERLINK("https://klasma.github.io/Logging_2023/klagomålsmail/A 57702-2023 FSC-klagomål mail.docx", "A 57702-2023")</f>
        <v/>
      </c>
      <c r="X79">
        <f>HYPERLINK("https://klasma.github.io/Logging_2023/tillsyn/A 57702-2023 tillsynsbegäran.docx", "A 57702-2023")</f>
        <v/>
      </c>
      <c r="Y79">
        <f>HYPERLINK("https://klasma.github.io/Logging_2023/tillsynsmail/A 57702-2023 tillsynsbegäran mail.docx", "A 57702-2023")</f>
        <v/>
      </c>
    </row>
    <row r="80" ht="15" customHeight="1">
      <c r="A80" t="inlineStr">
        <is>
          <t>A 6807-2024</t>
        </is>
      </c>
      <c r="B80" s="1" t="n">
        <v>45342</v>
      </c>
      <c r="C80" s="1" t="n">
        <v>45828</v>
      </c>
      <c r="D80" t="inlineStr">
        <is>
          <t>DALARNAS LÄN</t>
        </is>
      </c>
      <c r="E80" t="inlineStr">
        <is>
          <t>MALUNG-SÄLEN</t>
        </is>
      </c>
      <c r="G80" t="n">
        <v>10.7</v>
      </c>
      <c r="H80" t="n">
        <v>0</v>
      </c>
      <c r="I80" t="n">
        <v>0</v>
      </c>
      <c r="J80" t="n">
        <v>1</v>
      </c>
      <c r="K80" t="n">
        <v>0</v>
      </c>
      <c r="L80" t="n">
        <v>0</v>
      </c>
      <c r="M80" t="n">
        <v>0</v>
      </c>
      <c r="N80" t="n">
        <v>0</v>
      </c>
      <c r="O80" t="n">
        <v>1</v>
      </c>
      <c r="P80" t="n">
        <v>0</v>
      </c>
      <c r="Q80" t="n">
        <v>1</v>
      </c>
      <c r="R80" s="2" t="inlineStr">
        <is>
          <t>Motaggsvamp</t>
        </is>
      </c>
      <c r="S80">
        <f>HYPERLINK("https://klasma.github.io/Logging_2023/artfynd/A 6807-2024 artfynd.xlsx", "A 6807-2024")</f>
        <v/>
      </c>
      <c r="T80">
        <f>HYPERLINK("https://klasma.github.io/Logging_2023/kartor/A 6807-2024 karta.png", "A 6807-2024")</f>
        <v/>
      </c>
      <c r="V80">
        <f>HYPERLINK("https://klasma.github.io/Logging_2023/klagomål/A 6807-2024 FSC-klagomål.docx", "A 6807-2024")</f>
        <v/>
      </c>
      <c r="W80">
        <f>HYPERLINK("https://klasma.github.io/Logging_2023/klagomålsmail/A 6807-2024 FSC-klagomål mail.docx", "A 6807-2024")</f>
        <v/>
      </c>
      <c r="X80">
        <f>HYPERLINK("https://klasma.github.io/Logging_2023/tillsyn/A 6807-2024 tillsynsbegäran.docx", "A 6807-2024")</f>
        <v/>
      </c>
      <c r="Y80">
        <f>HYPERLINK("https://klasma.github.io/Logging_2023/tillsynsmail/A 6807-2024 tillsynsbegäran mail.docx", "A 6807-2024")</f>
        <v/>
      </c>
    </row>
    <row r="81" ht="15" customHeight="1">
      <c r="A81" t="inlineStr">
        <is>
          <t>A 8326-2024</t>
        </is>
      </c>
      <c r="B81" s="1" t="n">
        <v>45352</v>
      </c>
      <c r="C81" s="1" t="n">
        <v>45828</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Doftskinn</t>
        </is>
      </c>
      <c r="S81">
        <f>HYPERLINK("https://klasma.github.io/Logging_2023/artfynd/A 8326-2024 artfynd.xlsx", "A 8326-2024")</f>
        <v/>
      </c>
      <c r="T81">
        <f>HYPERLINK("https://klasma.github.io/Logging_2023/kartor/A 8326-2024 karta.png", "A 8326-2024")</f>
        <v/>
      </c>
      <c r="V81">
        <f>HYPERLINK("https://klasma.github.io/Logging_2023/klagomål/A 8326-2024 FSC-klagomål.docx", "A 8326-2024")</f>
        <v/>
      </c>
      <c r="W81">
        <f>HYPERLINK("https://klasma.github.io/Logging_2023/klagomålsmail/A 8326-2024 FSC-klagomål mail.docx", "A 8326-2024")</f>
        <v/>
      </c>
      <c r="X81">
        <f>HYPERLINK("https://klasma.github.io/Logging_2023/tillsyn/A 8326-2024 tillsynsbegäran.docx", "A 8326-2024")</f>
        <v/>
      </c>
      <c r="Y81">
        <f>HYPERLINK("https://klasma.github.io/Logging_2023/tillsynsmail/A 8326-2024 tillsynsbegäran mail.docx", "A 8326-2024")</f>
        <v/>
      </c>
    </row>
    <row r="82" ht="15" customHeight="1">
      <c r="A82" t="inlineStr">
        <is>
          <t>A 19374-2024</t>
        </is>
      </c>
      <c r="B82" s="1" t="n">
        <v>45429</v>
      </c>
      <c r="C82" s="1" t="n">
        <v>45828</v>
      </c>
      <c r="D82" t="inlineStr">
        <is>
          <t>DALARNAS LÄN</t>
        </is>
      </c>
      <c r="E82" t="inlineStr">
        <is>
          <t>MALUNG-SÄLEN</t>
        </is>
      </c>
      <c r="F82" t="inlineStr">
        <is>
          <t>Bergvik skog öst AB</t>
        </is>
      </c>
      <c r="G82" t="n">
        <v>1.1</v>
      </c>
      <c r="H82" t="n">
        <v>0</v>
      </c>
      <c r="I82" t="n">
        <v>1</v>
      </c>
      <c r="J82" t="n">
        <v>0</v>
      </c>
      <c r="K82" t="n">
        <v>0</v>
      </c>
      <c r="L82" t="n">
        <v>0</v>
      </c>
      <c r="M82" t="n">
        <v>0</v>
      </c>
      <c r="N82" t="n">
        <v>0</v>
      </c>
      <c r="O82" t="n">
        <v>0</v>
      </c>
      <c r="P82" t="n">
        <v>0</v>
      </c>
      <c r="Q82" t="n">
        <v>1</v>
      </c>
      <c r="R82" s="2" t="inlineStr">
        <is>
          <t>Skarp dropptaggsvamp</t>
        </is>
      </c>
      <c r="S82">
        <f>HYPERLINK("https://klasma.github.io/Logging_2023/artfynd/A 19374-2024 artfynd.xlsx", "A 19374-2024")</f>
        <v/>
      </c>
      <c r="T82">
        <f>HYPERLINK("https://klasma.github.io/Logging_2023/kartor/A 19374-2024 karta.png", "A 19374-2024")</f>
        <v/>
      </c>
      <c r="V82">
        <f>HYPERLINK("https://klasma.github.io/Logging_2023/klagomål/A 19374-2024 FSC-klagomål.docx", "A 19374-2024")</f>
        <v/>
      </c>
      <c r="W82">
        <f>HYPERLINK("https://klasma.github.io/Logging_2023/klagomålsmail/A 19374-2024 FSC-klagomål mail.docx", "A 19374-2024")</f>
        <v/>
      </c>
      <c r="X82">
        <f>HYPERLINK("https://klasma.github.io/Logging_2023/tillsyn/A 19374-2024 tillsynsbegäran.docx", "A 19374-2024")</f>
        <v/>
      </c>
      <c r="Y82">
        <f>HYPERLINK("https://klasma.github.io/Logging_2023/tillsynsmail/A 19374-2024 tillsynsbegäran mail.docx", "A 19374-2024")</f>
        <v/>
      </c>
    </row>
    <row r="83" ht="15" customHeight="1">
      <c r="A83" t="inlineStr">
        <is>
          <t>A 22186-2024</t>
        </is>
      </c>
      <c r="B83" s="1" t="n">
        <v>45446</v>
      </c>
      <c r="C83" s="1" t="n">
        <v>45828</v>
      </c>
      <c r="D83" t="inlineStr">
        <is>
          <t>DALARNAS LÄN</t>
        </is>
      </c>
      <c r="E83" t="inlineStr">
        <is>
          <t>MALUNG-SÄLEN</t>
        </is>
      </c>
      <c r="F83" t="inlineStr">
        <is>
          <t>Allmännings- och besparingsskogar</t>
        </is>
      </c>
      <c r="G83" t="n">
        <v>36</v>
      </c>
      <c r="H83" t="n">
        <v>1</v>
      </c>
      <c r="I83" t="n">
        <v>0</v>
      </c>
      <c r="J83" t="n">
        <v>1</v>
      </c>
      <c r="K83" t="n">
        <v>0</v>
      </c>
      <c r="L83" t="n">
        <v>0</v>
      </c>
      <c r="M83" t="n">
        <v>0</v>
      </c>
      <c r="N83" t="n">
        <v>0</v>
      </c>
      <c r="O83" t="n">
        <v>1</v>
      </c>
      <c r="P83" t="n">
        <v>0</v>
      </c>
      <c r="Q83" t="n">
        <v>1</v>
      </c>
      <c r="R83" s="2" t="inlineStr">
        <is>
          <t>Varglav</t>
        </is>
      </c>
      <c r="S83">
        <f>HYPERLINK("https://klasma.github.io/Logging_2023/artfynd/A 22186-2024 artfynd.xlsx", "A 22186-2024")</f>
        <v/>
      </c>
      <c r="T83">
        <f>HYPERLINK("https://klasma.github.io/Logging_2023/kartor/A 22186-2024 karta.png", "A 22186-2024")</f>
        <v/>
      </c>
      <c r="V83">
        <f>HYPERLINK("https://klasma.github.io/Logging_2023/klagomål/A 22186-2024 FSC-klagomål.docx", "A 22186-2024")</f>
        <v/>
      </c>
      <c r="W83">
        <f>HYPERLINK("https://klasma.github.io/Logging_2023/klagomålsmail/A 22186-2024 FSC-klagomål mail.docx", "A 22186-2024")</f>
        <v/>
      </c>
      <c r="X83">
        <f>HYPERLINK("https://klasma.github.io/Logging_2023/tillsyn/A 22186-2024 tillsynsbegäran.docx", "A 22186-2024")</f>
        <v/>
      </c>
      <c r="Y83">
        <f>HYPERLINK("https://klasma.github.io/Logging_2023/tillsynsmail/A 22186-2024 tillsynsbegäran mail.docx", "A 22186-2024")</f>
        <v/>
      </c>
    </row>
    <row r="84" ht="15" customHeight="1">
      <c r="A84" t="inlineStr">
        <is>
          <t>A 24907-2024</t>
        </is>
      </c>
      <c r="B84" s="1" t="n">
        <v>45461</v>
      </c>
      <c r="C84" s="1" t="n">
        <v>45828</v>
      </c>
      <c r="D84" t="inlineStr">
        <is>
          <t>DALARNAS LÄN</t>
        </is>
      </c>
      <c r="E84" t="inlineStr">
        <is>
          <t>MALUNG-SÄLEN</t>
        </is>
      </c>
      <c r="F84" t="inlineStr">
        <is>
          <t>Allmännings- och besparingsskogar</t>
        </is>
      </c>
      <c r="G84" t="n">
        <v>1.4</v>
      </c>
      <c r="H84" t="n">
        <v>1</v>
      </c>
      <c r="I84" t="n">
        <v>0</v>
      </c>
      <c r="J84" t="n">
        <v>1</v>
      </c>
      <c r="K84" t="n">
        <v>0</v>
      </c>
      <c r="L84" t="n">
        <v>0</v>
      </c>
      <c r="M84" t="n">
        <v>0</v>
      </c>
      <c r="N84" t="n">
        <v>0</v>
      </c>
      <c r="O84" t="n">
        <v>1</v>
      </c>
      <c r="P84" t="n">
        <v>0</v>
      </c>
      <c r="Q84" t="n">
        <v>1</v>
      </c>
      <c r="R84" s="2" t="inlineStr">
        <is>
          <t>Tretåig hackspett</t>
        </is>
      </c>
      <c r="S84">
        <f>HYPERLINK("https://klasma.github.io/Logging_2023/artfynd/A 24907-2024 artfynd.xlsx", "A 24907-2024")</f>
        <v/>
      </c>
      <c r="T84">
        <f>HYPERLINK("https://klasma.github.io/Logging_2023/kartor/A 24907-2024 karta.png", "A 24907-2024")</f>
        <v/>
      </c>
      <c r="V84">
        <f>HYPERLINK("https://klasma.github.io/Logging_2023/klagomål/A 24907-2024 FSC-klagomål.docx", "A 24907-2024")</f>
        <v/>
      </c>
      <c r="W84">
        <f>HYPERLINK("https://klasma.github.io/Logging_2023/klagomålsmail/A 24907-2024 FSC-klagomål mail.docx", "A 24907-2024")</f>
        <v/>
      </c>
      <c r="X84">
        <f>HYPERLINK("https://klasma.github.io/Logging_2023/tillsyn/A 24907-2024 tillsynsbegäran.docx", "A 24907-2024")</f>
        <v/>
      </c>
      <c r="Y84">
        <f>HYPERLINK("https://klasma.github.io/Logging_2023/tillsynsmail/A 24907-2024 tillsynsbegäran mail.docx", "A 24907-2024")</f>
        <v/>
      </c>
      <c r="Z84">
        <f>HYPERLINK("https://klasma.github.io/Logging_2023/fåglar/A 24907-2024 prioriterade fågelarter.docx", "A 24907-2024")</f>
        <v/>
      </c>
    </row>
    <row r="85" ht="15" customHeight="1">
      <c r="A85" t="inlineStr">
        <is>
          <t>A 29045-2024</t>
        </is>
      </c>
      <c r="B85" s="1" t="n">
        <v>45481</v>
      </c>
      <c r="C85" s="1" t="n">
        <v>45828</v>
      </c>
      <c r="D85" t="inlineStr">
        <is>
          <t>DALARNAS LÄN</t>
        </is>
      </c>
      <c r="E85" t="inlineStr">
        <is>
          <t>MALUNG-SÄLEN</t>
        </is>
      </c>
      <c r="G85" t="n">
        <v>5.7</v>
      </c>
      <c r="H85" t="n">
        <v>1</v>
      </c>
      <c r="I85" t="n">
        <v>0</v>
      </c>
      <c r="J85" t="n">
        <v>0</v>
      </c>
      <c r="K85" t="n">
        <v>1</v>
      </c>
      <c r="L85" t="n">
        <v>0</v>
      </c>
      <c r="M85" t="n">
        <v>0</v>
      </c>
      <c r="N85" t="n">
        <v>0</v>
      </c>
      <c r="O85" t="n">
        <v>1</v>
      </c>
      <c r="P85" t="n">
        <v>1</v>
      </c>
      <c r="Q85" t="n">
        <v>1</v>
      </c>
      <c r="R85" s="2" t="inlineStr">
        <is>
          <t>Knärot</t>
        </is>
      </c>
      <c r="S85">
        <f>HYPERLINK("https://klasma.github.io/Logging_2023/artfynd/A 29045-2024 artfynd.xlsx", "A 29045-2024")</f>
        <v/>
      </c>
      <c r="T85">
        <f>HYPERLINK("https://klasma.github.io/Logging_2023/kartor/A 29045-2024 karta.png", "A 29045-2024")</f>
        <v/>
      </c>
      <c r="U85">
        <f>HYPERLINK("https://klasma.github.io/Logging_2023/knärot/A 29045-2024 karta knärot.png", "A 29045-2024")</f>
        <v/>
      </c>
      <c r="V85">
        <f>HYPERLINK("https://klasma.github.io/Logging_2023/klagomål/A 29045-2024 FSC-klagomål.docx", "A 29045-2024")</f>
        <v/>
      </c>
      <c r="W85">
        <f>HYPERLINK("https://klasma.github.io/Logging_2023/klagomålsmail/A 29045-2024 FSC-klagomål mail.docx", "A 29045-2024")</f>
        <v/>
      </c>
      <c r="X85">
        <f>HYPERLINK("https://klasma.github.io/Logging_2023/tillsyn/A 29045-2024 tillsynsbegäran.docx", "A 29045-2024")</f>
        <v/>
      </c>
      <c r="Y85">
        <f>HYPERLINK("https://klasma.github.io/Logging_2023/tillsynsmail/A 29045-2024 tillsynsbegäran mail.docx", "A 29045-2024")</f>
        <v/>
      </c>
    </row>
    <row r="86" ht="15" customHeight="1">
      <c r="A86" t="inlineStr">
        <is>
          <t>A 55914-2024</t>
        </is>
      </c>
      <c r="B86" s="1" t="n">
        <v>45623</v>
      </c>
      <c r="C86" s="1" t="n">
        <v>45828</v>
      </c>
      <c r="D86" t="inlineStr">
        <is>
          <t>DALARNAS LÄN</t>
        </is>
      </c>
      <c r="E86" t="inlineStr">
        <is>
          <t>MALUNG-SÄLEN</t>
        </is>
      </c>
      <c r="G86" t="n">
        <v>1.3</v>
      </c>
      <c r="H86" t="n">
        <v>0</v>
      </c>
      <c r="I86" t="n">
        <v>0</v>
      </c>
      <c r="J86" t="n">
        <v>1</v>
      </c>
      <c r="K86" t="n">
        <v>0</v>
      </c>
      <c r="L86" t="n">
        <v>0</v>
      </c>
      <c r="M86" t="n">
        <v>0</v>
      </c>
      <c r="N86" t="n">
        <v>0</v>
      </c>
      <c r="O86" t="n">
        <v>1</v>
      </c>
      <c r="P86" t="n">
        <v>0</v>
      </c>
      <c r="Q86" t="n">
        <v>1</v>
      </c>
      <c r="R86" s="2" t="inlineStr">
        <is>
          <t>Lunglav</t>
        </is>
      </c>
      <c r="S86">
        <f>HYPERLINK("https://klasma.github.io/Logging_2023/artfynd/A 55914-2024 artfynd.xlsx", "A 55914-2024")</f>
        <v/>
      </c>
      <c r="T86">
        <f>HYPERLINK("https://klasma.github.io/Logging_2023/kartor/A 55914-2024 karta.png", "A 55914-2024")</f>
        <v/>
      </c>
      <c r="V86">
        <f>HYPERLINK("https://klasma.github.io/Logging_2023/klagomål/A 55914-2024 FSC-klagomål.docx", "A 55914-2024")</f>
        <v/>
      </c>
      <c r="W86">
        <f>HYPERLINK("https://klasma.github.io/Logging_2023/klagomålsmail/A 55914-2024 FSC-klagomål mail.docx", "A 55914-2024")</f>
        <v/>
      </c>
      <c r="X86">
        <f>HYPERLINK("https://klasma.github.io/Logging_2023/tillsyn/A 55914-2024 tillsynsbegäran.docx", "A 55914-2024")</f>
        <v/>
      </c>
      <c r="Y86">
        <f>HYPERLINK("https://klasma.github.io/Logging_2023/tillsynsmail/A 55914-2024 tillsynsbegäran mail.docx", "A 55914-2024")</f>
        <v/>
      </c>
    </row>
    <row r="87" ht="15" customHeight="1">
      <c r="A87" t="inlineStr">
        <is>
          <t>A 2940-2025</t>
        </is>
      </c>
      <c r="B87" s="1" t="n">
        <v>45678</v>
      </c>
      <c r="C87" s="1" t="n">
        <v>45828</v>
      </c>
      <c r="D87" t="inlineStr">
        <is>
          <t>DALARNAS LÄN</t>
        </is>
      </c>
      <c r="E87" t="inlineStr">
        <is>
          <t>MALUNG-SÄLEN</t>
        </is>
      </c>
      <c r="G87" t="n">
        <v>3.8</v>
      </c>
      <c r="H87" t="n">
        <v>0</v>
      </c>
      <c r="I87" t="n">
        <v>0</v>
      </c>
      <c r="J87" t="n">
        <v>1</v>
      </c>
      <c r="K87" t="n">
        <v>0</v>
      </c>
      <c r="L87" t="n">
        <v>0</v>
      </c>
      <c r="M87" t="n">
        <v>0</v>
      </c>
      <c r="N87" t="n">
        <v>0</v>
      </c>
      <c r="O87" t="n">
        <v>1</v>
      </c>
      <c r="P87" t="n">
        <v>0</v>
      </c>
      <c r="Q87" t="n">
        <v>1</v>
      </c>
      <c r="R87" s="2" t="inlineStr">
        <is>
          <t>Garnlav</t>
        </is>
      </c>
      <c r="S87">
        <f>HYPERLINK("https://klasma.github.io/Logging_2023/artfynd/A 2940-2025 artfynd.xlsx", "A 2940-2025")</f>
        <v/>
      </c>
      <c r="T87">
        <f>HYPERLINK("https://klasma.github.io/Logging_2023/kartor/A 2940-2025 karta.png", "A 2940-2025")</f>
        <v/>
      </c>
      <c r="V87">
        <f>HYPERLINK("https://klasma.github.io/Logging_2023/klagomål/A 2940-2025 FSC-klagomål.docx", "A 2940-2025")</f>
        <v/>
      </c>
      <c r="W87">
        <f>HYPERLINK("https://klasma.github.io/Logging_2023/klagomålsmail/A 2940-2025 FSC-klagomål mail.docx", "A 2940-2025")</f>
        <v/>
      </c>
      <c r="X87">
        <f>HYPERLINK("https://klasma.github.io/Logging_2023/tillsyn/A 2940-2025 tillsynsbegäran.docx", "A 2940-2025")</f>
        <v/>
      </c>
      <c r="Y87">
        <f>HYPERLINK("https://klasma.github.io/Logging_2023/tillsynsmail/A 2940-2025 tillsynsbegäran mail.docx", "A 2940-2025")</f>
        <v/>
      </c>
    </row>
    <row r="88" ht="15" customHeight="1">
      <c r="A88" t="inlineStr">
        <is>
          <t>A 8696-2025</t>
        </is>
      </c>
      <c r="B88" s="1" t="n">
        <v>45712</v>
      </c>
      <c r="C88" s="1" t="n">
        <v>45828</v>
      </c>
      <c r="D88" t="inlineStr">
        <is>
          <t>DALARNAS LÄN</t>
        </is>
      </c>
      <c r="E88" t="inlineStr">
        <is>
          <t>MALUNG-SÄLEN</t>
        </is>
      </c>
      <c r="G88" t="n">
        <v>6.5</v>
      </c>
      <c r="H88" t="n">
        <v>0</v>
      </c>
      <c r="I88" t="n">
        <v>0</v>
      </c>
      <c r="J88" t="n">
        <v>1</v>
      </c>
      <c r="K88" t="n">
        <v>0</v>
      </c>
      <c r="L88" t="n">
        <v>0</v>
      </c>
      <c r="M88" t="n">
        <v>0</v>
      </c>
      <c r="N88" t="n">
        <v>0</v>
      </c>
      <c r="O88" t="n">
        <v>1</v>
      </c>
      <c r="P88" t="n">
        <v>0</v>
      </c>
      <c r="Q88" t="n">
        <v>1</v>
      </c>
      <c r="R88" s="2" t="inlineStr">
        <is>
          <t>Garnlav</t>
        </is>
      </c>
      <c r="S88">
        <f>HYPERLINK("https://klasma.github.io/Logging_2023/artfynd/A 8696-2025 artfynd.xlsx", "A 8696-2025")</f>
        <v/>
      </c>
      <c r="T88">
        <f>HYPERLINK("https://klasma.github.io/Logging_2023/kartor/A 8696-2025 karta.png", "A 8696-2025")</f>
        <v/>
      </c>
      <c r="V88">
        <f>HYPERLINK("https://klasma.github.io/Logging_2023/klagomål/A 8696-2025 FSC-klagomål.docx", "A 8696-2025")</f>
        <v/>
      </c>
      <c r="W88">
        <f>HYPERLINK("https://klasma.github.io/Logging_2023/klagomålsmail/A 8696-2025 FSC-klagomål mail.docx", "A 8696-2025")</f>
        <v/>
      </c>
      <c r="X88">
        <f>HYPERLINK("https://klasma.github.io/Logging_2023/tillsyn/A 8696-2025 tillsynsbegäran.docx", "A 8696-2025")</f>
        <v/>
      </c>
      <c r="Y88">
        <f>HYPERLINK("https://klasma.github.io/Logging_2023/tillsynsmail/A 8696-2025 tillsynsbegäran mail.docx", "A 8696-2025")</f>
        <v/>
      </c>
    </row>
    <row r="89" ht="15" customHeight="1">
      <c r="A89" t="inlineStr">
        <is>
          <t>A 24972-2025</t>
        </is>
      </c>
      <c r="B89" s="1" t="n">
        <v>45799</v>
      </c>
      <c r="C89" s="1" t="n">
        <v>45828</v>
      </c>
      <c r="D89" t="inlineStr">
        <is>
          <t>DALARNAS LÄN</t>
        </is>
      </c>
      <c r="E89" t="inlineStr">
        <is>
          <t>MALUNG-SÄLEN</t>
        </is>
      </c>
      <c r="G89" t="n">
        <v>1.8</v>
      </c>
      <c r="H89" t="n">
        <v>0</v>
      </c>
      <c r="I89" t="n">
        <v>0</v>
      </c>
      <c r="J89" t="n">
        <v>1</v>
      </c>
      <c r="K89" t="n">
        <v>0</v>
      </c>
      <c r="L89" t="n">
        <v>0</v>
      </c>
      <c r="M89" t="n">
        <v>0</v>
      </c>
      <c r="N89" t="n">
        <v>0</v>
      </c>
      <c r="O89" t="n">
        <v>1</v>
      </c>
      <c r="P89" t="n">
        <v>0</v>
      </c>
      <c r="Q89" t="n">
        <v>1</v>
      </c>
      <c r="R89" s="2" t="inlineStr">
        <is>
          <t>Garnlav</t>
        </is>
      </c>
      <c r="S89">
        <f>HYPERLINK("https://klasma.github.io/Logging_202023/artfynd/A 24972-2025 artfynd.xlsx", "A 24972-2025")</f>
        <v/>
      </c>
      <c r="T89">
        <f>HYPERLINK("https://klasma.github.io/Logging_202023/kartor/A 24972-2025 karta.png", "A 24972-2025")</f>
        <v/>
      </c>
      <c r="V89">
        <f>HYPERLINK("https://klasma.github.io/Logging_202023/klagomål/A 24972-2025 FSC-klagomål.docx", "A 24972-2025")</f>
        <v/>
      </c>
      <c r="W89">
        <f>HYPERLINK("https://klasma.github.io/Logging_202023/klagomålsmail/A 24972-2025 FSC-klagomål mail.docx", "A 24972-2025")</f>
        <v/>
      </c>
      <c r="X89">
        <f>HYPERLINK("https://klasma.github.io/Logging_202023/tillsyn/A 24972-2025 tillsynsbegäran.docx", "A 24972-2025")</f>
        <v/>
      </c>
      <c r="Y89">
        <f>HYPERLINK("https://klasma.github.io/Logging_202023/tillsynsmail/A 24972-2025 tillsynsbegäran mail.docx", "A 24972-2025")</f>
        <v/>
      </c>
    </row>
    <row r="90" ht="15" customHeight="1">
      <c r="A90" t="inlineStr">
        <is>
          <t>A 26240-2025</t>
        </is>
      </c>
      <c r="B90" s="1" t="n">
        <v>45805</v>
      </c>
      <c r="C90" s="1" t="n">
        <v>45828</v>
      </c>
      <c r="D90" t="inlineStr">
        <is>
          <t>DALARNAS LÄN</t>
        </is>
      </c>
      <c r="E90" t="inlineStr">
        <is>
          <t>MALUNG-SÄLEN</t>
        </is>
      </c>
      <c r="F90" t="inlineStr">
        <is>
          <t>Bergvik skog öst AB</t>
        </is>
      </c>
      <c r="G90" t="n">
        <v>1.3</v>
      </c>
      <c r="H90" t="n">
        <v>1</v>
      </c>
      <c r="I90" t="n">
        <v>0</v>
      </c>
      <c r="J90" t="n">
        <v>1</v>
      </c>
      <c r="K90" t="n">
        <v>0</v>
      </c>
      <c r="L90" t="n">
        <v>0</v>
      </c>
      <c r="M90" t="n">
        <v>0</v>
      </c>
      <c r="N90" t="n">
        <v>0</v>
      </c>
      <c r="O90" t="n">
        <v>1</v>
      </c>
      <c r="P90" t="n">
        <v>0</v>
      </c>
      <c r="Q90" t="n">
        <v>1</v>
      </c>
      <c r="R90" s="2" t="inlineStr">
        <is>
          <t>Utter</t>
        </is>
      </c>
      <c r="S90">
        <f>HYPERLINK("https://klasma.github.io/Logging_202023/artfynd/A 26240-2025 artfynd.xlsx", "A 26240-2025")</f>
        <v/>
      </c>
      <c r="T90">
        <f>HYPERLINK("https://klasma.github.io/Logging_202023/kartor/A 26240-2025 karta.png", "A 26240-2025")</f>
        <v/>
      </c>
      <c r="V90">
        <f>HYPERLINK("https://klasma.github.io/Logging_202023/klagomål/A 26240-2025 FSC-klagomål.docx", "A 26240-2025")</f>
        <v/>
      </c>
      <c r="W90">
        <f>HYPERLINK("https://klasma.github.io/Logging_202023/klagomålsmail/A 26240-2025 FSC-klagomål mail.docx", "A 26240-2025")</f>
        <v/>
      </c>
      <c r="X90">
        <f>HYPERLINK("https://klasma.github.io/Logging_202023/tillsyn/A 26240-2025 tillsynsbegäran.docx", "A 26240-2025")</f>
        <v/>
      </c>
      <c r="Y90">
        <f>HYPERLINK("https://klasma.github.io/Logging_202023/tillsynsmail/A 26240-2025 tillsynsbegäran mail.docx", "A 26240-2025")</f>
        <v/>
      </c>
    </row>
    <row r="91" ht="15" customHeight="1">
      <c r="A91" t="inlineStr">
        <is>
          <t>A 18265-2019</t>
        </is>
      </c>
      <c r="B91" s="1" t="n">
        <v>43558</v>
      </c>
      <c r="C91" s="1" t="n">
        <v>45828</v>
      </c>
      <c r="D91" t="inlineStr">
        <is>
          <t>DALARNAS LÄN</t>
        </is>
      </c>
      <c r="E91" t="inlineStr">
        <is>
          <t>MALUNG-SÄLEN</t>
        </is>
      </c>
      <c r="G91" t="n">
        <v>7</v>
      </c>
      <c r="H91" t="n">
        <v>0</v>
      </c>
      <c r="I91" t="n">
        <v>0</v>
      </c>
      <c r="J91" t="n">
        <v>0</v>
      </c>
      <c r="K91" t="n">
        <v>0</v>
      </c>
      <c r="L91" t="n">
        <v>0</v>
      </c>
      <c r="M91" t="n">
        <v>0</v>
      </c>
      <c r="N91" t="n">
        <v>0</v>
      </c>
      <c r="O91" t="n">
        <v>0</v>
      </c>
      <c r="P91" t="n">
        <v>0</v>
      </c>
      <c r="Q91" t="n">
        <v>0</v>
      </c>
      <c r="R91" s="2" t="inlineStr"/>
    </row>
    <row r="92" ht="15" customHeight="1">
      <c r="A92" t="inlineStr">
        <is>
          <t>A 18844-2019</t>
        </is>
      </c>
      <c r="B92" s="1" t="n">
        <v>43563</v>
      </c>
      <c r="C92" s="1" t="n">
        <v>45828</v>
      </c>
      <c r="D92" t="inlineStr">
        <is>
          <t>DALARNAS LÄN</t>
        </is>
      </c>
      <c r="E92" t="inlineStr">
        <is>
          <t>MALUNG-SÄLEN</t>
        </is>
      </c>
      <c r="G92" t="n">
        <v>1.2</v>
      </c>
      <c r="H92" t="n">
        <v>0</v>
      </c>
      <c r="I92" t="n">
        <v>0</v>
      </c>
      <c r="J92" t="n">
        <v>0</v>
      </c>
      <c r="K92" t="n">
        <v>0</v>
      </c>
      <c r="L92" t="n">
        <v>0</v>
      </c>
      <c r="M92" t="n">
        <v>0</v>
      </c>
      <c r="N92" t="n">
        <v>0</v>
      </c>
      <c r="O92" t="n">
        <v>0</v>
      </c>
      <c r="P92" t="n">
        <v>0</v>
      </c>
      <c r="Q92" t="n">
        <v>0</v>
      </c>
      <c r="R92" s="2" t="inlineStr"/>
    </row>
    <row r="93" ht="15" customHeight="1">
      <c r="A93" t="inlineStr">
        <is>
          <t>A 19281-2019</t>
        </is>
      </c>
      <c r="B93" s="1" t="n">
        <v>43565</v>
      </c>
      <c r="C93" s="1" t="n">
        <v>45828</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19282-2019</t>
        </is>
      </c>
      <c r="B94" s="1" t="n">
        <v>43565</v>
      </c>
      <c r="C94" s="1" t="n">
        <v>45828</v>
      </c>
      <c r="D94" t="inlineStr">
        <is>
          <t>DALARNAS LÄN</t>
        </is>
      </c>
      <c r="E94" t="inlineStr">
        <is>
          <t>MALUNG-SÄLEN</t>
        </is>
      </c>
      <c r="G94" t="n">
        <v>6.5</v>
      </c>
      <c r="H94" t="n">
        <v>0</v>
      </c>
      <c r="I94" t="n">
        <v>0</v>
      </c>
      <c r="J94" t="n">
        <v>0</v>
      </c>
      <c r="K94" t="n">
        <v>0</v>
      </c>
      <c r="L94" t="n">
        <v>0</v>
      </c>
      <c r="M94" t="n">
        <v>0</v>
      </c>
      <c r="N94" t="n">
        <v>0</v>
      </c>
      <c r="O94" t="n">
        <v>0</v>
      </c>
      <c r="P94" t="n">
        <v>0</v>
      </c>
      <c r="Q94" t="n">
        <v>0</v>
      </c>
      <c r="R94" s="2" t="inlineStr"/>
    </row>
    <row r="95" ht="15" customHeight="1">
      <c r="A95" t="inlineStr">
        <is>
          <t>A 22452-2019</t>
        </is>
      </c>
      <c r="B95" s="1" t="n">
        <v>43587</v>
      </c>
      <c r="C95" s="1" t="n">
        <v>45828</v>
      </c>
      <c r="D95" t="inlineStr">
        <is>
          <t>DALARNAS LÄN</t>
        </is>
      </c>
      <c r="E95" t="inlineStr">
        <is>
          <t>MALUNG-SÄLEN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22809-2019</t>
        </is>
      </c>
      <c r="B96" s="1" t="n">
        <v>43590</v>
      </c>
      <c r="C96" s="1" t="n">
        <v>45828</v>
      </c>
      <c r="D96" t="inlineStr">
        <is>
          <t>DALARNAS LÄN</t>
        </is>
      </c>
      <c r="E96" t="inlineStr">
        <is>
          <t>MALUNG-SÄLEN</t>
        </is>
      </c>
      <c r="G96" t="n">
        <v>0.7</v>
      </c>
      <c r="H96" t="n">
        <v>0</v>
      </c>
      <c r="I96" t="n">
        <v>0</v>
      </c>
      <c r="J96" t="n">
        <v>0</v>
      </c>
      <c r="K96" t="n">
        <v>0</v>
      </c>
      <c r="L96" t="n">
        <v>0</v>
      </c>
      <c r="M96" t="n">
        <v>0</v>
      </c>
      <c r="N96" t="n">
        <v>0</v>
      </c>
      <c r="O96" t="n">
        <v>0</v>
      </c>
      <c r="P96" t="n">
        <v>0</v>
      </c>
      <c r="Q96" t="n">
        <v>0</v>
      </c>
      <c r="R96" s="2" t="inlineStr"/>
    </row>
    <row r="97" ht="15" customHeight="1">
      <c r="A97" t="inlineStr">
        <is>
          <t>A 23809-2019</t>
        </is>
      </c>
      <c r="B97" s="1" t="n">
        <v>43595</v>
      </c>
      <c r="C97" s="1" t="n">
        <v>45828</v>
      </c>
      <c r="D97" t="inlineStr">
        <is>
          <t>DALARNAS LÄN</t>
        </is>
      </c>
      <c r="E97" t="inlineStr">
        <is>
          <t>MALUNG-SÄLEN</t>
        </is>
      </c>
      <c r="G97" t="n">
        <v>9</v>
      </c>
      <c r="H97" t="n">
        <v>0</v>
      </c>
      <c r="I97" t="n">
        <v>0</v>
      </c>
      <c r="J97" t="n">
        <v>0</v>
      </c>
      <c r="K97" t="n">
        <v>0</v>
      </c>
      <c r="L97" t="n">
        <v>0</v>
      </c>
      <c r="M97" t="n">
        <v>0</v>
      </c>
      <c r="N97" t="n">
        <v>0</v>
      </c>
      <c r="O97" t="n">
        <v>0</v>
      </c>
      <c r="P97" t="n">
        <v>0</v>
      </c>
      <c r="Q97" t="n">
        <v>0</v>
      </c>
      <c r="R97" s="2" t="inlineStr"/>
    </row>
    <row r="98" ht="15" customHeight="1">
      <c r="A98" t="inlineStr">
        <is>
          <t>A 26136-2019</t>
        </is>
      </c>
      <c r="B98" s="1" t="n">
        <v>43609</v>
      </c>
      <c r="C98" s="1" t="n">
        <v>45828</v>
      </c>
      <c r="D98" t="inlineStr">
        <is>
          <t>DALARNAS LÄN</t>
        </is>
      </c>
      <c r="E98" t="inlineStr">
        <is>
          <t>MALUNG-SÄLEN</t>
        </is>
      </c>
      <c r="F98" t="inlineStr">
        <is>
          <t>Bergvik skog väst AB</t>
        </is>
      </c>
      <c r="G98" t="n">
        <v>5.7</v>
      </c>
      <c r="H98" t="n">
        <v>0</v>
      </c>
      <c r="I98" t="n">
        <v>0</v>
      </c>
      <c r="J98" t="n">
        <v>0</v>
      </c>
      <c r="K98" t="n">
        <v>0</v>
      </c>
      <c r="L98" t="n">
        <v>0</v>
      </c>
      <c r="M98" t="n">
        <v>0</v>
      </c>
      <c r="N98" t="n">
        <v>0</v>
      </c>
      <c r="O98" t="n">
        <v>0</v>
      </c>
      <c r="P98" t="n">
        <v>0</v>
      </c>
      <c r="Q98" t="n">
        <v>0</v>
      </c>
      <c r="R98" s="2" t="inlineStr"/>
    </row>
    <row r="99" ht="15" customHeight="1">
      <c r="A99" t="inlineStr">
        <is>
          <t>A 26258-2019</t>
        </is>
      </c>
      <c r="B99" s="1" t="n">
        <v>43610</v>
      </c>
      <c r="C99" s="1" t="n">
        <v>45828</v>
      </c>
      <c r="D99" t="inlineStr">
        <is>
          <t>DALARNAS LÄN</t>
        </is>
      </c>
      <c r="E99" t="inlineStr">
        <is>
          <t>MALUNG-SÄLEN</t>
        </is>
      </c>
      <c r="G99" t="n">
        <v>5.5</v>
      </c>
      <c r="H99" t="n">
        <v>0</v>
      </c>
      <c r="I99" t="n">
        <v>0</v>
      </c>
      <c r="J99" t="n">
        <v>0</v>
      </c>
      <c r="K99" t="n">
        <v>0</v>
      </c>
      <c r="L99" t="n">
        <v>0</v>
      </c>
      <c r="M99" t="n">
        <v>0</v>
      </c>
      <c r="N99" t="n">
        <v>0</v>
      </c>
      <c r="O99" t="n">
        <v>0</v>
      </c>
      <c r="P99" t="n">
        <v>0</v>
      </c>
      <c r="Q99" t="n">
        <v>0</v>
      </c>
      <c r="R99" s="2" t="inlineStr"/>
    </row>
    <row r="100" ht="15" customHeight="1">
      <c r="A100" t="inlineStr">
        <is>
          <t>A 26259-2019</t>
        </is>
      </c>
      <c r="B100" s="1" t="n">
        <v>43610</v>
      </c>
      <c r="C100" s="1" t="n">
        <v>45828</v>
      </c>
      <c r="D100" t="inlineStr">
        <is>
          <t>DALARNAS LÄN</t>
        </is>
      </c>
      <c r="E100" t="inlineStr">
        <is>
          <t>MALUNG-SÄLEN</t>
        </is>
      </c>
      <c r="G100" t="n">
        <v>1</v>
      </c>
      <c r="H100" t="n">
        <v>0</v>
      </c>
      <c r="I100" t="n">
        <v>0</v>
      </c>
      <c r="J100" t="n">
        <v>0</v>
      </c>
      <c r="K100" t="n">
        <v>0</v>
      </c>
      <c r="L100" t="n">
        <v>0</v>
      </c>
      <c r="M100" t="n">
        <v>0</v>
      </c>
      <c r="N100" t="n">
        <v>0</v>
      </c>
      <c r="O100" t="n">
        <v>0</v>
      </c>
      <c r="P100" t="n">
        <v>0</v>
      </c>
      <c r="Q100" t="n">
        <v>0</v>
      </c>
      <c r="R100" s="2" t="inlineStr"/>
    </row>
    <row r="101" ht="15" customHeight="1">
      <c r="A101" t="inlineStr">
        <is>
          <t>A 27048-2019</t>
        </is>
      </c>
      <c r="B101" s="1" t="n">
        <v>43614</v>
      </c>
      <c r="C101" s="1" t="n">
        <v>45828</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27037-2019</t>
        </is>
      </c>
      <c r="B102" s="1" t="n">
        <v>43614</v>
      </c>
      <c r="C102" s="1" t="n">
        <v>45828</v>
      </c>
      <c r="D102" t="inlineStr">
        <is>
          <t>DALARNAS LÄN</t>
        </is>
      </c>
      <c r="E102" t="inlineStr">
        <is>
          <t>MALUNG-SÄLEN</t>
        </is>
      </c>
      <c r="G102" t="n">
        <v>0.6</v>
      </c>
      <c r="H102" t="n">
        <v>0</v>
      </c>
      <c r="I102" t="n">
        <v>0</v>
      </c>
      <c r="J102" t="n">
        <v>0</v>
      </c>
      <c r="K102" t="n">
        <v>0</v>
      </c>
      <c r="L102" t="n">
        <v>0</v>
      </c>
      <c r="M102" t="n">
        <v>0</v>
      </c>
      <c r="N102" t="n">
        <v>0</v>
      </c>
      <c r="O102" t="n">
        <v>0</v>
      </c>
      <c r="P102" t="n">
        <v>0</v>
      </c>
      <c r="Q102" t="n">
        <v>0</v>
      </c>
      <c r="R102" s="2" t="inlineStr"/>
    </row>
    <row r="103" ht="15" customHeight="1">
      <c r="A103" t="inlineStr">
        <is>
          <t>A 27039-2019</t>
        </is>
      </c>
      <c r="B103" s="1" t="n">
        <v>43614</v>
      </c>
      <c r="C103" s="1" t="n">
        <v>45828</v>
      </c>
      <c r="D103" t="inlineStr">
        <is>
          <t>DALARNAS LÄN</t>
        </is>
      </c>
      <c r="E103" t="inlineStr">
        <is>
          <t>MALUNG-SÄLEN</t>
        </is>
      </c>
      <c r="G103" t="n">
        <v>0.5</v>
      </c>
      <c r="H103" t="n">
        <v>0</v>
      </c>
      <c r="I103" t="n">
        <v>0</v>
      </c>
      <c r="J103" t="n">
        <v>0</v>
      </c>
      <c r="K103" t="n">
        <v>0</v>
      </c>
      <c r="L103" t="n">
        <v>0</v>
      </c>
      <c r="M103" t="n">
        <v>0</v>
      </c>
      <c r="N103" t="n">
        <v>0</v>
      </c>
      <c r="O103" t="n">
        <v>0</v>
      </c>
      <c r="P103" t="n">
        <v>0</v>
      </c>
      <c r="Q103" t="n">
        <v>0</v>
      </c>
      <c r="R103" s="2" t="inlineStr"/>
    </row>
    <row r="104" ht="15" customHeight="1">
      <c r="A104" t="inlineStr">
        <is>
          <t>A 27487-2019</t>
        </is>
      </c>
      <c r="B104" s="1" t="n">
        <v>43619</v>
      </c>
      <c r="C104" s="1" t="n">
        <v>45828</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28259-2019</t>
        </is>
      </c>
      <c r="B105" s="1" t="n">
        <v>43623</v>
      </c>
      <c r="C105" s="1" t="n">
        <v>45828</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29761-2019</t>
        </is>
      </c>
      <c r="B106" s="1" t="n">
        <v>43631</v>
      </c>
      <c r="C106" s="1" t="n">
        <v>45828</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29760-2019</t>
        </is>
      </c>
      <c r="B107" s="1" t="n">
        <v>43631</v>
      </c>
      <c r="C107" s="1" t="n">
        <v>45828</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30046-2019</t>
        </is>
      </c>
      <c r="B108" s="1" t="n">
        <v>43633</v>
      </c>
      <c r="C108" s="1" t="n">
        <v>45828</v>
      </c>
      <c r="D108" t="inlineStr">
        <is>
          <t>DALARNAS LÄN</t>
        </is>
      </c>
      <c r="E108" t="inlineStr">
        <is>
          <t>MALUNG-SÄLEN</t>
        </is>
      </c>
      <c r="G108" t="n">
        <v>7.6</v>
      </c>
      <c r="H108" t="n">
        <v>0</v>
      </c>
      <c r="I108" t="n">
        <v>0</v>
      </c>
      <c r="J108" t="n">
        <v>0</v>
      </c>
      <c r="K108" t="n">
        <v>0</v>
      </c>
      <c r="L108" t="n">
        <v>0</v>
      </c>
      <c r="M108" t="n">
        <v>0</v>
      </c>
      <c r="N108" t="n">
        <v>0</v>
      </c>
      <c r="O108" t="n">
        <v>0</v>
      </c>
      <c r="P108" t="n">
        <v>0</v>
      </c>
      <c r="Q108" t="n">
        <v>0</v>
      </c>
      <c r="R108" s="2" t="inlineStr"/>
    </row>
    <row r="109" ht="15" customHeight="1">
      <c r="A109" t="inlineStr">
        <is>
          <t>A 30295-2019</t>
        </is>
      </c>
      <c r="B109" s="1" t="n">
        <v>43634</v>
      </c>
      <c r="C109" s="1" t="n">
        <v>45828</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30230-2019</t>
        </is>
      </c>
      <c r="B110" s="1" t="n">
        <v>43634</v>
      </c>
      <c r="C110" s="1" t="n">
        <v>45828</v>
      </c>
      <c r="D110" t="inlineStr">
        <is>
          <t>DALARNAS LÄN</t>
        </is>
      </c>
      <c r="E110" t="inlineStr">
        <is>
          <t>MALUNG-SÄLEN</t>
        </is>
      </c>
      <c r="G110" t="n">
        <v>4.1</v>
      </c>
      <c r="H110" t="n">
        <v>0</v>
      </c>
      <c r="I110" t="n">
        <v>0</v>
      </c>
      <c r="J110" t="n">
        <v>0</v>
      </c>
      <c r="K110" t="n">
        <v>0</v>
      </c>
      <c r="L110" t="n">
        <v>0</v>
      </c>
      <c r="M110" t="n">
        <v>0</v>
      </c>
      <c r="N110" t="n">
        <v>0</v>
      </c>
      <c r="O110" t="n">
        <v>0</v>
      </c>
      <c r="P110" t="n">
        <v>0</v>
      </c>
      <c r="Q110" t="n">
        <v>0</v>
      </c>
      <c r="R110" s="2" t="inlineStr"/>
    </row>
    <row r="111" ht="15" customHeight="1">
      <c r="A111" t="inlineStr">
        <is>
          <t>A 30828-2019</t>
        </is>
      </c>
      <c r="B111" s="1" t="n">
        <v>43636</v>
      </c>
      <c r="C111" s="1" t="n">
        <v>45828</v>
      </c>
      <c r="D111" t="inlineStr">
        <is>
          <t>DALARNAS LÄN</t>
        </is>
      </c>
      <c r="E111" t="inlineStr">
        <is>
          <t>MALUNG-SÄLEN</t>
        </is>
      </c>
      <c r="G111" t="n">
        <v>4.8</v>
      </c>
      <c r="H111" t="n">
        <v>0</v>
      </c>
      <c r="I111" t="n">
        <v>0</v>
      </c>
      <c r="J111" t="n">
        <v>0</v>
      </c>
      <c r="K111" t="n">
        <v>0</v>
      </c>
      <c r="L111" t="n">
        <v>0</v>
      </c>
      <c r="M111" t="n">
        <v>0</v>
      </c>
      <c r="N111" t="n">
        <v>0</v>
      </c>
      <c r="O111" t="n">
        <v>0</v>
      </c>
      <c r="P111" t="n">
        <v>0</v>
      </c>
      <c r="Q111" t="n">
        <v>0</v>
      </c>
      <c r="R111" s="2" t="inlineStr"/>
    </row>
    <row r="112" ht="15" customHeight="1">
      <c r="A112" t="inlineStr">
        <is>
          <t>A 32136-2019</t>
        </is>
      </c>
      <c r="B112" s="1" t="n">
        <v>43643</v>
      </c>
      <c r="C112" s="1" t="n">
        <v>45828</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32124-2019</t>
        </is>
      </c>
      <c r="B113" s="1" t="n">
        <v>43643</v>
      </c>
      <c r="C113" s="1" t="n">
        <v>45828</v>
      </c>
      <c r="D113" t="inlineStr">
        <is>
          <t>DALARNAS LÄN</t>
        </is>
      </c>
      <c r="E113" t="inlineStr">
        <is>
          <t>MALUNG-SÄLEN</t>
        </is>
      </c>
      <c r="G113" t="n">
        <v>3.1</v>
      </c>
      <c r="H113" t="n">
        <v>0</v>
      </c>
      <c r="I113" t="n">
        <v>0</v>
      </c>
      <c r="J113" t="n">
        <v>0</v>
      </c>
      <c r="K113" t="n">
        <v>0</v>
      </c>
      <c r="L113" t="n">
        <v>0</v>
      </c>
      <c r="M113" t="n">
        <v>0</v>
      </c>
      <c r="N113" t="n">
        <v>0</v>
      </c>
      <c r="O113" t="n">
        <v>0</v>
      </c>
      <c r="P113" t="n">
        <v>0</v>
      </c>
      <c r="Q113" t="n">
        <v>0</v>
      </c>
      <c r="R113" s="2" t="inlineStr"/>
    </row>
    <row r="114" ht="15" customHeight="1">
      <c r="A114" t="inlineStr">
        <is>
          <t>A 34243-2019</t>
        </is>
      </c>
      <c r="B114" s="1" t="n">
        <v>43647</v>
      </c>
      <c r="C114" s="1" t="n">
        <v>45828</v>
      </c>
      <c r="D114" t="inlineStr">
        <is>
          <t>DALARNAS LÄN</t>
        </is>
      </c>
      <c r="E114" t="inlineStr">
        <is>
          <t>MALUNG-SÄLEN</t>
        </is>
      </c>
      <c r="G114" t="n">
        <v>8</v>
      </c>
      <c r="H114" t="n">
        <v>0</v>
      </c>
      <c r="I114" t="n">
        <v>0</v>
      </c>
      <c r="J114" t="n">
        <v>0</v>
      </c>
      <c r="K114" t="n">
        <v>0</v>
      </c>
      <c r="L114" t="n">
        <v>0</v>
      </c>
      <c r="M114" t="n">
        <v>0</v>
      </c>
      <c r="N114" t="n">
        <v>0</v>
      </c>
      <c r="O114" t="n">
        <v>0</v>
      </c>
      <c r="P114" t="n">
        <v>0</v>
      </c>
      <c r="Q114" t="n">
        <v>0</v>
      </c>
      <c r="R114" s="2" t="inlineStr"/>
    </row>
    <row r="115" ht="15" customHeight="1">
      <c r="A115" t="inlineStr">
        <is>
          <t>A 33559-2019</t>
        </is>
      </c>
      <c r="B115" s="1" t="n">
        <v>43651</v>
      </c>
      <c r="C115" s="1" t="n">
        <v>45828</v>
      </c>
      <c r="D115" t="inlineStr">
        <is>
          <t>DALARNAS LÄN</t>
        </is>
      </c>
      <c r="E115" t="inlineStr">
        <is>
          <t>MALUNG-SÄLEN</t>
        </is>
      </c>
      <c r="G115" t="n">
        <v>14.1</v>
      </c>
      <c r="H115" t="n">
        <v>0</v>
      </c>
      <c r="I115" t="n">
        <v>0</v>
      </c>
      <c r="J115" t="n">
        <v>0</v>
      </c>
      <c r="K115" t="n">
        <v>0</v>
      </c>
      <c r="L115" t="n">
        <v>0</v>
      </c>
      <c r="M115" t="n">
        <v>0</v>
      </c>
      <c r="N115" t="n">
        <v>0</v>
      </c>
      <c r="O115" t="n">
        <v>0</v>
      </c>
      <c r="P115" t="n">
        <v>0</v>
      </c>
      <c r="Q115" t="n">
        <v>0</v>
      </c>
      <c r="R115" s="2" t="inlineStr"/>
    </row>
    <row r="116" ht="15" customHeight="1">
      <c r="A116" t="inlineStr">
        <is>
          <t>A 34071-2019</t>
        </is>
      </c>
      <c r="B116" s="1" t="n">
        <v>43654</v>
      </c>
      <c r="C116" s="1" t="n">
        <v>45828</v>
      </c>
      <c r="D116" t="inlineStr">
        <is>
          <t>DALARNAS LÄN</t>
        </is>
      </c>
      <c r="E116" t="inlineStr">
        <is>
          <t>MALUNG-SÄLEN</t>
        </is>
      </c>
      <c r="G116" t="n">
        <v>2.9</v>
      </c>
      <c r="H116" t="n">
        <v>0</v>
      </c>
      <c r="I116" t="n">
        <v>0</v>
      </c>
      <c r="J116" t="n">
        <v>0</v>
      </c>
      <c r="K116" t="n">
        <v>0</v>
      </c>
      <c r="L116" t="n">
        <v>0</v>
      </c>
      <c r="M116" t="n">
        <v>0</v>
      </c>
      <c r="N116" t="n">
        <v>0</v>
      </c>
      <c r="O116" t="n">
        <v>0</v>
      </c>
      <c r="P116" t="n">
        <v>0</v>
      </c>
      <c r="Q116" t="n">
        <v>0</v>
      </c>
      <c r="R116" s="2" t="inlineStr"/>
    </row>
    <row r="117" ht="15" customHeight="1">
      <c r="A117" t="inlineStr">
        <is>
          <t>A 34085-2019</t>
        </is>
      </c>
      <c r="B117" s="1" t="n">
        <v>43654</v>
      </c>
      <c r="C117" s="1" t="n">
        <v>45828</v>
      </c>
      <c r="D117" t="inlineStr">
        <is>
          <t>DALARNAS LÄN</t>
        </is>
      </c>
      <c r="E117" t="inlineStr">
        <is>
          <t>MALUNG-SÄLEN</t>
        </is>
      </c>
      <c r="G117" t="n">
        <v>0.4</v>
      </c>
      <c r="H117" t="n">
        <v>0</v>
      </c>
      <c r="I117" t="n">
        <v>0</v>
      </c>
      <c r="J117" t="n">
        <v>0</v>
      </c>
      <c r="K117" t="n">
        <v>0</v>
      </c>
      <c r="L117" t="n">
        <v>0</v>
      </c>
      <c r="M117" t="n">
        <v>0</v>
      </c>
      <c r="N117" t="n">
        <v>0</v>
      </c>
      <c r="O117" t="n">
        <v>0</v>
      </c>
      <c r="P117" t="n">
        <v>0</v>
      </c>
      <c r="Q117" t="n">
        <v>0</v>
      </c>
      <c r="R117" s="2" t="inlineStr"/>
    </row>
    <row r="118" ht="15" customHeight="1">
      <c r="A118" t="inlineStr">
        <is>
          <t>A 35793-2019</t>
        </is>
      </c>
      <c r="B118" s="1" t="n">
        <v>43656</v>
      </c>
      <c r="C118" s="1" t="n">
        <v>45828</v>
      </c>
      <c r="D118" t="inlineStr">
        <is>
          <t>DALARNAS LÄN</t>
        </is>
      </c>
      <c r="E118" t="inlineStr">
        <is>
          <t>MALUNG-SÄLEN</t>
        </is>
      </c>
      <c r="G118" t="n">
        <v>2.2</v>
      </c>
      <c r="H118" t="n">
        <v>0</v>
      </c>
      <c r="I118" t="n">
        <v>0</v>
      </c>
      <c r="J118" t="n">
        <v>0</v>
      </c>
      <c r="K118" t="n">
        <v>0</v>
      </c>
      <c r="L118" t="n">
        <v>0</v>
      </c>
      <c r="M118" t="n">
        <v>0</v>
      </c>
      <c r="N118" t="n">
        <v>0</v>
      </c>
      <c r="O118" t="n">
        <v>0</v>
      </c>
      <c r="P118" t="n">
        <v>0</v>
      </c>
      <c r="Q118" t="n">
        <v>0</v>
      </c>
      <c r="R118" s="2" t="inlineStr"/>
    </row>
    <row r="119" ht="15" customHeight="1">
      <c r="A119" t="inlineStr">
        <is>
          <t>A 36006-2019</t>
        </is>
      </c>
      <c r="B119" s="1" t="n">
        <v>43657</v>
      </c>
      <c r="C119" s="1" t="n">
        <v>45828</v>
      </c>
      <c r="D119" t="inlineStr">
        <is>
          <t>DALARNAS LÄN</t>
        </is>
      </c>
      <c r="E119" t="inlineStr">
        <is>
          <t>MALUNG-SÄLEN</t>
        </is>
      </c>
      <c r="G119" t="n">
        <v>10.4</v>
      </c>
      <c r="H119" t="n">
        <v>0</v>
      </c>
      <c r="I119" t="n">
        <v>0</v>
      </c>
      <c r="J119" t="n">
        <v>0</v>
      </c>
      <c r="K119" t="n">
        <v>0</v>
      </c>
      <c r="L119" t="n">
        <v>0</v>
      </c>
      <c r="M119" t="n">
        <v>0</v>
      </c>
      <c r="N119" t="n">
        <v>0</v>
      </c>
      <c r="O119" t="n">
        <v>0</v>
      </c>
      <c r="P119" t="n">
        <v>0</v>
      </c>
      <c r="Q119" t="n">
        <v>0</v>
      </c>
      <c r="R119" s="2" t="inlineStr"/>
    </row>
    <row r="120" ht="15" customHeight="1">
      <c r="A120" t="inlineStr">
        <is>
          <t>A 36119-2019</t>
        </is>
      </c>
      <c r="B120" s="1" t="n">
        <v>43658</v>
      </c>
      <c r="C120" s="1" t="n">
        <v>45828</v>
      </c>
      <c r="D120" t="inlineStr">
        <is>
          <t>DALARNAS LÄN</t>
        </is>
      </c>
      <c r="E120" t="inlineStr">
        <is>
          <t>MALUNG-SÄLEN</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36878-2019</t>
        </is>
      </c>
      <c r="B121" s="1" t="n">
        <v>43675</v>
      </c>
      <c r="C121" s="1" t="n">
        <v>45828</v>
      </c>
      <c r="D121" t="inlineStr">
        <is>
          <t>DALARNAS LÄN</t>
        </is>
      </c>
      <c r="E121" t="inlineStr">
        <is>
          <t>MALUNG-SÄLEN</t>
        </is>
      </c>
      <c r="G121" t="n">
        <v>2</v>
      </c>
      <c r="H121" t="n">
        <v>0</v>
      </c>
      <c r="I121" t="n">
        <v>0</v>
      </c>
      <c r="J121" t="n">
        <v>0</v>
      </c>
      <c r="K121" t="n">
        <v>0</v>
      </c>
      <c r="L121" t="n">
        <v>0</v>
      </c>
      <c r="M121" t="n">
        <v>0</v>
      </c>
      <c r="N121" t="n">
        <v>0</v>
      </c>
      <c r="O121" t="n">
        <v>0</v>
      </c>
      <c r="P121" t="n">
        <v>0</v>
      </c>
      <c r="Q121" t="n">
        <v>0</v>
      </c>
      <c r="R121" s="2" t="inlineStr"/>
    </row>
    <row r="122" ht="15" customHeight="1">
      <c r="A122" t="inlineStr">
        <is>
          <t>A 36873-2019</t>
        </is>
      </c>
      <c r="B122" s="1" t="n">
        <v>43675</v>
      </c>
      <c r="C122" s="1" t="n">
        <v>45828</v>
      </c>
      <c r="D122" t="inlineStr">
        <is>
          <t>DALARNAS LÄN</t>
        </is>
      </c>
      <c r="E122" t="inlineStr">
        <is>
          <t>MALUNG-SÄLEN</t>
        </is>
      </c>
      <c r="F122" t="inlineStr">
        <is>
          <t>Allmännings- och besparingsskogar</t>
        </is>
      </c>
      <c r="G122" t="n">
        <v>16.3</v>
      </c>
      <c r="H122" t="n">
        <v>0</v>
      </c>
      <c r="I122" t="n">
        <v>0</v>
      </c>
      <c r="J122" t="n">
        <v>0</v>
      </c>
      <c r="K122" t="n">
        <v>0</v>
      </c>
      <c r="L122" t="n">
        <v>0</v>
      </c>
      <c r="M122" t="n">
        <v>0</v>
      </c>
      <c r="N122" t="n">
        <v>0</v>
      </c>
      <c r="O122" t="n">
        <v>0</v>
      </c>
      <c r="P122" t="n">
        <v>0</v>
      </c>
      <c r="Q122" t="n">
        <v>0</v>
      </c>
      <c r="R122" s="2" t="inlineStr"/>
    </row>
    <row r="123" ht="15" customHeight="1">
      <c r="A123" t="inlineStr">
        <is>
          <t>A 37179-2019</t>
        </is>
      </c>
      <c r="B123" s="1" t="n">
        <v>43677</v>
      </c>
      <c r="C123" s="1" t="n">
        <v>45828</v>
      </c>
      <c r="D123" t="inlineStr">
        <is>
          <t>DALARNAS LÄN</t>
        </is>
      </c>
      <c r="E123" t="inlineStr">
        <is>
          <t>MALUNG-SÄLEN</t>
        </is>
      </c>
      <c r="G123" t="n">
        <v>5.5</v>
      </c>
      <c r="H123" t="n">
        <v>0</v>
      </c>
      <c r="I123" t="n">
        <v>0</v>
      </c>
      <c r="J123" t="n">
        <v>0</v>
      </c>
      <c r="K123" t="n">
        <v>0</v>
      </c>
      <c r="L123" t="n">
        <v>0</v>
      </c>
      <c r="M123" t="n">
        <v>0</v>
      </c>
      <c r="N123" t="n">
        <v>0</v>
      </c>
      <c r="O123" t="n">
        <v>0</v>
      </c>
      <c r="P123" t="n">
        <v>0</v>
      </c>
      <c r="Q123" t="n">
        <v>0</v>
      </c>
      <c r="R123" s="2" t="inlineStr"/>
    </row>
    <row r="124" ht="15" customHeight="1">
      <c r="A124" t="inlineStr">
        <is>
          <t>A 37952-2019</t>
        </is>
      </c>
      <c r="B124" s="1" t="n">
        <v>43683</v>
      </c>
      <c r="C124" s="1" t="n">
        <v>45828</v>
      </c>
      <c r="D124" t="inlineStr">
        <is>
          <t>DALARNAS LÄN</t>
        </is>
      </c>
      <c r="E124" t="inlineStr">
        <is>
          <t>MALUNG-SÄLEN</t>
        </is>
      </c>
      <c r="G124" t="n">
        <v>6.4</v>
      </c>
      <c r="H124" t="n">
        <v>0</v>
      </c>
      <c r="I124" t="n">
        <v>0</v>
      </c>
      <c r="J124" t="n">
        <v>0</v>
      </c>
      <c r="K124" t="n">
        <v>0</v>
      </c>
      <c r="L124" t="n">
        <v>0</v>
      </c>
      <c r="M124" t="n">
        <v>0</v>
      </c>
      <c r="N124" t="n">
        <v>0</v>
      </c>
      <c r="O124" t="n">
        <v>0</v>
      </c>
      <c r="P124" t="n">
        <v>0</v>
      </c>
      <c r="Q124" t="n">
        <v>0</v>
      </c>
      <c r="R124" s="2" t="inlineStr"/>
    </row>
    <row r="125" ht="15" customHeight="1">
      <c r="A125" t="inlineStr">
        <is>
          <t>A 38173-2019</t>
        </is>
      </c>
      <c r="B125" s="1" t="n">
        <v>43684</v>
      </c>
      <c r="C125" s="1" t="n">
        <v>45828</v>
      </c>
      <c r="D125" t="inlineStr">
        <is>
          <t>DALARNAS LÄN</t>
        </is>
      </c>
      <c r="E125" t="inlineStr">
        <is>
          <t>MALUNG-SÄLEN</t>
        </is>
      </c>
      <c r="G125" t="n">
        <v>3.3</v>
      </c>
      <c r="H125" t="n">
        <v>0</v>
      </c>
      <c r="I125" t="n">
        <v>0</v>
      </c>
      <c r="J125" t="n">
        <v>0</v>
      </c>
      <c r="K125" t="n">
        <v>0</v>
      </c>
      <c r="L125" t="n">
        <v>0</v>
      </c>
      <c r="M125" t="n">
        <v>0</v>
      </c>
      <c r="N125" t="n">
        <v>0</v>
      </c>
      <c r="O125" t="n">
        <v>0</v>
      </c>
      <c r="P125" t="n">
        <v>0</v>
      </c>
      <c r="Q125" t="n">
        <v>0</v>
      </c>
      <c r="R125" s="2" t="inlineStr"/>
    </row>
    <row r="126" ht="15" customHeight="1">
      <c r="A126" t="inlineStr">
        <is>
          <t>A 39281-2019</t>
        </is>
      </c>
      <c r="B126" s="1" t="n">
        <v>43686</v>
      </c>
      <c r="C126" s="1" t="n">
        <v>45828</v>
      </c>
      <c r="D126" t="inlineStr">
        <is>
          <t>DALARNAS LÄN</t>
        </is>
      </c>
      <c r="E126" t="inlineStr">
        <is>
          <t>MALUNG-SÄLEN</t>
        </is>
      </c>
      <c r="F126" t="inlineStr">
        <is>
          <t>Allmännings- och besparingsskogar</t>
        </is>
      </c>
      <c r="G126" t="n">
        <v>12.8</v>
      </c>
      <c r="H126" t="n">
        <v>0</v>
      </c>
      <c r="I126" t="n">
        <v>0</v>
      </c>
      <c r="J126" t="n">
        <v>0</v>
      </c>
      <c r="K126" t="n">
        <v>0</v>
      </c>
      <c r="L126" t="n">
        <v>0</v>
      </c>
      <c r="M126" t="n">
        <v>0</v>
      </c>
      <c r="N126" t="n">
        <v>0</v>
      </c>
      <c r="O126" t="n">
        <v>0</v>
      </c>
      <c r="P126" t="n">
        <v>0</v>
      </c>
      <c r="Q126" t="n">
        <v>0</v>
      </c>
      <c r="R126" s="2" t="inlineStr"/>
    </row>
    <row r="127" ht="15" customHeight="1">
      <c r="A127" t="inlineStr">
        <is>
          <t>A 39287-2019</t>
        </is>
      </c>
      <c r="B127" s="1" t="n">
        <v>43686</v>
      </c>
      <c r="C127" s="1" t="n">
        <v>45828</v>
      </c>
      <c r="D127" t="inlineStr">
        <is>
          <t>DALARNAS LÄN</t>
        </is>
      </c>
      <c r="E127" t="inlineStr">
        <is>
          <t>MALUNG-SÄLEN</t>
        </is>
      </c>
      <c r="F127" t="inlineStr">
        <is>
          <t>Allmännings- och besparingsskogar</t>
        </is>
      </c>
      <c r="G127" t="n">
        <v>10</v>
      </c>
      <c r="H127" t="n">
        <v>0</v>
      </c>
      <c r="I127" t="n">
        <v>0</v>
      </c>
      <c r="J127" t="n">
        <v>0</v>
      </c>
      <c r="K127" t="n">
        <v>0</v>
      </c>
      <c r="L127" t="n">
        <v>0</v>
      </c>
      <c r="M127" t="n">
        <v>0</v>
      </c>
      <c r="N127" t="n">
        <v>0</v>
      </c>
      <c r="O127" t="n">
        <v>0</v>
      </c>
      <c r="P127" t="n">
        <v>0</v>
      </c>
      <c r="Q127" t="n">
        <v>0</v>
      </c>
      <c r="R127" s="2" t="inlineStr"/>
    </row>
    <row r="128" ht="15" customHeight="1">
      <c r="A128" t="inlineStr">
        <is>
          <t>A 39298-2019</t>
        </is>
      </c>
      <c r="B128" s="1" t="n">
        <v>43690</v>
      </c>
      <c r="C128" s="1" t="n">
        <v>45828</v>
      </c>
      <c r="D128" t="inlineStr">
        <is>
          <t>DALARNAS LÄN</t>
        </is>
      </c>
      <c r="E128" t="inlineStr">
        <is>
          <t>MALUNG-SÄLEN</t>
        </is>
      </c>
      <c r="G128" t="n">
        <v>2.1</v>
      </c>
      <c r="H128" t="n">
        <v>0</v>
      </c>
      <c r="I128" t="n">
        <v>0</v>
      </c>
      <c r="J128" t="n">
        <v>0</v>
      </c>
      <c r="K128" t="n">
        <v>0</v>
      </c>
      <c r="L128" t="n">
        <v>0</v>
      </c>
      <c r="M128" t="n">
        <v>0</v>
      </c>
      <c r="N128" t="n">
        <v>0</v>
      </c>
      <c r="O128" t="n">
        <v>0</v>
      </c>
      <c r="P128" t="n">
        <v>0</v>
      </c>
      <c r="Q128" t="n">
        <v>0</v>
      </c>
      <c r="R128" s="2" t="inlineStr"/>
    </row>
    <row r="129" ht="15" customHeight="1">
      <c r="A129" t="inlineStr">
        <is>
          <t>A 42881-2019</t>
        </is>
      </c>
      <c r="B129" s="1" t="n">
        <v>43700</v>
      </c>
      <c r="C129" s="1" t="n">
        <v>45828</v>
      </c>
      <c r="D129" t="inlineStr">
        <is>
          <t>DALARNAS LÄN</t>
        </is>
      </c>
      <c r="E129" t="inlineStr">
        <is>
          <t>MALUNG-SÄLEN</t>
        </is>
      </c>
      <c r="F129" t="inlineStr">
        <is>
          <t>Allmännings- och besparingsskogar</t>
        </is>
      </c>
      <c r="G129" t="n">
        <v>8</v>
      </c>
      <c r="H129" t="n">
        <v>0</v>
      </c>
      <c r="I129" t="n">
        <v>0</v>
      </c>
      <c r="J129" t="n">
        <v>0</v>
      </c>
      <c r="K129" t="n">
        <v>0</v>
      </c>
      <c r="L129" t="n">
        <v>0</v>
      </c>
      <c r="M129" t="n">
        <v>0</v>
      </c>
      <c r="N129" t="n">
        <v>0</v>
      </c>
      <c r="O129" t="n">
        <v>0</v>
      </c>
      <c r="P129" t="n">
        <v>0</v>
      </c>
      <c r="Q129" t="n">
        <v>0</v>
      </c>
      <c r="R129" s="2" t="inlineStr"/>
    </row>
    <row r="130" ht="15" customHeight="1">
      <c r="A130" t="inlineStr">
        <is>
          <t>A 42889-2019</t>
        </is>
      </c>
      <c r="B130" s="1" t="n">
        <v>43700</v>
      </c>
      <c r="C130" s="1" t="n">
        <v>45828</v>
      </c>
      <c r="D130" t="inlineStr">
        <is>
          <t>DALARNAS LÄN</t>
        </is>
      </c>
      <c r="E130" t="inlineStr">
        <is>
          <t>MALUNG-SÄLEN</t>
        </is>
      </c>
      <c r="F130" t="inlineStr">
        <is>
          <t>Allmännings- och besparingsskogar</t>
        </is>
      </c>
      <c r="G130" t="n">
        <v>6.3</v>
      </c>
      <c r="H130" t="n">
        <v>0</v>
      </c>
      <c r="I130" t="n">
        <v>0</v>
      </c>
      <c r="J130" t="n">
        <v>0</v>
      </c>
      <c r="K130" t="n">
        <v>0</v>
      </c>
      <c r="L130" t="n">
        <v>0</v>
      </c>
      <c r="M130" t="n">
        <v>0</v>
      </c>
      <c r="N130" t="n">
        <v>0</v>
      </c>
      <c r="O130" t="n">
        <v>0</v>
      </c>
      <c r="P130" t="n">
        <v>0</v>
      </c>
      <c r="Q130" t="n">
        <v>0</v>
      </c>
      <c r="R130" s="2" t="inlineStr"/>
    </row>
    <row r="131" ht="15" customHeight="1">
      <c r="A131" t="inlineStr">
        <is>
          <t>A 42172-2019</t>
        </is>
      </c>
      <c r="B131" s="1" t="n">
        <v>43703</v>
      </c>
      <c r="C131" s="1" t="n">
        <v>45828</v>
      </c>
      <c r="D131" t="inlineStr">
        <is>
          <t>DALARNAS LÄN</t>
        </is>
      </c>
      <c r="E131" t="inlineStr">
        <is>
          <t>MALUNG-SÄLEN</t>
        </is>
      </c>
      <c r="G131" t="n">
        <v>1</v>
      </c>
      <c r="H131" t="n">
        <v>0</v>
      </c>
      <c r="I131" t="n">
        <v>0</v>
      </c>
      <c r="J131" t="n">
        <v>0</v>
      </c>
      <c r="K131" t="n">
        <v>0</v>
      </c>
      <c r="L131" t="n">
        <v>0</v>
      </c>
      <c r="M131" t="n">
        <v>0</v>
      </c>
      <c r="N131" t="n">
        <v>0</v>
      </c>
      <c r="O131" t="n">
        <v>0</v>
      </c>
      <c r="P131" t="n">
        <v>0</v>
      </c>
      <c r="Q131" t="n">
        <v>0</v>
      </c>
      <c r="R131" s="2" t="inlineStr"/>
    </row>
    <row r="132" ht="15" customHeight="1">
      <c r="A132" t="inlineStr">
        <is>
          <t>A 44934-2019</t>
        </is>
      </c>
      <c r="B132" s="1" t="n">
        <v>43713</v>
      </c>
      <c r="C132" s="1" t="n">
        <v>45828</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45135-2019</t>
        </is>
      </c>
      <c r="B133" s="1" t="n">
        <v>43713</v>
      </c>
      <c r="C133" s="1" t="n">
        <v>45828</v>
      </c>
      <c r="D133" t="inlineStr">
        <is>
          <t>DALARNAS LÄN</t>
        </is>
      </c>
      <c r="E133" t="inlineStr">
        <is>
          <t>MALUNG-SÄLEN</t>
        </is>
      </c>
      <c r="G133" t="n">
        <v>4.3</v>
      </c>
      <c r="H133" t="n">
        <v>0</v>
      </c>
      <c r="I133" t="n">
        <v>0</v>
      </c>
      <c r="J133" t="n">
        <v>0</v>
      </c>
      <c r="K133" t="n">
        <v>0</v>
      </c>
      <c r="L133" t="n">
        <v>0</v>
      </c>
      <c r="M133" t="n">
        <v>0</v>
      </c>
      <c r="N133" t="n">
        <v>0</v>
      </c>
      <c r="O133" t="n">
        <v>0</v>
      </c>
      <c r="P133" t="n">
        <v>0</v>
      </c>
      <c r="Q133" t="n">
        <v>0</v>
      </c>
      <c r="R133" s="2" t="inlineStr"/>
    </row>
    <row r="134" ht="15" customHeight="1">
      <c r="A134" t="inlineStr">
        <is>
          <t>A 47233-2019</t>
        </is>
      </c>
      <c r="B134" s="1" t="n">
        <v>43713</v>
      </c>
      <c r="C134" s="1" t="n">
        <v>45828</v>
      </c>
      <c r="D134" t="inlineStr">
        <is>
          <t>DALARNAS LÄN</t>
        </is>
      </c>
      <c r="E134" t="inlineStr">
        <is>
          <t>MALUNG-SÄLEN</t>
        </is>
      </c>
      <c r="G134" t="n">
        <v>6.7</v>
      </c>
      <c r="H134" t="n">
        <v>0</v>
      </c>
      <c r="I134" t="n">
        <v>0</v>
      </c>
      <c r="J134" t="n">
        <v>0</v>
      </c>
      <c r="K134" t="n">
        <v>0</v>
      </c>
      <c r="L134" t="n">
        <v>0</v>
      </c>
      <c r="M134" t="n">
        <v>0</v>
      </c>
      <c r="N134" t="n">
        <v>0</v>
      </c>
      <c r="O134" t="n">
        <v>0</v>
      </c>
      <c r="P134" t="n">
        <v>0</v>
      </c>
      <c r="Q134" t="n">
        <v>0</v>
      </c>
      <c r="R134" s="2" t="inlineStr"/>
    </row>
    <row r="135" ht="15" customHeight="1">
      <c r="A135" t="inlineStr">
        <is>
          <t>A 47236-2019</t>
        </is>
      </c>
      <c r="B135" s="1" t="n">
        <v>43713</v>
      </c>
      <c r="C135" s="1" t="n">
        <v>45828</v>
      </c>
      <c r="D135" t="inlineStr">
        <is>
          <t>DALARNAS LÄN</t>
        </is>
      </c>
      <c r="E135" t="inlineStr">
        <is>
          <t>MALUNG-SÄLEN</t>
        </is>
      </c>
      <c r="G135" t="n">
        <v>7.9</v>
      </c>
      <c r="H135" t="n">
        <v>0</v>
      </c>
      <c r="I135" t="n">
        <v>0</v>
      </c>
      <c r="J135" t="n">
        <v>0</v>
      </c>
      <c r="K135" t="n">
        <v>0</v>
      </c>
      <c r="L135" t="n">
        <v>0</v>
      </c>
      <c r="M135" t="n">
        <v>0</v>
      </c>
      <c r="N135" t="n">
        <v>0</v>
      </c>
      <c r="O135" t="n">
        <v>0</v>
      </c>
      <c r="P135" t="n">
        <v>0</v>
      </c>
      <c r="Q135" t="n">
        <v>0</v>
      </c>
      <c r="R135" s="2" t="inlineStr"/>
    </row>
    <row r="136" ht="15" customHeight="1">
      <c r="A136" t="inlineStr">
        <is>
          <t>A 45738-2019</t>
        </is>
      </c>
      <c r="B136" s="1" t="n">
        <v>43717</v>
      </c>
      <c r="C136" s="1" t="n">
        <v>45828</v>
      </c>
      <c r="D136" t="inlineStr">
        <is>
          <t>DALARNAS LÄN</t>
        </is>
      </c>
      <c r="E136" t="inlineStr">
        <is>
          <t>MALUNG-SÄLEN</t>
        </is>
      </c>
      <c r="G136" t="n">
        <v>3.5</v>
      </c>
      <c r="H136" t="n">
        <v>0</v>
      </c>
      <c r="I136" t="n">
        <v>0</v>
      </c>
      <c r="J136" t="n">
        <v>0</v>
      </c>
      <c r="K136" t="n">
        <v>0</v>
      </c>
      <c r="L136" t="n">
        <v>0</v>
      </c>
      <c r="M136" t="n">
        <v>0</v>
      </c>
      <c r="N136" t="n">
        <v>0</v>
      </c>
      <c r="O136" t="n">
        <v>0</v>
      </c>
      <c r="P136" t="n">
        <v>0</v>
      </c>
      <c r="Q136" t="n">
        <v>0</v>
      </c>
      <c r="R136" s="2" t="inlineStr"/>
    </row>
    <row r="137" ht="15" customHeight="1">
      <c r="A137" t="inlineStr">
        <is>
          <t>A 45750-2019</t>
        </is>
      </c>
      <c r="B137" s="1" t="n">
        <v>43717</v>
      </c>
      <c r="C137" s="1" t="n">
        <v>45828</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45697-2019</t>
        </is>
      </c>
      <c r="B138" s="1" t="n">
        <v>43717</v>
      </c>
      <c r="C138" s="1" t="n">
        <v>45828</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47068-2019</t>
        </is>
      </c>
      <c r="B139" s="1" t="n">
        <v>43720</v>
      </c>
      <c r="C139" s="1" t="n">
        <v>45828</v>
      </c>
      <c r="D139" t="inlineStr">
        <is>
          <t>DALARNAS LÄN</t>
        </is>
      </c>
      <c r="E139" t="inlineStr">
        <is>
          <t>MALUNG-SÄLEN</t>
        </is>
      </c>
      <c r="G139" t="n">
        <v>4.2</v>
      </c>
      <c r="H139" t="n">
        <v>0</v>
      </c>
      <c r="I139" t="n">
        <v>0</v>
      </c>
      <c r="J139" t="n">
        <v>0</v>
      </c>
      <c r="K139" t="n">
        <v>0</v>
      </c>
      <c r="L139" t="n">
        <v>0</v>
      </c>
      <c r="M139" t="n">
        <v>0</v>
      </c>
      <c r="N139" t="n">
        <v>0</v>
      </c>
      <c r="O139" t="n">
        <v>0</v>
      </c>
      <c r="P139" t="n">
        <v>0</v>
      </c>
      <c r="Q139" t="n">
        <v>0</v>
      </c>
      <c r="R139" s="2" t="inlineStr"/>
    </row>
    <row r="140" ht="15" customHeight="1">
      <c r="A140" t="inlineStr">
        <is>
          <t>A 47067-2019</t>
        </is>
      </c>
      <c r="B140" s="1" t="n">
        <v>43720</v>
      </c>
      <c r="C140" s="1" t="n">
        <v>45828</v>
      </c>
      <c r="D140" t="inlineStr">
        <is>
          <t>DALARNAS LÄN</t>
        </is>
      </c>
      <c r="E140" t="inlineStr">
        <is>
          <t>MALUNG-SÄLEN</t>
        </is>
      </c>
      <c r="G140" t="n">
        <v>3.7</v>
      </c>
      <c r="H140" t="n">
        <v>0</v>
      </c>
      <c r="I140" t="n">
        <v>0</v>
      </c>
      <c r="J140" t="n">
        <v>0</v>
      </c>
      <c r="K140" t="n">
        <v>0</v>
      </c>
      <c r="L140" t="n">
        <v>0</v>
      </c>
      <c r="M140" t="n">
        <v>0</v>
      </c>
      <c r="N140" t="n">
        <v>0</v>
      </c>
      <c r="O140" t="n">
        <v>0</v>
      </c>
      <c r="P140" t="n">
        <v>0</v>
      </c>
      <c r="Q140" t="n">
        <v>0</v>
      </c>
      <c r="R140" s="2" t="inlineStr"/>
    </row>
    <row r="141" ht="15" customHeight="1">
      <c r="A141" t="inlineStr">
        <is>
          <t>A 48275-2019</t>
        </is>
      </c>
      <c r="B141" s="1" t="n">
        <v>43726</v>
      </c>
      <c r="C141" s="1" t="n">
        <v>45828</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49736-2019</t>
        </is>
      </c>
      <c r="B142" s="1" t="n">
        <v>43733</v>
      </c>
      <c r="C142" s="1" t="n">
        <v>45828</v>
      </c>
      <c r="D142" t="inlineStr">
        <is>
          <t>DALARNAS LÄN</t>
        </is>
      </c>
      <c r="E142" t="inlineStr">
        <is>
          <t>MALUNG-SÄLEN</t>
        </is>
      </c>
      <c r="G142" t="n">
        <v>6.5</v>
      </c>
      <c r="H142" t="n">
        <v>0</v>
      </c>
      <c r="I142" t="n">
        <v>0</v>
      </c>
      <c r="J142" t="n">
        <v>0</v>
      </c>
      <c r="K142" t="n">
        <v>0</v>
      </c>
      <c r="L142" t="n">
        <v>0</v>
      </c>
      <c r="M142" t="n">
        <v>0</v>
      </c>
      <c r="N142" t="n">
        <v>0</v>
      </c>
      <c r="O142" t="n">
        <v>0</v>
      </c>
      <c r="P142" t="n">
        <v>0</v>
      </c>
      <c r="Q142" t="n">
        <v>0</v>
      </c>
      <c r="R142" s="2" t="inlineStr"/>
    </row>
    <row r="143" ht="15" customHeight="1">
      <c r="A143" t="inlineStr">
        <is>
          <t>A 49817-2019</t>
        </is>
      </c>
      <c r="B143" s="1" t="n">
        <v>43733</v>
      </c>
      <c r="C143" s="1" t="n">
        <v>45828</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50160-2019</t>
        </is>
      </c>
      <c r="B144" s="1" t="n">
        <v>43734</v>
      </c>
      <c r="C144" s="1" t="n">
        <v>45828</v>
      </c>
      <c r="D144" t="inlineStr">
        <is>
          <t>DALARNAS LÄN</t>
        </is>
      </c>
      <c r="E144" t="inlineStr">
        <is>
          <t>MALUNG-SÄLEN</t>
        </is>
      </c>
      <c r="G144" t="n">
        <v>0.7</v>
      </c>
      <c r="H144" t="n">
        <v>0</v>
      </c>
      <c r="I144" t="n">
        <v>0</v>
      </c>
      <c r="J144" t="n">
        <v>0</v>
      </c>
      <c r="K144" t="n">
        <v>0</v>
      </c>
      <c r="L144" t="n">
        <v>0</v>
      </c>
      <c r="M144" t="n">
        <v>0</v>
      </c>
      <c r="N144" t="n">
        <v>0</v>
      </c>
      <c r="O144" t="n">
        <v>0</v>
      </c>
      <c r="P144" t="n">
        <v>0</v>
      </c>
      <c r="Q144" t="n">
        <v>0</v>
      </c>
      <c r="R144" s="2" t="inlineStr"/>
    </row>
    <row r="145" ht="15" customHeight="1">
      <c r="A145" t="inlineStr">
        <is>
          <t>A 50408-2019</t>
        </is>
      </c>
      <c r="B145" s="1" t="n">
        <v>43735</v>
      </c>
      <c r="C145" s="1" t="n">
        <v>45828</v>
      </c>
      <c r="D145" t="inlineStr">
        <is>
          <t>DALARNAS LÄN</t>
        </is>
      </c>
      <c r="E145" t="inlineStr">
        <is>
          <t>MALUNG-SÄLEN</t>
        </is>
      </c>
      <c r="G145" t="n">
        <v>7.3</v>
      </c>
      <c r="H145" t="n">
        <v>0</v>
      </c>
      <c r="I145" t="n">
        <v>0</v>
      </c>
      <c r="J145" t="n">
        <v>0</v>
      </c>
      <c r="K145" t="n">
        <v>0</v>
      </c>
      <c r="L145" t="n">
        <v>0</v>
      </c>
      <c r="M145" t="n">
        <v>0</v>
      </c>
      <c r="N145" t="n">
        <v>0</v>
      </c>
      <c r="O145" t="n">
        <v>0</v>
      </c>
      <c r="P145" t="n">
        <v>0</v>
      </c>
      <c r="Q145" t="n">
        <v>0</v>
      </c>
      <c r="R145" s="2" t="inlineStr"/>
    </row>
    <row r="146" ht="15" customHeight="1">
      <c r="A146" t="inlineStr">
        <is>
          <t>A 50418-2019</t>
        </is>
      </c>
      <c r="B146" s="1" t="n">
        <v>43735</v>
      </c>
      <c r="C146" s="1" t="n">
        <v>45828</v>
      </c>
      <c r="D146" t="inlineStr">
        <is>
          <t>DALARNAS LÄN</t>
        </is>
      </c>
      <c r="E146" t="inlineStr">
        <is>
          <t>MALUNG-SÄLEN</t>
        </is>
      </c>
      <c r="G146" t="n">
        <v>2.5</v>
      </c>
      <c r="H146" t="n">
        <v>0</v>
      </c>
      <c r="I146" t="n">
        <v>0</v>
      </c>
      <c r="J146" t="n">
        <v>0</v>
      </c>
      <c r="K146" t="n">
        <v>0</v>
      </c>
      <c r="L146" t="n">
        <v>0</v>
      </c>
      <c r="M146" t="n">
        <v>0</v>
      </c>
      <c r="N146" t="n">
        <v>0</v>
      </c>
      <c r="O146" t="n">
        <v>0</v>
      </c>
      <c r="P146" t="n">
        <v>0</v>
      </c>
      <c r="Q146" t="n">
        <v>0</v>
      </c>
      <c r="R146" s="2" t="inlineStr"/>
    </row>
    <row r="147" ht="15" customHeight="1">
      <c r="A147" t="inlineStr">
        <is>
          <t>A 50424-2019</t>
        </is>
      </c>
      <c r="B147" s="1" t="n">
        <v>43735</v>
      </c>
      <c r="C147" s="1" t="n">
        <v>45828</v>
      </c>
      <c r="D147" t="inlineStr">
        <is>
          <t>DALARNAS LÄN</t>
        </is>
      </c>
      <c r="E147" t="inlineStr">
        <is>
          <t>MALUNG-SÄLEN</t>
        </is>
      </c>
      <c r="G147" t="n">
        <v>1.6</v>
      </c>
      <c r="H147" t="n">
        <v>0</v>
      </c>
      <c r="I147" t="n">
        <v>0</v>
      </c>
      <c r="J147" t="n">
        <v>0</v>
      </c>
      <c r="K147" t="n">
        <v>0</v>
      </c>
      <c r="L147" t="n">
        <v>0</v>
      </c>
      <c r="M147" t="n">
        <v>0</v>
      </c>
      <c r="N147" t="n">
        <v>0</v>
      </c>
      <c r="O147" t="n">
        <v>0</v>
      </c>
      <c r="P147" t="n">
        <v>0</v>
      </c>
      <c r="Q147" t="n">
        <v>0</v>
      </c>
      <c r="R147" s="2" t="inlineStr"/>
    </row>
    <row r="148" ht="15" customHeight="1">
      <c r="A148" t="inlineStr">
        <is>
          <t>A 50486-2019</t>
        </is>
      </c>
      <c r="B148" s="1" t="n">
        <v>43735</v>
      </c>
      <c r="C148" s="1" t="n">
        <v>45828</v>
      </c>
      <c r="D148" t="inlineStr">
        <is>
          <t>DALARNAS LÄN</t>
        </is>
      </c>
      <c r="E148" t="inlineStr">
        <is>
          <t>MALUNG-SÄLEN</t>
        </is>
      </c>
      <c r="G148" t="n">
        <v>1</v>
      </c>
      <c r="H148" t="n">
        <v>0</v>
      </c>
      <c r="I148" t="n">
        <v>0</v>
      </c>
      <c r="J148" t="n">
        <v>0</v>
      </c>
      <c r="K148" t="n">
        <v>0</v>
      </c>
      <c r="L148" t="n">
        <v>0</v>
      </c>
      <c r="M148" t="n">
        <v>0</v>
      </c>
      <c r="N148" t="n">
        <v>0</v>
      </c>
      <c r="O148" t="n">
        <v>0</v>
      </c>
      <c r="P148" t="n">
        <v>0</v>
      </c>
      <c r="Q148" t="n">
        <v>0</v>
      </c>
      <c r="R148" s="2" t="inlineStr"/>
    </row>
    <row r="149" ht="15" customHeight="1">
      <c r="A149" t="inlineStr">
        <is>
          <t>A 50479-2019</t>
        </is>
      </c>
      <c r="B149" s="1" t="n">
        <v>43735</v>
      </c>
      <c r="C149" s="1" t="n">
        <v>45828</v>
      </c>
      <c r="D149" t="inlineStr">
        <is>
          <t>DALARNAS LÄN</t>
        </is>
      </c>
      <c r="E149" t="inlineStr">
        <is>
          <t>MALUNG-SÄLEN</t>
        </is>
      </c>
      <c r="G149" t="n">
        <v>1.1</v>
      </c>
      <c r="H149" t="n">
        <v>0</v>
      </c>
      <c r="I149" t="n">
        <v>0</v>
      </c>
      <c r="J149" t="n">
        <v>0</v>
      </c>
      <c r="K149" t="n">
        <v>0</v>
      </c>
      <c r="L149" t="n">
        <v>0</v>
      </c>
      <c r="M149" t="n">
        <v>0</v>
      </c>
      <c r="N149" t="n">
        <v>0</v>
      </c>
      <c r="O149" t="n">
        <v>0</v>
      </c>
      <c r="P149" t="n">
        <v>0</v>
      </c>
      <c r="Q149" t="n">
        <v>0</v>
      </c>
      <c r="R149" s="2" t="inlineStr"/>
    </row>
    <row r="150" ht="15" customHeight="1">
      <c r="A150" t="inlineStr">
        <is>
          <t>A 50437-2019</t>
        </is>
      </c>
      <c r="B150" s="1" t="n">
        <v>43735</v>
      </c>
      <c r="C150" s="1" t="n">
        <v>45828</v>
      </c>
      <c r="D150" t="inlineStr">
        <is>
          <t>DALARNAS LÄN</t>
        </is>
      </c>
      <c r="E150" t="inlineStr">
        <is>
          <t>MALUNG-SÄLEN</t>
        </is>
      </c>
      <c r="G150" t="n">
        <v>1.9</v>
      </c>
      <c r="H150" t="n">
        <v>0</v>
      </c>
      <c r="I150" t="n">
        <v>0</v>
      </c>
      <c r="J150" t="n">
        <v>0</v>
      </c>
      <c r="K150" t="n">
        <v>0</v>
      </c>
      <c r="L150" t="n">
        <v>0</v>
      </c>
      <c r="M150" t="n">
        <v>0</v>
      </c>
      <c r="N150" t="n">
        <v>0</v>
      </c>
      <c r="O150" t="n">
        <v>0</v>
      </c>
      <c r="P150" t="n">
        <v>0</v>
      </c>
      <c r="Q150" t="n">
        <v>0</v>
      </c>
      <c r="R150" s="2" t="inlineStr"/>
    </row>
    <row r="151" ht="15" customHeight="1">
      <c r="A151" t="inlineStr">
        <is>
          <t>A 52706-2019</t>
        </is>
      </c>
      <c r="B151" s="1" t="n">
        <v>43739</v>
      </c>
      <c r="C151" s="1" t="n">
        <v>45828</v>
      </c>
      <c r="D151" t="inlineStr">
        <is>
          <t>DALARNAS LÄN</t>
        </is>
      </c>
      <c r="E151" t="inlineStr">
        <is>
          <t>MALUNG-SÄLEN</t>
        </is>
      </c>
      <c r="G151" t="n">
        <v>21</v>
      </c>
      <c r="H151" t="n">
        <v>0</v>
      </c>
      <c r="I151" t="n">
        <v>0</v>
      </c>
      <c r="J151" t="n">
        <v>0</v>
      </c>
      <c r="K151" t="n">
        <v>0</v>
      </c>
      <c r="L151" t="n">
        <v>0</v>
      </c>
      <c r="M151" t="n">
        <v>0</v>
      </c>
      <c r="N151" t="n">
        <v>0</v>
      </c>
      <c r="O151" t="n">
        <v>0</v>
      </c>
      <c r="P151" t="n">
        <v>0</v>
      </c>
      <c r="Q151" t="n">
        <v>0</v>
      </c>
      <c r="R151" s="2" t="inlineStr"/>
    </row>
    <row r="152" ht="15" customHeight="1">
      <c r="A152" t="inlineStr">
        <is>
          <t>A 52719-2019</t>
        </is>
      </c>
      <c r="B152" s="1" t="n">
        <v>43739</v>
      </c>
      <c r="C152" s="1" t="n">
        <v>45828</v>
      </c>
      <c r="D152" t="inlineStr">
        <is>
          <t>DALARNAS LÄN</t>
        </is>
      </c>
      <c r="E152" t="inlineStr">
        <is>
          <t>MALUNG-SÄLEN</t>
        </is>
      </c>
      <c r="G152" t="n">
        <v>9</v>
      </c>
      <c r="H152" t="n">
        <v>0</v>
      </c>
      <c r="I152" t="n">
        <v>0</v>
      </c>
      <c r="J152" t="n">
        <v>0</v>
      </c>
      <c r="K152" t="n">
        <v>0</v>
      </c>
      <c r="L152" t="n">
        <v>0</v>
      </c>
      <c r="M152" t="n">
        <v>0</v>
      </c>
      <c r="N152" t="n">
        <v>0</v>
      </c>
      <c r="O152" t="n">
        <v>0</v>
      </c>
      <c r="P152" t="n">
        <v>0</v>
      </c>
      <c r="Q152" t="n">
        <v>0</v>
      </c>
      <c r="R152" s="2" t="inlineStr"/>
    </row>
    <row r="153" ht="15" customHeight="1">
      <c r="A153" t="inlineStr">
        <is>
          <t>A 53100-2019</t>
        </is>
      </c>
      <c r="B153" s="1" t="n">
        <v>43747</v>
      </c>
      <c r="C153" s="1" t="n">
        <v>45828</v>
      </c>
      <c r="D153" t="inlineStr">
        <is>
          <t>DALARNAS LÄN</t>
        </is>
      </c>
      <c r="E153" t="inlineStr">
        <is>
          <t>MALUNG-SÄLEN</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53740-2019</t>
        </is>
      </c>
      <c r="B154" s="1" t="n">
        <v>43749</v>
      </c>
      <c r="C154" s="1" t="n">
        <v>45828</v>
      </c>
      <c r="D154" t="inlineStr">
        <is>
          <t>DALARNAS LÄN</t>
        </is>
      </c>
      <c r="E154" t="inlineStr">
        <is>
          <t>MALUNG-SÄLEN</t>
        </is>
      </c>
      <c r="G154" t="n">
        <v>4.3</v>
      </c>
      <c r="H154" t="n">
        <v>0</v>
      </c>
      <c r="I154" t="n">
        <v>0</v>
      </c>
      <c r="J154" t="n">
        <v>0</v>
      </c>
      <c r="K154" t="n">
        <v>0</v>
      </c>
      <c r="L154" t="n">
        <v>0</v>
      </c>
      <c r="M154" t="n">
        <v>0</v>
      </c>
      <c r="N154" t="n">
        <v>0</v>
      </c>
      <c r="O154" t="n">
        <v>0</v>
      </c>
      <c r="P154" t="n">
        <v>0</v>
      </c>
      <c r="Q154" t="n">
        <v>0</v>
      </c>
      <c r="R154" s="2" t="inlineStr"/>
    </row>
    <row r="155" ht="15" customHeight="1">
      <c r="A155" t="inlineStr">
        <is>
          <t>A 57052-2019</t>
        </is>
      </c>
      <c r="B155" s="1" t="n">
        <v>43762</v>
      </c>
      <c r="C155" s="1" t="n">
        <v>45828</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56523-2019</t>
        </is>
      </c>
      <c r="B156" s="1" t="n">
        <v>43763</v>
      </c>
      <c r="C156" s="1" t="n">
        <v>45828</v>
      </c>
      <c r="D156" t="inlineStr">
        <is>
          <t>DALARNAS LÄN</t>
        </is>
      </c>
      <c r="E156" t="inlineStr">
        <is>
          <t>MALUNG-SÄLEN</t>
        </is>
      </c>
      <c r="G156" t="n">
        <v>2.2</v>
      </c>
      <c r="H156" t="n">
        <v>0</v>
      </c>
      <c r="I156" t="n">
        <v>0</v>
      </c>
      <c r="J156" t="n">
        <v>0</v>
      </c>
      <c r="K156" t="n">
        <v>0</v>
      </c>
      <c r="L156" t="n">
        <v>0</v>
      </c>
      <c r="M156" t="n">
        <v>0</v>
      </c>
      <c r="N156" t="n">
        <v>0</v>
      </c>
      <c r="O156" t="n">
        <v>0</v>
      </c>
      <c r="P156" t="n">
        <v>0</v>
      </c>
      <c r="Q156" t="n">
        <v>0</v>
      </c>
      <c r="R156" s="2" t="inlineStr"/>
    </row>
    <row r="157" ht="15" customHeight="1">
      <c r="A157" t="inlineStr">
        <is>
          <t>A 57243-2019</t>
        </is>
      </c>
      <c r="B157" s="1" t="n">
        <v>43767</v>
      </c>
      <c r="C157" s="1" t="n">
        <v>45828</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57486-2019</t>
        </is>
      </c>
      <c r="B158" s="1" t="n">
        <v>43767</v>
      </c>
      <c r="C158" s="1" t="n">
        <v>45828</v>
      </c>
      <c r="D158" t="inlineStr">
        <is>
          <t>DALARNAS LÄN</t>
        </is>
      </c>
      <c r="E158" t="inlineStr">
        <is>
          <t>MALUNG-SÄLEN</t>
        </is>
      </c>
      <c r="F158" t="inlineStr">
        <is>
          <t>Övriga statliga verk och myndigheter</t>
        </is>
      </c>
      <c r="G158" t="n">
        <v>6.9</v>
      </c>
      <c r="H158" t="n">
        <v>0</v>
      </c>
      <c r="I158" t="n">
        <v>0</v>
      </c>
      <c r="J158" t="n">
        <v>0</v>
      </c>
      <c r="K158" t="n">
        <v>0</v>
      </c>
      <c r="L158" t="n">
        <v>0</v>
      </c>
      <c r="M158" t="n">
        <v>0</v>
      </c>
      <c r="N158" t="n">
        <v>0</v>
      </c>
      <c r="O158" t="n">
        <v>0</v>
      </c>
      <c r="P158" t="n">
        <v>0</v>
      </c>
      <c r="Q158" t="n">
        <v>0</v>
      </c>
      <c r="R158" s="2" t="inlineStr"/>
    </row>
    <row r="159" ht="15" customHeight="1">
      <c r="A159" t="inlineStr">
        <is>
          <t>A 60957-2019</t>
        </is>
      </c>
      <c r="B159" s="1" t="n">
        <v>43782</v>
      </c>
      <c r="C159" s="1" t="n">
        <v>45828</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61100-2019</t>
        </is>
      </c>
      <c r="B160" s="1" t="n">
        <v>43782</v>
      </c>
      <c r="C160" s="1" t="n">
        <v>45828</v>
      </c>
      <c r="D160" t="inlineStr">
        <is>
          <t>DALARNAS LÄN</t>
        </is>
      </c>
      <c r="E160" t="inlineStr">
        <is>
          <t>MALUNG-SÄLEN</t>
        </is>
      </c>
      <c r="F160" t="inlineStr">
        <is>
          <t>Bergvik skog väst AB</t>
        </is>
      </c>
      <c r="G160" t="n">
        <v>13.7</v>
      </c>
      <c r="H160" t="n">
        <v>0</v>
      </c>
      <c r="I160" t="n">
        <v>0</v>
      </c>
      <c r="J160" t="n">
        <v>0</v>
      </c>
      <c r="K160" t="n">
        <v>0</v>
      </c>
      <c r="L160" t="n">
        <v>0</v>
      </c>
      <c r="M160" t="n">
        <v>0</v>
      </c>
      <c r="N160" t="n">
        <v>0</v>
      </c>
      <c r="O160" t="n">
        <v>0</v>
      </c>
      <c r="P160" t="n">
        <v>0</v>
      </c>
      <c r="Q160" t="n">
        <v>0</v>
      </c>
      <c r="R160" s="2" t="inlineStr"/>
    </row>
    <row r="161" ht="15" customHeight="1">
      <c r="A161" t="inlineStr">
        <is>
          <t>A 61280-2019</t>
        </is>
      </c>
      <c r="B161" s="1" t="n">
        <v>43783</v>
      </c>
      <c r="C161" s="1" t="n">
        <v>45828</v>
      </c>
      <c r="D161" t="inlineStr">
        <is>
          <t>DALARNAS LÄN</t>
        </is>
      </c>
      <c r="E161" t="inlineStr">
        <is>
          <t>MALUNG-SÄLEN</t>
        </is>
      </c>
      <c r="G161" t="n">
        <v>4.4</v>
      </c>
      <c r="H161" t="n">
        <v>0</v>
      </c>
      <c r="I161" t="n">
        <v>0</v>
      </c>
      <c r="J161" t="n">
        <v>0</v>
      </c>
      <c r="K161" t="n">
        <v>0</v>
      </c>
      <c r="L161" t="n">
        <v>0</v>
      </c>
      <c r="M161" t="n">
        <v>0</v>
      </c>
      <c r="N161" t="n">
        <v>0</v>
      </c>
      <c r="O161" t="n">
        <v>0</v>
      </c>
      <c r="P161" t="n">
        <v>0</v>
      </c>
      <c r="Q161" t="n">
        <v>0</v>
      </c>
      <c r="R161" s="2" t="inlineStr"/>
    </row>
    <row r="162" ht="15" customHeight="1">
      <c r="A162" t="inlineStr">
        <is>
          <t>A 63333-2019</t>
        </is>
      </c>
      <c r="B162" s="1" t="n">
        <v>43787</v>
      </c>
      <c r="C162" s="1" t="n">
        <v>45828</v>
      </c>
      <c r="D162" t="inlineStr">
        <is>
          <t>DALARNAS LÄN</t>
        </is>
      </c>
      <c r="E162" t="inlineStr">
        <is>
          <t>MALUNG-SÄLEN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62247-2019</t>
        </is>
      </c>
      <c r="B163" s="1" t="n">
        <v>43788</v>
      </c>
      <c r="C163" s="1" t="n">
        <v>45828</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62248-2019</t>
        </is>
      </c>
      <c r="B164" s="1" t="n">
        <v>43788</v>
      </c>
      <c r="C164" s="1" t="n">
        <v>45828</v>
      </c>
      <c r="D164" t="inlineStr">
        <is>
          <t>DALARNAS LÄN</t>
        </is>
      </c>
      <c r="E164" t="inlineStr">
        <is>
          <t>MALUNG-SÄLEN</t>
        </is>
      </c>
      <c r="G164" t="n">
        <v>0.5</v>
      </c>
      <c r="H164" t="n">
        <v>0</v>
      </c>
      <c r="I164" t="n">
        <v>0</v>
      </c>
      <c r="J164" t="n">
        <v>0</v>
      </c>
      <c r="K164" t="n">
        <v>0</v>
      </c>
      <c r="L164" t="n">
        <v>0</v>
      </c>
      <c r="M164" t="n">
        <v>0</v>
      </c>
      <c r="N164" t="n">
        <v>0</v>
      </c>
      <c r="O164" t="n">
        <v>0</v>
      </c>
      <c r="P164" t="n">
        <v>0</v>
      </c>
      <c r="Q164" t="n">
        <v>0</v>
      </c>
      <c r="R164" s="2" t="inlineStr"/>
    </row>
    <row r="165" ht="15" customHeight="1">
      <c r="A165" t="inlineStr">
        <is>
          <t>A 62312-2019</t>
        </is>
      </c>
      <c r="B165" s="1" t="n">
        <v>43788</v>
      </c>
      <c r="C165" s="1" t="n">
        <v>45828</v>
      </c>
      <c r="D165" t="inlineStr">
        <is>
          <t>DALARNAS LÄN</t>
        </is>
      </c>
      <c r="E165" t="inlineStr">
        <is>
          <t>MALUNG-SÄLEN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67339-2019</t>
        </is>
      </c>
      <c r="B166" s="1" t="n">
        <v>43812</v>
      </c>
      <c r="C166" s="1" t="n">
        <v>45828</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68789-2019</t>
        </is>
      </c>
      <c r="B167" s="1" t="n">
        <v>43819</v>
      </c>
      <c r="C167" s="1" t="n">
        <v>45828</v>
      </c>
      <c r="D167" t="inlineStr">
        <is>
          <t>DALARNAS LÄN</t>
        </is>
      </c>
      <c r="E167" t="inlineStr">
        <is>
          <t>MALUNG-SÄLEN</t>
        </is>
      </c>
      <c r="G167" t="n">
        <v>2</v>
      </c>
      <c r="H167" t="n">
        <v>0</v>
      </c>
      <c r="I167" t="n">
        <v>0</v>
      </c>
      <c r="J167" t="n">
        <v>0</v>
      </c>
      <c r="K167" t="n">
        <v>0</v>
      </c>
      <c r="L167" t="n">
        <v>0</v>
      </c>
      <c r="M167" t="n">
        <v>0</v>
      </c>
      <c r="N167" t="n">
        <v>0</v>
      </c>
      <c r="O167" t="n">
        <v>0</v>
      </c>
      <c r="P167" t="n">
        <v>0</v>
      </c>
      <c r="Q167" t="n">
        <v>0</v>
      </c>
      <c r="R167" s="2" t="inlineStr"/>
    </row>
    <row r="168" ht="15" customHeight="1">
      <c r="A168" t="inlineStr">
        <is>
          <t>A 337-2020</t>
        </is>
      </c>
      <c r="B168" s="1" t="n">
        <v>43837</v>
      </c>
      <c r="C168" s="1" t="n">
        <v>45828</v>
      </c>
      <c r="D168" t="inlineStr">
        <is>
          <t>DALARNAS LÄN</t>
        </is>
      </c>
      <c r="E168" t="inlineStr">
        <is>
          <t>MALUNG-SÄLEN</t>
        </is>
      </c>
      <c r="G168" t="n">
        <v>0.8</v>
      </c>
      <c r="H168" t="n">
        <v>0</v>
      </c>
      <c r="I168" t="n">
        <v>0</v>
      </c>
      <c r="J168" t="n">
        <v>0</v>
      </c>
      <c r="K168" t="n">
        <v>0</v>
      </c>
      <c r="L168" t="n">
        <v>0</v>
      </c>
      <c r="M168" t="n">
        <v>0</v>
      </c>
      <c r="N168" t="n">
        <v>0</v>
      </c>
      <c r="O168" t="n">
        <v>0</v>
      </c>
      <c r="P168" t="n">
        <v>0</v>
      </c>
      <c r="Q168" t="n">
        <v>0</v>
      </c>
      <c r="R168" s="2" t="inlineStr"/>
    </row>
    <row r="169" ht="15" customHeight="1">
      <c r="A169" t="inlineStr">
        <is>
          <t>A 2198-2020</t>
        </is>
      </c>
      <c r="B169" s="1" t="n">
        <v>43839</v>
      </c>
      <c r="C169" s="1" t="n">
        <v>45828</v>
      </c>
      <c r="D169" t="inlineStr">
        <is>
          <t>DALARNAS LÄN</t>
        </is>
      </c>
      <c r="E169" t="inlineStr">
        <is>
          <t>MALUNG-SÄLEN</t>
        </is>
      </c>
      <c r="G169" t="n">
        <v>0.3</v>
      </c>
      <c r="H169" t="n">
        <v>0</v>
      </c>
      <c r="I169" t="n">
        <v>0</v>
      </c>
      <c r="J169" t="n">
        <v>0</v>
      </c>
      <c r="K169" t="n">
        <v>0</v>
      </c>
      <c r="L169" t="n">
        <v>0</v>
      </c>
      <c r="M169" t="n">
        <v>0</v>
      </c>
      <c r="N169" t="n">
        <v>0</v>
      </c>
      <c r="O169" t="n">
        <v>0</v>
      </c>
      <c r="P169" t="n">
        <v>0</v>
      </c>
      <c r="Q169" t="n">
        <v>0</v>
      </c>
      <c r="R169" s="2" t="inlineStr"/>
    </row>
    <row r="170" ht="15" customHeight="1">
      <c r="A170" t="inlineStr">
        <is>
          <t>A 4747-2020</t>
        </is>
      </c>
      <c r="B170" s="1" t="n">
        <v>43859</v>
      </c>
      <c r="C170" s="1" t="n">
        <v>45828</v>
      </c>
      <c r="D170" t="inlineStr">
        <is>
          <t>DALARNAS LÄN</t>
        </is>
      </c>
      <c r="E170" t="inlineStr">
        <is>
          <t>MALUNG-SÄLEN</t>
        </is>
      </c>
      <c r="F170" t="inlineStr">
        <is>
          <t>Allmännings- och besparingsskogar</t>
        </is>
      </c>
      <c r="G170" t="n">
        <v>27.6</v>
      </c>
      <c r="H170" t="n">
        <v>0</v>
      </c>
      <c r="I170" t="n">
        <v>0</v>
      </c>
      <c r="J170" t="n">
        <v>0</v>
      </c>
      <c r="K170" t="n">
        <v>0</v>
      </c>
      <c r="L170" t="n">
        <v>0</v>
      </c>
      <c r="M170" t="n">
        <v>0</v>
      </c>
      <c r="N170" t="n">
        <v>0</v>
      </c>
      <c r="O170" t="n">
        <v>0</v>
      </c>
      <c r="P170" t="n">
        <v>0</v>
      </c>
      <c r="Q170" t="n">
        <v>0</v>
      </c>
      <c r="R170" s="2" t="inlineStr"/>
    </row>
    <row r="171" ht="15" customHeight="1">
      <c r="A171" t="inlineStr">
        <is>
          <t>A 8728-2020</t>
        </is>
      </c>
      <c r="B171" s="1" t="n">
        <v>43878</v>
      </c>
      <c r="C171" s="1" t="n">
        <v>45828</v>
      </c>
      <c r="D171" t="inlineStr">
        <is>
          <t>DALARNAS LÄN</t>
        </is>
      </c>
      <c r="E171" t="inlineStr">
        <is>
          <t>MALUNG-SÄLEN</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8737-2020</t>
        </is>
      </c>
      <c r="B172" s="1" t="n">
        <v>43878</v>
      </c>
      <c r="C172" s="1" t="n">
        <v>45828</v>
      </c>
      <c r="D172" t="inlineStr">
        <is>
          <t>DALARNAS LÄN</t>
        </is>
      </c>
      <c r="E172" t="inlineStr">
        <is>
          <t>MALUNG-SÄLEN</t>
        </is>
      </c>
      <c r="F172" t="inlineStr">
        <is>
          <t>Bergvik skog öst AB</t>
        </is>
      </c>
      <c r="G172" t="n">
        <v>3.2</v>
      </c>
      <c r="H172" t="n">
        <v>0</v>
      </c>
      <c r="I172" t="n">
        <v>0</v>
      </c>
      <c r="J172" t="n">
        <v>0</v>
      </c>
      <c r="K172" t="n">
        <v>0</v>
      </c>
      <c r="L172" t="n">
        <v>0</v>
      </c>
      <c r="M172" t="n">
        <v>0</v>
      </c>
      <c r="N172" t="n">
        <v>0</v>
      </c>
      <c r="O172" t="n">
        <v>0</v>
      </c>
      <c r="P172" t="n">
        <v>0</v>
      </c>
      <c r="Q172" t="n">
        <v>0</v>
      </c>
      <c r="R172" s="2" t="inlineStr"/>
    </row>
    <row r="173" ht="15" customHeight="1">
      <c r="A173" t="inlineStr">
        <is>
          <t>A 10447-2020</t>
        </is>
      </c>
      <c r="B173" s="1" t="n">
        <v>43886</v>
      </c>
      <c r="C173" s="1" t="n">
        <v>45828</v>
      </c>
      <c r="D173" t="inlineStr">
        <is>
          <t>DALARNAS LÄN</t>
        </is>
      </c>
      <c r="E173" t="inlineStr">
        <is>
          <t>MALUNG-SÄLEN</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11273-2020</t>
        </is>
      </c>
      <c r="B174" s="1" t="n">
        <v>43888</v>
      </c>
      <c r="C174" s="1" t="n">
        <v>45828</v>
      </c>
      <c r="D174" t="inlineStr">
        <is>
          <t>DALARNAS LÄN</t>
        </is>
      </c>
      <c r="E174" t="inlineStr">
        <is>
          <t>MALUNG-SÄLEN</t>
        </is>
      </c>
      <c r="G174" t="n">
        <v>0.6</v>
      </c>
      <c r="H174" t="n">
        <v>0</v>
      </c>
      <c r="I174" t="n">
        <v>0</v>
      </c>
      <c r="J174" t="n">
        <v>0</v>
      </c>
      <c r="K174" t="n">
        <v>0</v>
      </c>
      <c r="L174" t="n">
        <v>0</v>
      </c>
      <c r="M174" t="n">
        <v>0</v>
      </c>
      <c r="N174" t="n">
        <v>0</v>
      </c>
      <c r="O174" t="n">
        <v>0</v>
      </c>
      <c r="P174" t="n">
        <v>0</v>
      </c>
      <c r="Q174" t="n">
        <v>0</v>
      </c>
      <c r="R174" s="2" t="inlineStr"/>
    </row>
    <row r="175" ht="15" customHeight="1">
      <c r="A175" t="inlineStr">
        <is>
          <t>A 12791-2020</t>
        </is>
      </c>
      <c r="B175" s="1" t="n">
        <v>43894</v>
      </c>
      <c r="C175" s="1" t="n">
        <v>45828</v>
      </c>
      <c r="D175" t="inlineStr">
        <is>
          <t>DALARNAS LÄN</t>
        </is>
      </c>
      <c r="E175" t="inlineStr">
        <is>
          <t>MALUNG-SÄLEN</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14922-2020</t>
        </is>
      </c>
      <c r="B176" s="1" t="n">
        <v>43906</v>
      </c>
      <c r="C176" s="1" t="n">
        <v>45828</v>
      </c>
      <c r="D176" t="inlineStr">
        <is>
          <t>DALARNAS LÄN</t>
        </is>
      </c>
      <c r="E176" t="inlineStr">
        <is>
          <t>MALUNG-SÄLEN</t>
        </is>
      </c>
      <c r="G176" t="n">
        <v>2.3</v>
      </c>
      <c r="H176" t="n">
        <v>0</v>
      </c>
      <c r="I176" t="n">
        <v>0</v>
      </c>
      <c r="J176" t="n">
        <v>0</v>
      </c>
      <c r="K176" t="n">
        <v>0</v>
      </c>
      <c r="L176" t="n">
        <v>0</v>
      </c>
      <c r="M176" t="n">
        <v>0</v>
      </c>
      <c r="N176" t="n">
        <v>0</v>
      </c>
      <c r="O176" t="n">
        <v>0</v>
      </c>
      <c r="P176" t="n">
        <v>0</v>
      </c>
      <c r="Q176" t="n">
        <v>0</v>
      </c>
      <c r="R176" s="2" t="inlineStr"/>
    </row>
    <row r="177" ht="15" customHeight="1">
      <c r="A177" t="inlineStr">
        <is>
          <t>A 14265-2020</t>
        </is>
      </c>
      <c r="B177" s="1" t="n">
        <v>43907</v>
      </c>
      <c r="C177" s="1" t="n">
        <v>45828</v>
      </c>
      <c r="D177" t="inlineStr">
        <is>
          <t>DALARNAS LÄN</t>
        </is>
      </c>
      <c r="E177" t="inlineStr">
        <is>
          <t>MALUNG-SÄLEN</t>
        </is>
      </c>
      <c r="G177" t="n">
        <v>0.9</v>
      </c>
      <c r="H177" t="n">
        <v>0</v>
      </c>
      <c r="I177" t="n">
        <v>0</v>
      </c>
      <c r="J177" t="n">
        <v>0</v>
      </c>
      <c r="K177" t="n">
        <v>0</v>
      </c>
      <c r="L177" t="n">
        <v>0</v>
      </c>
      <c r="M177" t="n">
        <v>0</v>
      </c>
      <c r="N177" t="n">
        <v>0</v>
      </c>
      <c r="O177" t="n">
        <v>0</v>
      </c>
      <c r="P177" t="n">
        <v>0</v>
      </c>
      <c r="Q177" t="n">
        <v>0</v>
      </c>
      <c r="R177" s="2" t="inlineStr"/>
    </row>
    <row r="178" ht="15" customHeight="1">
      <c r="A178" t="inlineStr">
        <is>
          <t>A 14260-2020</t>
        </is>
      </c>
      <c r="B178" s="1" t="n">
        <v>43907</v>
      </c>
      <c r="C178" s="1" t="n">
        <v>45828</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15207-2020</t>
        </is>
      </c>
      <c r="B179" s="1" t="n">
        <v>43909</v>
      </c>
      <c r="C179" s="1" t="n">
        <v>45828</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17366-2020</t>
        </is>
      </c>
      <c r="B180" s="1" t="n">
        <v>43923</v>
      </c>
      <c r="C180" s="1" t="n">
        <v>45828</v>
      </c>
      <c r="D180" t="inlineStr">
        <is>
          <t>DALARNAS LÄN</t>
        </is>
      </c>
      <c r="E180" t="inlineStr">
        <is>
          <t>MALUNG-SÄLEN</t>
        </is>
      </c>
      <c r="F180" t="inlineStr">
        <is>
          <t>Kommuner</t>
        </is>
      </c>
      <c r="G180" t="n">
        <v>0.6</v>
      </c>
      <c r="H180" t="n">
        <v>0</v>
      </c>
      <c r="I180" t="n">
        <v>0</v>
      </c>
      <c r="J180" t="n">
        <v>0</v>
      </c>
      <c r="K180" t="n">
        <v>0</v>
      </c>
      <c r="L180" t="n">
        <v>0</v>
      </c>
      <c r="M180" t="n">
        <v>0</v>
      </c>
      <c r="N180" t="n">
        <v>0</v>
      </c>
      <c r="O180" t="n">
        <v>0</v>
      </c>
      <c r="P180" t="n">
        <v>0</v>
      </c>
      <c r="Q180" t="n">
        <v>0</v>
      </c>
      <c r="R180" s="2" t="inlineStr"/>
    </row>
    <row r="181" ht="15" customHeight="1">
      <c r="A181" t="inlineStr">
        <is>
          <t>A 17712-2020</t>
        </is>
      </c>
      <c r="B181" s="1" t="n">
        <v>43924</v>
      </c>
      <c r="C181" s="1" t="n">
        <v>45828</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18150-2020</t>
        </is>
      </c>
      <c r="B182" s="1" t="n">
        <v>43927</v>
      </c>
      <c r="C182" s="1" t="n">
        <v>45828</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18625-2020</t>
        </is>
      </c>
      <c r="B183" s="1" t="n">
        <v>43928</v>
      </c>
      <c r="C183" s="1" t="n">
        <v>45828</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18751-2020</t>
        </is>
      </c>
      <c r="B184" s="1" t="n">
        <v>43930</v>
      </c>
      <c r="C184" s="1" t="n">
        <v>45828</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19366-2020</t>
        </is>
      </c>
      <c r="B185" s="1" t="n">
        <v>43938</v>
      </c>
      <c r="C185" s="1" t="n">
        <v>45828</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20042-2020</t>
        </is>
      </c>
      <c r="B186" s="1" t="n">
        <v>43943</v>
      </c>
      <c r="C186" s="1" t="n">
        <v>45828</v>
      </c>
      <c r="D186" t="inlineStr">
        <is>
          <t>DALARNAS LÄN</t>
        </is>
      </c>
      <c r="E186" t="inlineStr">
        <is>
          <t>MALUNG-SÄLEN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20360-2020</t>
        </is>
      </c>
      <c r="B187" s="1" t="n">
        <v>43945</v>
      </c>
      <c r="C187" s="1" t="n">
        <v>45828</v>
      </c>
      <c r="D187" t="inlineStr">
        <is>
          <t>DALARNAS LÄN</t>
        </is>
      </c>
      <c r="E187" t="inlineStr">
        <is>
          <t>MALUNG-SÄLEN</t>
        </is>
      </c>
      <c r="G187" t="n">
        <v>4.2</v>
      </c>
      <c r="H187" t="n">
        <v>0</v>
      </c>
      <c r="I187" t="n">
        <v>0</v>
      </c>
      <c r="J187" t="n">
        <v>0</v>
      </c>
      <c r="K187" t="n">
        <v>0</v>
      </c>
      <c r="L187" t="n">
        <v>0</v>
      </c>
      <c r="M187" t="n">
        <v>0</v>
      </c>
      <c r="N187" t="n">
        <v>0</v>
      </c>
      <c r="O187" t="n">
        <v>0</v>
      </c>
      <c r="P187" t="n">
        <v>0</v>
      </c>
      <c r="Q187" t="n">
        <v>0</v>
      </c>
      <c r="R187" s="2" t="inlineStr"/>
    </row>
    <row r="188" ht="15" customHeight="1">
      <c r="A188" t="inlineStr">
        <is>
          <t>A 23815-2020</t>
        </is>
      </c>
      <c r="B188" s="1" t="n">
        <v>43970</v>
      </c>
      <c r="C188" s="1" t="n">
        <v>45828</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24942-2020</t>
        </is>
      </c>
      <c r="B189" s="1" t="n">
        <v>43979</v>
      </c>
      <c r="C189" s="1" t="n">
        <v>45828</v>
      </c>
      <c r="D189" t="inlineStr">
        <is>
          <t>DALARNAS LÄN</t>
        </is>
      </c>
      <c r="E189" t="inlineStr">
        <is>
          <t>MALUNG-SÄLEN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26299-2020</t>
        </is>
      </c>
      <c r="B190" s="1" t="n">
        <v>43986</v>
      </c>
      <c r="C190" s="1" t="n">
        <v>45828</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26305-2020</t>
        </is>
      </c>
      <c r="B191" s="1" t="n">
        <v>43986</v>
      </c>
      <c r="C191" s="1" t="n">
        <v>45828</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26303-2020</t>
        </is>
      </c>
      <c r="B192" s="1" t="n">
        <v>43986</v>
      </c>
      <c r="C192" s="1" t="n">
        <v>45828</v>
      </c>
      <c r="D192" t="inlineStr">
        <is>
          <t>DALARNAS LÄN</t>
        </is>
      </c>
      <c r="E192" t="inlineStr">
        <is>
          <t>MALUNG-SÄLEN</t>
        </is>
      </c>
      <c r="G192" t="n">
        <v>1.6</v>
      </c>
      <c r="H192" t="n">
        <v>0</v>
      </c>
      <c r="I192" t="n">
        <v>0</v>
      </c>
      <c r="J192" t="n">
        <v>0</v>
      </c>
      <c r="K192" t="n">
        <v>0</v>
      </c>
      <c r="L192" t="n">
        <v>0</v>
      </c>
      <c r="M192" t="n">
        <v>0</v>
      </c>
      <c r="N192" t="n">
        <v>0</v>
      </c>
      <c r="O192" t="n">
        <v>0</v>
      </c>
      <c r="P192" t="n">
        <v>0</v>
      </c>
      <c r="Q192" t="n">
        <v>0</v>
      </c>
      <c r="R192" s="2" t="inlineStr"/>
    </row>
    <row r="193" ht="15" customHeight="1">
      <c r="A193" t="inlineStr">
        <is>
          <t>A 26546-2020</t>
        </is>
      </c>
      <c r="B193" s="1" t="n">
        <v>43987</v>
      </c>
      <c r="C193" s="1" t="n">
        <v>45828</v>
      </c>
      <c r="D193" t="inlineStr">
        <is>
          <t>DALARNAS LÄN</t>
        </is>
      </c>
      <c r="E193" t="inlineStr">
        <is>
          <t>MALUNG-SÄLEN</t>
        </is>
      </c>
      <c r="G193" t="n">
        <v>0.4</v>
      </c>
      <c r="H193" t="n">
        <v>0</v>
      </c>
      <c r="I193" t="n">
        <v>0</v>
      </c>
      <c r="J193" t="n">
        <v>0</v>
      </c>
      <c r="K193" t="n">
        <v>0</v>
      </c>
      <c r="L193" t="n">
        <v>0</v>
      </c>
      <c r="M193" t="n">
        <v>0</v>
      </c>
      <c r="N193" t="n">
        <v>0</v>
      </c>
      <c r="O193" t="n">
        <v>0</v>
      </c>
      <c r="P193" t="n">
        <v>0</v>
      </c>
      <c r="Q193" t="n">
        <v>0</v>
      </c>
      <c r="R193" s="2" t="inlineStr"/>
    </row>
    <row r="194" ht="15" customHeight="1">
      <c r="A194" t="inlineStr">
        <is>
          <t>A 26898-2020</t>
        </is>
      </c>
      <c r="B194" s="1" t="n">
        <v>43990</v>
      </c>
      <c r="C194" s="1" t="n">
        <v>45828</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26697-2020</t>
        </is>
      </c>
      <c r="B195" s="1" t="n">
        <v>43990</v>
      </c>
      <c r="C195" s="1" t="n">
        <v>45828</v>
      </c>
      <c r="D195" t="inlineStr">
        <is>
          <t>DALARNAS LÄN</t>
        </is>
      </c>
      <c r="E195" t="inlineStr">
        <is>
          <t>MALUNG-SÄLEN</t>
        </is>
      </c>
      <c r="F195" t="inlineStr">
        <is>
          <t>Allmännings- och besparingsskogar</t>
        </is>
      </c>
      <c r="G195" t="n">
        <v>1.2</v>
      </c>
      <c r="H195" t="n">
        <v>0</v>
      </c>
      <c r="I195" t="n">
        <v>0</v>
      </c>
      <c r="J195" t="n">
        <v>0</v>
      </c>
      <c r="K195" t="n">
        <v>0</v>
      </c>
      <c r="L195" t="n">
        <v>0</v>
      </c>
      <c r="M195" t="n">
        <v>0</v>
      </c>
      <c r="N195" t="n">
        <v>0</v>
      </c>
      <c r="O195" t="n">
        <v>0</v>
      </c>
      <c r="P195" t="n">
        <v>0</v>
      </c>
      <c r="Q195" t="n">
        <v>0</v>
      </c>
      <c r="R195" s="2" t="inlineStr"/>
    </row>
    <row r="196" ht="15" customHeight="1">
      <c r="A196" t="inlineStr">
        <is>
          <t>A 26910-2020</t>
        </is>
      </c>
      <c r="B196" s="1" t="n">
        <v>43990</v>
      </c>
      <c r="C196" s="1" t="n">
        <v>45828</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26905-2020</t>
        </is>
      </c>
      <c r="B197" s="1" t="n">
        <v>43990</v>
      </c>
      <c r="C197" s="1" t="n">
        <v>45828</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27125-2020</t>
        </is>
      </c>
      <c r="B198" s="1" t="n">
        <v>43990</v>
      </c>
      <c r="C198" s="1" t="n">
        <v>45828</v>
      </c>
      <c r="D198" t="inlineStr">
        <is>
          <t>DALARNAS LÄN</t>
        </is>
      </c>
      <c r="E198" t="inlineStr">
        <is>
          <t>MALUNG-SÄLEN</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27020-2020</t>
        </is>
      </c>
      <c r="B199" s="1" t="n">
        <v>43991</v>
      </c>
      <c r="C199" s="1" t="n">
        <v>45828</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28171-2020</t>
        </is>
      </c>
      <c r="B200" s="1" t="n">
        <v>43997</v>
      </c>
      <c r="C200" s="1" t="n">
        <v>45828</v>
      </c>
      <c r="D200" t="inlineStr">
        <is>
          <t>DALARNAS LÄN</t>
        </is>
      </c>
      <c r="E200" t="inlineStr">
        <is>
          <t>MALUNG-SÄLEN</t>
        </is>
      </c>
      <c r="G200" t="n">
        <v>7</v>
      </c>
      <c r="H200" t="n">
        <v>0</v>
      </c>
      <c r="I200" t="n">
        <v>0</v>
      </c>
      <c r="J200" t="n">
        <v>0</v>
      </c>
      <c r="K200" t="n">
        <v>0</v>
      </c>
      <c r="L200" t="n">
        <v>0</v>
      </c>
      <c r="M200" t="n">
        <v>0</v>
      </c>
      <c r="N200" t="n">
        <v>0</v>
      </c>
      <c r="O200" t="n">
        <v>0</v>
      </c>
      <c r="P200" t="n">
        <v>0</v>
      </c>
      <c r="Q200" t="n">
        <v>0</v>
      </c>
      <c r="R200" s="2" t="inlineStr"/>
    </row>
    <row r="201" ht="15" customHeight="1">
      <c r="A201" t="inlineStr">
        <is>
          <t>A 28377-2020</t>
        </is>
      </c>
      <c r="B201" s="1" t="n">
        <v>43998</v>
      </c>
      <c r="C201" s="1" t="n">
        <v>45828</v>
      </c>
      <c r="D201" t="inlineStr">
        <is>
          <t>DALARNAS LÄN</t>
        </is>
      </c>
      <c r="E201" t="inlineStr">
        <is>
          <t>MALUNG-SÄLEN</t>
        </is>
      </c>
      <c r="G201" t="n">
        <v>1</v>
      </c>
      <c r="H201" t="n">
        <v>0</v>
      </c>
      <c r="I201" t="n">
        <v>0</v>
      </c>
      <c r="J201" t="n">
        <v>0</v>
      </c>
      <c r="K201" t="n">
        <v>0</v>
      </c>
      <c r="L201" t="n">
        <v>0</v>
      </c>
      <c r="M201" t="n">
        <v>0</v>
      </c>
      <c r="N201" t="n">
        <v>0</v>
      </c>
      <c r="O201" t="n">
        <v>0</v>
      </c>
      <c r="P201" t="n">
        <v>0</v>
      </c>
      <c r="Q201" t="n">
        <v>0</v>
      </c>
      <c r="R201" s="2" t="inlineStr"/>
    </row>
    <row r="202" ht="15" customHeight="1">
      <c r="A202" t="inlineStr">
        <is>
          <t>A 28515-2020</t>
        </is>
      </c>
      <c r="B202" s="1" t="n">
        <v>43999</v>
      </c>
      <c r="C202" s="1" t="n">
        <v>45828</v>
      </c>
      <c r="D202" t="inlineStr">
        <is>
          <t>DALARNAS LÄN</t>
        </is>
      </c>
      <c r="E202" t="inlineStr">
        <is>
          <t>MALUNG-SÄLEN</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28696-2020</t>
        </is>
      </c>
      <c r="B203" s="1" t="n">
        <v>43999</v>
      </c>
      <c r="C203" s="1" t="n">
        <v>45828</v>
      </c>
      <c r="D203" t="inlineStr">
        <is>
          <t>DALARNAS LÄN</t>
        </is>
      </c>
      <c r="E203" t="inlineStr">
        <is>
          <t>MALUNG-SÄLEN</t>
        </is>
      </c>
      <c r="G203" t="n">
        <v>4.1</v>
      </c>
      <c r="H203" t="n">
        <v>0</v>
      </c>
      <c r="I203" t="n">
        <v>0</v>
      </c>
      <c r="J203" t="n">
        <v>0</v>
      </c>
      <c r="K203" t="n">
        <v>0</v>
      </c>
      <c r="L203" t="n">
        <v>0</v>
      </c>
      <c r="M203" t="n">
        <v>0</v>
      </c>
      <c r="N203" t="n">
        <v>0</v>
      </c>
      <c r="O203" t="n">
        <v>0</v>
      </c>
      <c r="P203" t="n">
        <v>0</v>
      </c>
      <c r="Q203" t="n">
        <v>0</v>
      </c>
      <c r="R203" s="2" t="inlineStr"/>
    </row>
    <row r="204" ht="15" customHeight="1">
      <c r="A204" t="inlineStr">
        <is>
          <t>A 28836-2020</t>
        </is>
      </c>
      <c r="B204" s="1" t="n">
        <v>44000</v>
      </c>
      <c r="C204" s="1" t="n">
        <v>45828</v>
      </c>
      <c r="D204" t="inlineStr">
        <is>
          <t>DALARNAS LÄN</t>
        </is>
      </c>
      <c r="E204" t="inlineStr">
        <is>
          <t>MALUNG-SÄLEN</t>
        </is>
      </c>
      <c r="G204" t="n">
        <v>16.6</v>
      </c>
      <c r="H204" t="n">
        <v>0</v>
      </c>
      <c r="I204" t="n">
        <v>0</v>
      </c>
      <c r="J204" t="n">
        <v>0</v>
      </c>
      <c r="K204" t="n">
        <v>0</v>
      </c>
      <c r="L204" t="n">
        <v>0</v>
      </c>
      <c r="M204" t="n">
        <v>0</v>
      </c>
      <c r="N204" t="n">
        <v>0</v>
      </c>
      <c r="O204" t="n">
        <v>0</v>
      </c>
      <c r="P204" t="n">
        <v>0</v>
      </c>
      <c r="Q204" t="n">
        <v>0</v>
      </c>
      <c r="R204" s="2" t="inlineStr"/>
    </row>
    <row r="205" ht="15" customHeight="1">
      <c r="A205" t="inlineStr">
        <is>
          <t>A 29551-2020</t>
        </is>
      </c>
      <c r="B205" s="1" t="n">
        <v>44005</v>
      </c>
      <c r="C205" s="1" t="n">
        <v>45828</v>
      </c>
      <c r="D205" t="inlineStr">
        <is>
          <t>DALARNAS LÄN</t>
        </is>
      </c>
      <c r="E205" t="inlineStr">
        <is>
          <t>MALUNG-SÄLEN</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30262-2020</t>
        </is>
      </c>
      <c r="B206" s="1" t="n">
        <v>44007</v>
      </c>
      <c r="C206" s="1" t="n">
        <v>45828</v>
      </c>
      <c r="D206" t="inlineStr">
        <is>
          <t>DALARNAS LÄN</t>
        </is>
      </c>
      <c r="E206" t="inlineStr">
        <is>
          <t>MALUNG-SÄLEN</t>
        </is>
      </c>
      <c r="G206" t="n">
        <v>7.1</v>
      </c>
      <c r="H206" t="n">
        <v>0</v>
      </c>
      <c r="I206" t="n">
        <v>0</v>
      </c>
      <c r="J206" t="n">
        <v>0</v>
      </c>
      <c r="K206" t="n">
        <v>0</v>
      </c>
      <c r="L206" t="n">
        <v>0</v>
      </c>
      <c r="M206" t="n">
        <v>0</v>
      </c>
      <c r="N206" t="n">
        <v>0</v>
      </c>
      <c r="O206" t="n">
        <v>0</v>
      </c>
      <c r="P206" t="n">
        <v>0</v>
      </c>
      <c r="Q206" t="n">
        <v>0</v>
      </c>
      <c r="R206" s="2" t="inlineStr"/>
    </row>
    <row r="207" ht="15" customHeight="1">
      <c r="A207" t="inlineStr">
        <is>
          <t>A 31075-2020</t>
        </is>
      </c>
      <c r="B207" s="1" t="n">
        <v>44012</v>
      </c>
      <c r="C207" s="1" t="n">
        <v>45828</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31161-2020</t>
        </is>
      </c>
      <c r="B208" s="1" t="n">
        <v>44012</v>
      </c>
      <c r="C208" s="1" t="n">
        <v>45828</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32815-2020</t>
        </is>
      </c>
      <c r="B209" s="1" t="n">
        <v>44020</v>
      </c>
      <c r="C209" s="1" t="n">
        <v>45828</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33065-2020</t>
        </is>
      </c>
      <c r="B210" s="1" t="n">
        <v>44021</v>
      </c>
      <c r="C210" s="1" t="n">
        <v>45828</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33071-2020</t>
        </is>
      </c>
      <c r="B211" s="1" t="n">
        <v>44021</v>
      </c>
      <c r="C211" s="1" t="n">
        <v>45828</v>
      </c>
      <c r="D211" t="inlineStr">
        <is>
          <t>DALARNAS LÄN</t>
        </is>
      </c>
      <c r="E211" t="inlineStr">
        <is>
          <t>MALUNG-SÄLEN</t>
        </is>
      </c>
      <c r="G211" t="n">
        <v>0.7</v>
      </c>
      <c r="H211" t="n">
        <v>0</v>
      </c>
      <c r="I211" t="n">
        <v>0</v>
      </c>
      <c r="J211" t="n">
        <v>0</v>
      </c>
      <c r="K211" t="n">
        <v>0</v>
      </c>
      <c r="L211" t="n">
        <v>0</v>
      </c>
      <c r="M211" t="n">
        <v>0</v>
      </c>
      <c r="N211" t="n">
        <v>0</v>
      </c>
      <c r="O211" t="n">
        <v>0</v>
      </c>
      <c r="P211" t="n">
        <v>0</v>
      </c>
      <c r="Q211" t="n">
        <v>0</v>
      </c>
      <c r="R211" s="2" t="inlineStr"/>
    </row>
    <row r="212" ht="15" customHeight="1">
      <c r="A212" t="inlineStr">
        <is>
          <t>A 35536-2020</t>
        </is>
      </c>
      <c r="B212" s="1" t="n">
        <v>44043</v>
      </c>
      <c r="C212" s="1" t="n">
        <v>45828</v>
      </c>
      <c r="D212" t="inlineStr">
        <is>
          <t>DALARNAS LÄN</t>
        </is>
      </c>
      <c r="E212" t="inlineStr">
        <is>
          <t>MALUNG-SÄLEN</t>
        </is>
      </c>
      <c r="G212" t="n">
        <v>0.4</v>
      </c>
      <c r="H212" t="n">
        <v>0</v>
      </c>
      <c r="I212" t="n">
        <v>0</v>
      </c>
      <c r="J212" t="n">
        <v>0</v>
      </c>
      <c r="K212" t="n">
        <v>0</v>
      </c>
      <c r="L212" t="n">
        <v>0</v>
      </c>
      <c r="M212" t="n">
        <v>0</v>
      </c>
      <c r="N212" t="n">
        <v>0</v>
      </c>
      <c r="O212" t="n">
        <v>0</v>
      </c>
      <c r="P212" t="n">
        <v>0</v>
      </c>
      <c r="Q212" t="n">
        <v>0</v>
      </c>
      <c r="R212" s="2" t="inlineStr"/>
    </row>
    <row r="213" ht="15" customHeight="1">
      <c r="A213" t="inlineStr">
        <is>
          <t>A 36308-2020</t>
        </is>
      </c>
      <c r="B213" s="1" t="n">
        <v>44049</v>
      </c>
      <c r="C213" s="1" t="n">
        <v>45828</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37574-2020</t>
        </is>
      </c>
      <c r="B214" s="1" t="n">
        <v>44056</v>
      </c>
      <c r="C214" s="1" t="n">
        <v>45828</v>
      </c>
      <c r="D214" t="inlineStr">
        <is>
          <t>DALARNAS LÄN</t>
        </is>
      </c>
      <c r="E214" t="inlineStr">
        <is>
          <t>MALUNG-SÄLEN</t>
        </is>
      </c>
      <c r="G214" t="n">
        <v>0.8</v>
      </c>
      <c r="H214" t="n">
        <v>0</v>
      </c>
      <c r="I214" t="n">
        <v>0</v>
      </c>
      <c r="J214" t="n">
        <v>0</v>
      </c>
      <c r="K214" t="n">
        <v>0</v>
      </c>
      <c r="L214" t="n">
        <v>0</v>
      </c>
      <c r="M214" t="n">
        <v>0</v>
      </c>
      <c r="N214" t="n">
        <v>0</v>
      </c>
      <c r="O214" t="n">
        <v>0</v>
      </c>
      <c r="P214" t="n">
        <v>0</v>
      </c>
      <c r="Q214" t="n">
        <v>0</v>
      </c>
      <c r="R214" s="2" t="inlineStr"/>
    </row>
    <row r="215" ht="15" customHeight="1">
      <c r="A215" t="inlineStr">
        <is>
          <t>A 37587-2020</t>
        </is>
      </c>
      <c r="B215" s="1" t="n">
        <v>44056</v>
      </c>
      <c r="C215" s="1" t="n">
        <v>45828</v>
      </c>
      <c r="D215" t="inlineStr">
        <is>
          <t>DALARNAS LÄN</t>
        </is>
      </c>
      <c r="E215" t="inlineStr">
        <is>
          <t>MALUNG-SÄLEN</t>
        </is>
      </c>
      <c r="G215" t="n">
        <v>0.3</v>
      </c>
      <c r="H215" t="n">
        <v>0</v>
      </c>
      <c r="I215" t="n">
        <v>0</v>
      </c>
      <c r="J215" t="n">
        <v>0</v>
      </c>
      <c r="K215" t="n">
        <v>0</v>
      </c>
      <c r="L215" t="n">
        <v>0</v>
      </c>
      <c r="M215" t="n">
        <v>0</v>
      </c>
      <c r="N215" t="n">
        <v>0</v>
      </c>
      <c r="O215" t="n">
        <v>0</v>
      </c>
      <c r="P215" t="n">
        <v>0</v>
      </c>
      <c r="Q215" t="n">
        <v>0</v>
      </c>
      <c r="R215" s="2" t="inlineStr"/>
    </row>
    <row r="216" ht="15" customHeight="1">
      <c r="A216" t="inlineStr">
        <is>
          <t>A 37740-2020</t>
        </is>
      </c>
      <c r="B216" s="1" t="n">
        <v>44056</v>
      </c>
      <c r="C216" s="1" t="n">
        <v>45828</v>
      </c>
      <c r="D216" t="inlineStr">
        <is>
          <t>DALARNAS LÄN</t>
        </is>
      </c>
      <c r="E216" t="inlineStr">
        <is>
          <t>MALUNG-SÄLEN</t>
        </is>
      </c>
      <c r="G216" t="n">
        <v>22.5</v>
      </c>
      <c r="H216" t="n">
        <v>0</v>
      </c>
      <c r="I216" t="n">
        <v>0</v>
      </c>
      <c r="J216" t="n">
        <v>0</v>
      </c>
      <c r="K216" t="n">
        <v>0</v>
      </c>
      <c r="L216" t="n">
        <v>0</v>
      </c>
      <c r="M216" t="n">
        <v>0</v>
      </c>
      <c r="N216" t="n">
        <v>0</v>
      </c>
      <c r="O216" t="n">
        <v>0</v>
      </c>
      <c r="P216" t="n">
        <v>0</v>
      </c>
      <c r="Q216" t="n">
        <v>0</v>
      </c>
      <c r="R216" s="2" t="inlineStr"/>
    </row>
    <row r="217" ht="15" customHeight="1">
      <c r="A217" t="inlineStr">
        <is>
          <t>A 38169-2020</t>
        </is>
      </c>
      <c r="B217" s="1" t="n">
        <v>44057</v>
      </c>
      <c r="C217" s="1" t="n">
        <v>45828</v>
      </c>
      <c r="D217" t="inlineStr">
        <is>
          <t>DALARNAS LÄN</t>
        </is>
      </c>
      <c r="E217" t="inlineStr">
        <is>
          <t>MALUNG-SÄLEN</t>
        </is>
      </c>
      <c r="F217" t="inlineStr">
        <is>
          <t>Allmännings- och besparingsskogar</t>
        </is>
      </c>
      <c r="G217" t="n">
        <v>32.1</v>
      </c>
      <c r="H217" t="n">
        <v>0</v>
      </c>
      <c r="I217" t="n">
        <v>0</v>
      </c>
      <c r="J217" t="n">
        <v>0</v>
      </c>
      <c r="K217" t="n">
        <v>0</v>
      </c>
      <c r="L217" t="n">
        <v>0</v>
      </c>
      <c r="M217" t="n">
        <v>0</v>
      </c>
      <c r="N217" t="n">
        <v>0</v>
      </c>
      <c r="O217" t="n">
        <v>0</v>
      </c>
      <c r="P217" t="n">
        <v>0</v>
      </c>
      <c r="Q217" t="n">
        <v>0</v>
      </c>
      <c r="R217" s="2" t="inlineStr"/>
    </row>
    <row r="218" ht="15" customHeight="1">
      <c r="A218" t="inlineStr">
        <is>
          <t>A 38604-2020</t>
        </is>
      </c>
      <c r="B218" s="1" t="n">
        <v>44061</v>
      </c>
      <c r="C218" s="1" t="n">
        <v>45828</v>
      </c>
      <c r="D218" t="inlineStr">
        <is>
          <t>DALARNAS LÄN</t>
        </is>
      </c>
      <c r="E218" t="inlineStr">
        <is>
          <t>MALUNG-SÄLEN</t>
        </is>
      </c>
      <c r="G218" t="n">
        <v>0.9</v>
      </c>
      <c r="H218" t="n">
        <v>0</v>
      </c>
      <c r="I218" t="n">
        <v>0</v>
      </c>
      <c r="J218" t="n">
        <v>0</v>
      </c>
      <c r="K218" t="n">
        <v>0</v>
      </c>
      <c r="L218" t="n">
        <v>0</v>
      </c>
      <c r="M218" t="n">
        <v>0</v>
      </c>
      <c r="N218" t="n">
        <v>0</v>
      </c>
      <c r="O218" t="n">
        <v>0</v>
      </c>
      <c r="P218" t="n">
        <v>0</v>
      </c>
      <c r="Q218" t="n">
        <v>0</v>
      </c>
      <c r="R218" s="2" t="inlineStr"/>
    </row>
    <row r="219" ht="15" customHeight="1">
      <c r="A219" t="inlineStr">
        <is>
          <t>A 40350-2020</t>
        </is>
      </c>
      <c r="B219" s="1" t="n">
        <v>44068</v>
      </c>
      <c r="C219" s="1" t="n">
        <v>45828</v>
      </c>
      <c r="D219" t="inlineStr">
        <is>
          <t>DALARNAS LÄN</t>
        </is>
      </c>
      <c r="E219" t="inlineStr">
        <is>
          <t>MALUNG-SÄLEN</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40354-2020</t>
        </is>
      </c>
      <c r="B220" s="1" t="n">
        <v>44068</v>
      </c>
      <c r="C220" s="1" t="n">
        <v>45828</v>
      </c>
      <c r="D220" t="inlineStr">
        <is>
          <t>DALARNAS LÄN</t>
        </is>
      </c>
      <c r="E220" t="inlineStr">
        <is>
          <t>MALUNG-SÄLEN</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42116-2020</t>
        </is>
      </c>
      <c r="B221" s="1" t="n">
        <v>44071</v>
      </c>
      <c r="C221" s="1" t="n">
        <v>45828</v>
      </c>
      <c r="D221" t="inlineStr">
        <is>
          <t>DALARNAS LÄN</t>
        </is>
      </c>
      <c r="E221" t="inlineStr">
        <is>
          <t>MALUNG-SÄLEN</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42985-2020</t>
        </is>
      </c>
      <c r="B222" s="1" t="n">
        <v>44078</v>
      </c>
      <c r="C222" s="1" t="n">
        <v>45828</v>
      </c>
      <c r="D222" t="inlineStr">
        <is>
          <t>DALARNAS LÄN</t>
        </is>
      </c>
      <c r="E222" t="inlineStr">
        <is>
          <t>MALUNG-SÄLEN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44448-2020</t>
        </is>
      </c>
      <c r="B223" s="1" t="n">
        <v>44084</v>
      </c>
      <c r="C223" s="1" t="n">
        <v>45828</v>
      </c>
      <c r="D223" t="inlineStr">
        <is>
          <t>DALARNAS LÄN</t>
        </is>
      </c>
      <c r="E223" t="inlineStr">
        <is>
          <t>MALUNG-SÄLEN</t>
        </is>
      </c>
      <c r="G223" t="n">
        <v>3.6</v>
      </c>
      <c r="H223" t="n">
        <v>0</v>
      </c>
      <c r="I223" t="n">
        <v>0</v>
      </c>
      <c r="J223" t="n">
        <v>0</v>
      </c>
      <c r="K223" t="n">
        <v>0</v>
      </c>
      <c r="L223" t="n">
        <v>0</v>
      </c>
      <c r="M223" t="n">
        <v>0</v>
      </c>
      <c r="N223" t="n">
        <v>0</v>
      </c>
      <c r="O223" t="n">
        <v>0</v>
      </c>
      <c r="P223" t="n">
        <v>0</v>
      </c>
      <c r="Q223" t="n">
        <v>0</v>
      </c>
      <c r="R223" s="2" t="inlineStr"/>
    </row>
    <row r="224" ht="15" customHeight="1">
      <c r="A224" t="inlineStr">
        <is>
          <t>A 44935-2020</t>
        </is>
      </c>
      <c r="B224" s="1" t="n">
        <v>44088</v>
      </c>
      <c r="C224" s="1" t="n">
        <v>45828</v>
      </c>
      <c r="D224" t="inlineStr">
        <is>
          <t>DALARNAS LÄN</t>
        </is>
      </c>
      <c r="E224" t="inlineStr">
        <is>
          <t>MALUNG-SÄLEN</t>
        </is>
      </c>
      <c r="G224" t="n">
        <v>11.8</v>
      </c>
      <c r="H224" t="n">
        <v>0</v>
      </c>
      <c r="I224" t="n">
        <v>0</v>
      </c>
      <c r="J224" t="n">
        <v>0</v>
      </c>
      <c r="K224" t="n">
        <v>0</v>
      </c>
      <c r="L224" t="n">
        <v>0</v>
      </c>
      <c r="M224" t="n">
        <v>0</v>
      </c>
      <c r="N224" t="n">
        <v>0</v>
      </c>
      <c r="O224" t="n">
        <v>0</v>
      </c>
      <c r="P224" t="n">
        <v>0</v>
      </c>
      <c r="Q224" t="n">
        <v>0</v>
      </c>
      <c r="R224" s="2" t="inlineStr"/>
    </row>
    <row r="225" ht="15" customHeight="1">
      <c r="A225" t="inlineStr">
        <is>
          <t>A 45722-2020</t>
        </is>
      </c>
      <c r="B225" s="1" t="n">
        <v>44090</v>
      </c>
      <c r="C225" s="1" t="n">
        <v>45828</v>
      </c>
      <c r="D225" t="inlineStr">
        <is>
          <t>DALARNAS LÄN</t>
        </is>
      </c>
      <c r="E225" t="inlineStr">
        <is>
          <t>MALUNG-SÄLEN</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46832-2020</t>
        </is>
      </c>
      <c r="B226" s="1" t="n">
        <v>44090</v>
      </c>
      <c r="C226" s="1" t="n">
        <v>45828</v>
      </c>
      <c r="D226" t="inlineStr">
        <is>
          <t>DALARNAS LÄN</t>
        </is>
      </c>
      <c r="E226" t="inlineStr">
        <is>
          <t>MALUNG-SÄLEN</t>
        </is>
      </c>
      <c r="F226" t="inlineStr">
        <is>
          <t>Allmännings- och besparingsskogar</t>
        </is>
      </c>
      <c r="G226" t="n">
        <v>62.4</v>
      </c>
      <c r="H226" t="n">
        <v>0</v>
      </c>
      <c r="I226" t="n">
        <v>0</v>
      </c>
      <c r="J226" t="n">
        <v>0</v>
      </c>
      <c r="K226" t="n">
        <v>0</v>
      </c>
      <c r="L226" t="n">
        <v>0</v>
      </c>
      <c r="M226" t="n">
        <v>0</v>
      </c>
      <c r="N226" t="n">
        <v>0</v>
      </c>
      <c r="O226" t="n">
        <v>0</v>
      </c>
      <c r="P226" t="n">
        <v>0</v>
      </c>
      <c r="Q226" t="n">
        <v>0</v>
      </c>
      <c r="R226" s="2" t="inlineStr"/>
    </row>
    <row r="227" ht="15" customHeight="1">
      <c r="A227" t="inlineStr">
        <is>
          <t>A 47073-2020</t>
        </is>
      </c>
      <c r="B227" s="1" t="n">
        <v>44096</v>
      </c>
      <c r="C227" s="1" t="n">
        <v>45828</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47190-2020</t>
        </is>
      </c>
      <c r="B228" s="1" t="n">
        <v>44097</v>
      </c>
      <c r="C228" s="1" t="n">
        <v>45828</v>
      </c>
      <c r="D228" t="inlineStr">
        <is>
          <t>DALARNAS LÄN</t>
        </is>
      </c>
      <c r="E228" t="inlineStr">
        <is>
          <t>MALUNG-SÄLEN</t>
        </is>
      </c>
      <c r="G228" t="n">
        <v>6</v>
      </c>
      <c r="H228" t="n">
        <v>0</v>
      </c>
      <c r="I228" t="n">
        <v>0</v>
      </c>
      <c r="J228" t="n">
        <v>0</v>
      </c>
      <c r="K228" t="n">
        <v>0</v>
      </c>
      <c r="L228" t="n">
        <v>0</v>
      </c>
      <c r="M228" t="n">
        <v>0</v>
      </c>
      <c r="N228" t="n">
        <v>0</v>
      </c>
      <c r="O228" t="n">
        <v>0</v>
      </c>
      <c r="P228" t="n">
        <v>0</v>
      </c>
      <c r="Q228" t="n">
        <v>0</v>
      </c>
      <c r="R228" s="2" t="inlineStr"/>
    </row>
    <row r="229" ht="15" customHeight="1">
      <c r="A229" t="inlineStr">
        <is>
          <t>A 47254-2020</t>
        </is>
      </c>
      <c r="B229" s="1" t="n">
        <v>44097</v>
      </c>
      <c r="C229" s="1" t="n">
        <v>45828</v>
      </c>
      <c r="D229" t="inlineStr">
        <is>
          <t>DALARNAS LÄN</t>
        </is>
      </c>
      <c r="E229" t="inlineStr">
        <is>
          <t>MALUNG-SÄLEN</t>
        </is>
      </c>
      <c r="G229" t="n">
        <v>5.3</v>
      </c>
      <c r="H229" t="n">
        <v>0</v>
      </c>
      <c r="I229" t="n">
        <v>0</v>
      </c>
      <c r="J229" t="n">
        <v>0</v>
      </c>
      <c r="K229" t="n">
        <v>0</v>
      </c>
      <c r="L229" t="n">
        <v>0</v>
      </c>
      <c r="M229" t="n">
        <v>0</v>
      </c>
      <c r="N229" t="n">
        <v>0</v>
      </c>
      <c r="O229" t="n">
        <v>0</v>
      </c>
      <c r="P229" t="n">
        <v>0</v>
      </c>
      <c r="Q229" t="n">
        <v>0</v>
      </c>
      <c r="R229" s="2" t="inlineStr"/>
    </row>
    <row r="230" ht="15" customHeight="1">
      <c r="A230" t="inlineStr">
        <is>
          <t>A 47986-2020</t>
        </is>
      </c>
      <c r="B230" s="1" t="n">
        <v>44099</v>
      </c>
      <c r="C230" s="1" t="n">
        <v>45828</v>
      </c>
      <c r="D230" t="inlineStr">
        <is>
          <t>DALARNAS LÄN</t>
        </is>
      </c>
      <c r="E230" t="inlineStr">
        <is>
          <t>MALUNG-SÄLEN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48525-2020</t>
        </is>
      </c>
      <c r="B231" s="1" t="n">
        <v>44103</v>
      </c>
      <c r="C231" s="1" t="n">
        <v>45828</v>
      </c>
      <c r="D231" t="inlineStr">
        <is>
          <t>DALARNAS LÄN</t>
        </is>
      </c>
      <c r="E231" t="inlineStr">
        <is>
          <t>MALUNG-SÄLEN</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49375-2020</t>
        </is>
      </c>
      <c r="B232" s="1" t="n">
        <v>44105</v>
      </c>
      <c r="C232" s="1" t="n">
        <v>45828</v>
      </c>
      <c r="D232" t="inlineStr">
        <is>
          <t>DALARNAS LÄN</t>
        </is>
      </c>
      <c r="E232" t="inlineStr">
        <is>
          <t>MALUNG-SÄLEN</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50436-2020</t>
        </is>
      </c>
      <c r="B233" s="1" t="n">
        <v>44110</v>
      </c>
      <c r="C233" s="1" t="n">
        <v>45828</v>
      </c>
      <c r="D233" t="inlineStr">
        <is>
          <t>DALARNAS LÄN</t>
        </is>
      </c>
      <c r="E233" t="inlineStr">
        <is>
          <t>MALUNG-SÄLEN</t>
        </is>
      </c>
      <c r="F233" t="inlineStr">
        <is>
          <t>Övriga statliga verk och myndigheter</t>
        </is>
      </c>
      <c r="G233" t="n">
        <v>2.9</v>
      </c>
      <c r="H233" t="n">
        <v>0</v>
      </c>
      <c r="I233" t="n">
        <v>0</v>
      </c>
      <c r="J233" t="n">
        <v>0</v>
      </c>
      <c r="K233" t="n">
        <v>0</v>
      </c>
      <c r="L233" t="n">
        <v>0</v>
      </c>
      <c r="M233" t="n">
        <v>0</v>
      </c>
      <c r="N233" t="n">
        <v>0</v>
      </c>
      <c r="O233" t="n">
        <v>0</v>
      </c>
      <c r="P233" t="n">
        <v>0</v>
      </c>
      <c r="Q233" t="n">
        <v>0</v>
      </c>
      <c r="R233" s="2" t="inlineStr"/>
    </row>
    <row r="234" ht="15" customHeight="1">
      <c r="A234" t="inlineStr">
        <is>
          <t>A 50397-2020</t>
        </is>
      </c>
      <c r="B234" s="1" t="n">
        <v>44110</v>
      </c>
      <c r="C234" s="1" t="n">
        <v>45828</v>
      </c>
      <c r="D234" t="inlineStr">
        <is>
          <t>DALARNAS LÄN</t>
        </is>
      </c>
      <c r="E234" t="inlineStr">
        <is>
          <t>MALUNG-SÄLEN</t>
        </is>
      </c>
      <c r="G234" t="n">
        <v>6.8</v>
      </c>
      <c r="H234" t="n">
        <v>0</v>
      </c>
      <c r="I234" t="n">
        <v>0</v>
      </c>
      <c r="J234" t="n">
        <v>0</v>
      </c>
      <c r="K234" t="n">
        <v>0</v>
      </c>
      <c r="L234" t="n">
        <v>0</v>
      </c>
      <c r="M234" t="n">
        <v>0</v>
      </c>
      <c r="N234" t="n">
        <v>0</v>
      </c>
      <c r="O234" t="n">
        <v>0</v>
      </c>
      <c r="P234" t="n">
        <v>0</v>
      </c>
      <c r="Q234" t="n">
        <v>0</v>
      </c>
      <c r="R234" s="2" t="inlineStr"/>
    </row>
    <row r="235" ht="15" customHeight="1">
      <c r="A235" t="inlineStr">
        <is>
          <t>A 52009-2020</t>
        </is>
      </c>
      <c r="B235" s="1" t="n">
        <v>44111</v>
      </c>
      <c r="C235" s="1" t="n">
        <v>45828</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55488-2020</t>
        </is>
      </c>
      <c r="B236" s="1" t="n">
        <v>44131</v>
      </c>
      <c r="C236" s="1" t="n">
        <v>45828</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55535-2020</t>
        </is>
      </c>
      <c r="B237" s="1" t="n">
        <v>44131</v>
      </c>
      <c r="C237" s="1" t="n">
        <v>45828</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56332-2020</t>
        </is>
      </c>
      <c r="B238" s="1" t="n">
        <v>44134</v>
      </c>
      <c r="C238" s="1" t="n">
        <v>45828</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56561-2020</t>
        </is>
      </c>
      <c r="B239" s="1" t="n">
        <v>44137</v>
      </c>
      <c r="C239" s="1" t="n">
        <v>45828</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56584-2020</t>
        </is>
      </c>
      <c r="B240" s="1" t="n">
        <v>44137</v>
      </c>
      <c r="C240" s="1" t="n">
        <v>45828</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56590-2020</t>
        </is>
      </c>
      <c r="B241" s="1" t="n">
        <v>44137</v>
      </c>
      <c r="C241" s="1" t="n">
        <v>45828</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58169-2020</t>
        </is>
      </c>
      <c r="B242" s="1" t="n">
        <v>44144</v>
      </c>
      <c r="C242" s="1" t="n">
        <v>45828</v>
      </c>
      <c r="D242" t="inlineStr">
        <is>
          <t>DALARNAS LÄN</t>
        </is>
      </c>
      <c r="E242" t="inlineStr">
        <is>
          <t>MALUNG-SÄLEN</t>
        </is>
      </c>
      <c r="G242" t="n">
        <v>0.7</v>
      </c>
      <c r="H242" t="n">
        <v>0</v>
      </c>
      <c r="I242" t="n">
        <v>0</v>
      </c>
      <c r="J242" t="n">
        <v>0</v>
      </c>
      <c r="K242" t="n">
        <v>0</v>
      </c>
      <c r="L242" t="n">
        <v>0</v>
      </c>
      <c r="M242" t="n">
        <v>0</v>
      </c>
      <c r="N242" t="n">
        <v>0</v>
      </c>
      <c r="O242" t="n">
        <v>0</v>
      </c>
      <c r="P242" t="n">
        <v>0</v>
      </c>
      <c r="Q242" t="n">
        <v>0</v>
      </c>
      <c r="R242" s="2" t="inlineStr"/>
    </row>
    <row r="243" ht="15" customHeight="1">
      <c r="A243" t="inlineStr">
        <is>
          <t>A 58462-2020</t>
        </is>
      </c>
      <c r="B243" s="1" t="n">
        <v>44144</v>
      </c>
      <c r="C243" s="1" t="n">
        <v>45828</v>
      </c>
      <c r="D243" t="inlineStr">
        <is>
          <t>DALARNAS LÄN</t>
        </is>
      </c>
      <c r="E243" t="inlineStr">
        <is>
          <t>MALUNG-SÄLEN</t>
        </is>
      </c>
      <c r="F243" t="inlineStr">
        <is>
          <t>Allmännings- och besparingsskogar</t>
        </is>
      </c>
      <c r="G243" t="n">
        <v>25.2</v>
      </c>
      <c r="H243" t="n">
        <v>0</v>
      </c>
      <c r="I243" t="n">
        <v>0</v>
      </c>
      <c r="J243" t="n">
        <v>0</v>
      </c>
      <c r="K243" t="n">
        <v>0</v>
      </c>
      <c r="L243" t="n">
        <v>0</v>
      </c>
      <c r="M243" t="n">
        <v>0</v>
      </c>
      <c r="N243" t="n">
        <v>0</v>
      </c>
      <c r="O243" t="n">
        <v>0</v>
      </c>
      <c r="P243" t="n">
        <v>0</v>
      </c>
      <c r="Q243" t="n">
        <v>0</v>
      </c>
      <c r="R243" s="2" t="inlineStr"/>
    </row>
    <row r="244" ht="15" customHeight="1">
      <c r="A244" t="inlineStr">
        <is>
          <t>A 58821-2020</t>
        </is>
      </c>
      <c r="B244" s="1" t="n">
        <v>44146</v>
      </c>
      <c r="C244" s="1" t="n">
        <v>45828</v>
      </c>
      <c r="D244" t="inlineStr">
        <is>
          <t>DALARNAS LÄN</t>
        </is>
      </c>
      <c r="E244" t="inlineStr">
        <is>
          <t>MALUNG-SÄLEN</t>
        </is>
      </c>
      <c r="G244" t="n">
        <v>0.3</v>
      </c>
      <c r="H244" t="n">
        <v>0</v>
      </c>
      <c r="I244" t="n">
        <v>0</v>
      </c>
      <c r="J244" t="n">
        <v>0</v>
      </c>
      <c r="K244" t="n">
        <v>0</v>
      </c>
      <c r="L244" t="n">
        <v>0</v>
      </c>
      <c r="M244" t="n">
        <v>0</v>
      </c>
      <c r="N244" t="n">
        <v>0</v>
      </c>
      <c r="O244" t="n">
        <v>0</v>
      </c>
      <c r="P244" t="n">
        <v>0</v>
      </c>
      <c r="Q244" t="n">
        <v>0</v>
      </c>
      <c r="R244" s="2" t="inlineStr"/>
    </row>
    <row r="245" ht="15" customHeight="1">
      <c r="A245" t="inlineStr">
        <is>
          <t>A 59345-2020</t>
        </is>
      </c>
      <c r="B245" s="1" t="n">
        <v>44148</v>
      </c>
      <c r="C245" s="1" t="n">
        <v>45828</v>
      </c>
      <c r="D245" t="inlineStr">
        <is>
          <t>DALARNAS LÄN</t>
        </is>
      </c>
      <c r="E245" t="inlineStr">
        <is>
          <t>MALUNG-SÄLEN</t>
        </is>
      </c>
      <c r="G245" t="n">
        <v>2.2</v>
      </c>
      <c r="H245" t="n">
        <v>0</v>
      </c>
      <c r="I245" t="n">
        <v>0</v>
      </c>
      <c r="J245" t="n">
        <v>0</v>
      </c>
      <c r="K245" t="n">
        <v>0</v>
      </c>
      <c r="L245" t="n">
        <v>0</v>
      </c>
      <c r="M245" t="n">
        <v>0</v>
      </c>
      <c r="N245" t="n">
        <v>0</v>
      </c>
      <c r="O245" t="n">
        <v>0</v>
      </c>
      <c r="P245" t="n">
        <v>0</v>
      </c>
      <c r="Q245" t="n">
        <v>0</v>
      </c>
      <c r="R245" s="2" t="inlineStr"/>
    </row>
    <row r="246" ht="15" customHeight="1">
      <c r="A246" t="inlineStr">
        <is>
          <t>A 59612-2020</t>
        </is>
      </c>
      <c r="B246" s="1" t="n">
        <v>44149</v>
      </c>
      <c r="C246" s="1" t="n">
        <v>45828</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60903-2020</t>
        </is>
      </c>
      <c r="B247" s="1" t="n">
        <v>44153</v>
      </c>
      <c r="C247" s="1" t="n">
        <v>45828</v>
      </c>
      <c r="D247" t="inlineStr">
        <is>
          <t>DALARNAS LÄN</t>
        </is>
      </c>
      <c r="E247" t="inlineStr">
        <is>
          <t>MALUNG-SÄLEN</t>
        </is>
      </c>
      <c r="G247" t="n">
        <v>1.9</v>
      </c>
      <c r="H247" t="n">
        <v>0</v>
      </c>
      <c r="I247" t="n">
        <v>0</v>
      </c>
      <c r="J247" t="n">
        <v>0</v>
      </c>
      <c r="K247" t="n">
        <v>0</v>
      </c>
      <c r="L247" t="n">
        <v>0</v>
      </c>
      <c r="M247" t="n">
        <v>0</v>
      </c>
      <c r="N247" t="n">
        <v>0</v>
      </c>
      <c r="O247" t="n">
        <v>0</v>
      </c>
      <c r="P247" t="n">
        <v>0</v>
      </c>
      <c r="Q247" t="n">
        <v>0</v>
      </c>
      <c r="R247" s="2" t="inlineStr"/>
    </row>
    <row r="248" ht="15" customHeight="1">
      <c r="A248" t="inlineStr">
        <is>
          <t>A 60818-2020</t>
        </is>
      </c>
      <c r="B248" s="1" t="n">
        <v>44154</v>
      </c>
      <c r="C248" s="1" t="n">
        <v>45828</v>
      </c>
      <c r="D248" t="inlineStr">
        <is>
          <t>DALARNAS LÄN</t>
        </is>
      </c>
      <c r="E248" t="inlineStr">
        <is>
          <t>MALUNG-SÄLEN</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63352-2020</t>
        </is>
      </c>
      <c r="B249" s="1" t="n">
        <v>44165</v>
      </c>
      <c r="C249" s="1" t="n">
        <v>45828</v>
      </c>
      <c r="D249" t="inlineStr">
        <is>
          <t>DALARNAS LÄN</t>
        </is>
      </c>
      <c r="E249" t="inlineStr">
        <is>
          <t>MALUNG-SÄLEN</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63508-2020</t>
        </is>
      </c>
      <c r="B250" s="1" t="n">
        <v>44165</v>
      </c>
      <c r="C250" s="1" t="n">
        <v>45828</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63903-2020</t>
        </is>
      </c>
      <c r="B251" s="1" t="n">
        <v>44166</v>
      </c>
      <c r="C251" s="1" t="n">
        <v>45828</v>
      </c>
      <c r="D251" t="inlineStr">
        <is>
          <t>DALARNAS LÄN</t>
        </is>
      </c>
      <c r="E251" t="inlineStr">
        <is>
          <t>MALUNG-SÄLEN</t>
        </is>
      </c>
      <c r="G251" t="n">
        <v>1.3</v>
      </c>
      <c r="H251" t="n">
        <v>0</v>
      </c>
      <c r="I251" t="n">
        <v>0</v>
      </c>
      <c r="J251" t="n">
        <v>0</v>
      </c>
      <c r="K251" t="n">
        <v>0</v>
      </c>
      <c r="L251" t="n">
        <v>0</v>
      </c>
      <c r="M251" t="n">
        <v>0</v>
      </c>
      <c r="N251" t="n">
        <v>0</v>
      </c>
      <c r="O251" t="n">
        <v>0</v>
      </c>
      <c r="P251" t="n">
        <v>0</v>
      </c>
      <c r="Q251" t="n">
        <v>0</v>
      </c>
      <c r="R251" s="2" t="inlineStr"/>
    </row>
    <row r="252" ht="15" customHeight="1">
      <c r="A252" t="inlineStr">
        <is>
          <t>A 63896-2020</t>
        </is>
      </c>
      <c r="B252" s="1" t="n">
        <v>44166</v>
      </c>
      <c r="C252" s="1" t="n">
        <v>45828</v>
      </c>
      <c r="D252" t="inlineStr">
        <is>
          <t>DALARNAS LÄN</t>
        </is>
      </c>
      <c r="E252" t="inlineStr">
        <is>
          <t>MALUNG-SÄLEN</t>
        </is>
      </c>
      <c r="G252" t="n">
        <v>1.1</v>
      </c>
      <c r="H252" t="n">
        <v>0</v>
      </c>
      <c r="I252" t="n">
        <v>0</v>
      </c>
      <c r="J252" t="n">
        <v>0</v>
      </c>
      <c r="K252" t="n">
        <v>0</v>
      </c>
      <c r="L252" t="n">
        <v>0</v>
      </c>
      <c r="M252" t="n">
        <v>0</v>
      </c>
      <c r="N252" t="n">
        <v>0</v>
      </c>
      <c r="O252" t="n">
        <v>0</v>
      </c>
      <c r="P252" t="n">
        <v>0</v>
      </c>
      <c r="Q252" t="n">
        <v>0</v>
      </c>
      <c r="R252" s="2" t="inlineStr"/>
    </row>
    <row r="253" ht="15" customHeight="1">
      <c r="A253" t="inlineStr">
        <is>
          <t>A 63890-2020</t>
        </is>
      </c>
      <c r="B253" s="1" t="n">
        <v>44166</v>
      </c>
      <c r="C253" s="1" t="n">
        <v>45828</v>
      </c>
      <c r="D253" t="inlineStr">
        <is>
          <t>DALARNAS LÄN</t>
        </is>
      </c>
      <c r="E253" t="inlineStr">
        <is>
          <t>MALUNG-SÄLEN</t>
        </is>
      </c>
      <c r="G253" t="n">
        <v>2.7</v>
      </c>
      <c r="H253" t="n">
        <v>0</v>
      </c>
      <c r="I253" t="n">
        <v>0</v>
      </c>
      <c r="J253" t="n">
        <v>0</v>
      </c>
      <c r="K253" t="n">
        <v>0</v>
      </c>
      <c r="L253" t="n">
        <v>0</v>
      </c>
      <c r="M253" t="n">
        <v>0</v>
      </c>
      <c r="N253" t="n">
        <v>0</v>
      </c>
      <c r="O253" t="n">
        <v>0</v>
      </c>
      <c r="P253" t="n">
        <v>0</v>
      </c>
      <c r="Q253" t="n">
        <v>0</v>
      </c>
      <c r="R253" s="2" t="inlineStr"/>
    </row>
    <row r="254" ht="15" customHeight="1">
      <c r="A254" t="inlineStr">
        <is>
          <t>A 66163-2020</t>
        </is>
      </c>
      <c r="B254" s="1" t="n">
        <v>44175</v>
      </c>
      <c r="C254" s="1" t="n">
        <v>45828</v>
      </c>
      <c r="D254" t="inlineStr">
        <is>
          <t>DALARNAS LÄN</t>
        </is>
      </c>
      <c r="E254" t="inlineStr">
        <is>
          <t>MALUNG-SÄLEN</t>
        </is>
      </c>
      <c r="G254" t="n">
        <v>3.3</v>
      </c>
      <c r="H254" t="n">
        <v>0</v>
      </c>
      <c r="I254" t="n">
        <v>0</v>
      </c>
      <c r="J254" t="n">
        <v>0</v>
      </c>
      <c r="K254" t="n">
        <v>0</v>
      </c>
      <c r="L254" t="n">
        <v>0</v>
      </c>
      <c r="M254" t="n">
        <v>0</v>
      </c>
      <c r="N254" t="n">
        <v>0</v>
      </c>
      <c r="O254" t="n">
        <v>0</v>
      </c>
      <c r="P254" t="n">
        <v>0</v>
      </c>
      <c r="Q254" t="n">
        <v>0</v>
      </c>
      <c r="R254" s="2" t="inlineStr"/>
    </row>
    <row r="255" ht="15" customHeight="1">
      <c r="A255" t="inlineStr">
        <is>
          <t>A 67774-2020</t>
        </is>
      </c>
      <c r="B255" s="1" t="n">
        <v>44182</v>
      </c>
      <c r="C255" s="1" t="n">
        <v>45828</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68150-2020</t>
        </is>
      </c>
      <c r="B256" s="1" t="n">
        <v>44183</v>
      </c>
      <c r="C256" s="1" t="n">
        <v>45828</v>
      </c>
      <c r="D256" t="inlineStr">
        <is>
          <t>DALARNAS LÄN</t>
        </is>
      </c>
      <c r="E256" t="inlineStr">
        <is>
          <t>MALUNG-SÄLEN</t>
        </is>
      </c>
      <c r="G256" t="n">
        <v>4.1</v>
      </c>
      <c r="H256" t="n">
        <v>0</v>
      </c>
      <c r="I256" t="n">
        <v>0</v>
      </c>
      <c r="J256" t="n">
        <v>0</v>
      </c>
      <c r="K256" t="n">
        <v>0</v>
      </c>
      <c r="L256" t="n">
        <v>0</v>
      </c>
      <c r="M256" t="n">
        <v>0</v>
      </c>
      <c r="N256" t="n">
        <v>0</v>
      </c>
      <c r="O256" t="n">
        <v>0</v>
      </c>
      <c r="P256" t="n">
        <v>0</v>
      </c>
      <c r="Q256" t="n">
        <v>0</v>
      </c>
      <c r="R256" s="2" t="inlineStr"/>
    </row>
    <row r="257" ht="15" customHeight="1">
      <c r="A257" t="inlineStr">
        <is>
          <t>A 68326-2020</t>
        </is>
      </c>
      <c r="B257" s="1" t="n">
        <v>44185</v>
      </c>
      <c r="C257" s="1" t="n">
        <v>45828</v>
      </c>
      <c r="D257" t="inlineStr">
        <is>
          <t>DALARNAS LÄN</t>
        </is>
      </c>
      <c r="E257" t="inlineStr">
        <is>
          <t>MALUNG-SÄLEN</t>
        </is>
      </c>
      <c r="G257" t="n">
        <v>2.3</v>
      </c>
      <c r="H257" t="n">
        <v>0</v>
      </c>
      <c r="I257" t="n">
        <v>0</v>
      </c>
      <c r="J257" t="n">
        <v>0</v>
      </c>
      <c r="K257" t="n">
        <v>0</v>
      </c>
      <c r="L257" t="n">
        <v>0</v>
      </c>
      <c r="M257" t="n">
        <v>0</v>
      </c>
      <c r="N257" t="n">
        <v>0</v>
      </c>
      <c r="O257" t="n">
        <v>0</v>
      </c>
      <c r="P257" t="n">
        <v>0</v>
      </c>
      <c r="Q257" t="n">
        <v>0</v>
      </c>
      <c r="R257" s="2" t="inlineStr"/>
    </row>
    <row r="258" ht="15" customHeight="1">
      <c r="A258" t="inlineStr">
        <is>
          <t>A 68323-2020</t>
        </is>
      </c>
      <c r="B258" s="1" t="n">
        <v>44185</v>
      </c>
      <c r="C258" s="1" t="n">
        <v>45828</v>
      </c>
      <c r="D258" t="inlineStr">
        <is>
          <t>DALARNAS LÄN</t>
        </is>
      </c>
      <c r="E258" t="inlineStr">
        <is>
          <t>MALUNG-SÄLEN</t>
        </is>
      </c>
      <c r="G258" t="n">
        <v>2.6</v>
      </c>
      <c r="H258" t="n">
        <v>0</v>
      </c>
      <c r="I258" t="n">
        <v>0</v>
      </c>
      <c r="J258" t="n">
        <v>0</v>
      </c>
      <c r="K258" t="n">
        <v>0</v>
      </c>
      <c r="L258" t="n">
        <v>0</v>
      </c>
      <c r="M258" t="n">
        <v>0</v>
      </c>
      <c r="N258" t="n">
        <v>0</v>
      </c>
      <c r="O258" t="n">
        <v>0</v>
      </c>
      <c r="P258" t="n">
        <v>0</v>
      </c>
      <c r="Q258" t="n">
        <v>0</v>
      </c>
      <c r="R258" s="2" t="inlineStr"/>
    </row>
    <row r="259" ht="15" customHeight="1">
      <c r="A259" t="inlineStr">
        <is>
          <t>A 68325-2020</t>
        </is>
      </c>
      <c r="B259" s="1" t="n">
        <v>44185</v>
      </c>
      <c r="C259" s="1" t="n">
        <v>45828</v>
      </c>
      <c r="D259" t="inlineStr">
        <is>
          <t>DALARNAS LÄN</t>
        </is>
      </c>
      <c r="E259" t="inlineStr">
        <is>
          <t>MALUNG-SÄLEN</t>
        </is>
      </c>
      <c r="G259" t="n">
        <v>1.4</v>
      </c>
      <c r="H259" t="n">
        <v>0</v>
      </c>
      <c r="I259" t="n">
        <v>0</v>
      </c>
      <c r="J259" t="n">
        <v>0</v>
      </c>
      <c r="K259" t="n">
        <v>0</v>
      </c>
      <c r="L259" t="n">
        <v>0</v>
      </c>
      <c r="M259" t="n">
        <v>0</v>
      </c>
      <c r="N259" t="n">
        <v>0</v>
      </c>
      <c r="O259" t="n">
        <v>0</v>
      </c>
      <c r="P259" t="n">
        <v>0</v>
      </c>
      <c r="Q259" t="n">
        <v>0</v>
      </c>
      <c r="R259" s="2" t="inlineStr"/>
    </row>
    <row r="260" ht="15" customHeight="1">
      <c r="A260" t="inlineStr">
        <is>
          <t>A 68324-2020</t>
        </is>
      </c>
      <c r="B260" s="1" t="n">
        <v>44185</v>
      </c>
      <c r="C260" s="1" t="n">
        <v>45828</v>
      </c>
      <c r="D260" t="inlineStr">
        <is>
          <t>DALARNAS LÄN</t>
        </is>
      </c>
      <c r="E260" t="inlineStr">
        <is>
          <t>MALUNG-SÄLEN</t>
        </is>
      </c>
      <c r="G260" t="n">
        <v>3.2</v>
      </c>
      <c r="H260" t="n">
        <v>0</v>
      </c>
      <c r="I260" t="n">
        <v>0</v>
      </c>
      <c r="J260" t="n">
        <v>0</v>
      </c>
      <c r="K260" t="n">
        <v>0</v>
      </c>
      <c r="L260" t="n">
        <v>0</v>
      </c>
      <c r="M260" t="n">
        <v>0</v>
      </c>
      <c r="N260" t="n">
        <v>0</v>
      </c>
      <c r="O260" t="n">
        <v>0</v>
      </c>
      <c r="P260" t="n">
        <v>0</v>
      </c>
      <c r="Q260" t="n">
        <v>0</v>
      </c>
      <c r="R260" s="2" t="inlineStr"/>
    </row>
    <row r="261" ht="15" customHeight="1">
      <c r="A261" t="inlineStr">
        <is>
          <t>A 69555-2020</t>
        </is>
      </c>
      <c r="B261" s="1" t="n">
        <v>44194</v>
      </c>
      <c r="C261" s="1" t="n">
        <v>45828</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185-2021</t>
        </is>
      </c>
      <c r="B262" s="1" t="n">
        <v>44200</v>
      </c>
      <c r="C262" s="1" t="n">
        <v>45828</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283-2021</t>
        </is>
      </c>
      <c r="B263" s="1" t="n">
        <v>44201</v>
      </c>
      <c r="C263" s="1" t="n">
        <v>45828</v>
      </c>
      <c r="D263" t="inlineStr">
        <is>
          <t>DALARNAS LÄN</t>
        </is>
      </c>
      <c r="E263" t="inlineStr">
        <is>
          <t>MALUNG-SÄLEN</t>
        </is>
      </c>
      <c r="G263" t="n">
        <v>4.8</v>
      </c>
      <c r="H263" t="n">
        <v>0</v>
      </c>
      <c r="I263" t="n">
        <v>0</v>
      </c>
      <c r="J263" t="n">
        <v>0</v>
      </c>
      <c r="K263" t="n">
        <v>0</v>
      </c>
      <c r="L263" t="n">
        <v>0</v>
      </c>
      <c r="M263" t="n">
        <v>0</v>
      </c>
      <c r="N263" t="n">
        <v>0</v>
      </c>
      <c r="O263" t="n">
        <v>0</v>
      </c>
      <c r="P263" t="n">
        <v>0</v>
      </c>
      <c r="Q263" t="n">
        <v>0</v>
      </c>
      <c r="R263" s="2" t="inlineStr"/>
    </row>
    <row r="264" ht="15" customHeight="1">
      <c r="A264" t="inlineStr">
        <is>
          <t>A 560-2021</t>
        </is>
      </c>
      <c r="B264" s="1" t="n">
        <v>44203</v>
      </c>
      <c r="C264" s="1" t="n">
        <v>45828</v>
      </c>
      <c r="D264" t="inlineStr">
        <is>
          <t>DALARNAS LÄN</t>
        </is>
      </c>
      <c r="E264" t="inlineStr">
        <is>
          <t>MALUNG-SÄLEN</t>
        </is>
      </c>
      <c r="G264" t="n">
        <v>5.8</v>
      </c>
      <c r="H264" t="n">
        <v>0</v>
      </c>
      <c r="I264" t="n">
        <v>0</v>
      </c>
      <c r="J264" t="n">
        <v>0</v>
      </c>
      <c r="K264" t="n">
        <v>0</v>
      </c>
      <c r="L264" t="n">
        <v>0</v>
      </c>
      <c r="M264" t="n">
        <v>0</v>
      </c>
      <c r="N264" t="n">
        <v>0</v>
      </c>
      <c r="O264" t="n">
        <v>0</v>
      </c>
      <c r="P264" t="n">
        <v>0</v>
      </c>
      <c r="Q264" t="n">
        <v>0</v>
      </c>
      <c r="R264" s="2" t="inlineStr"/>
    </row>
    <row r="265" ht="15" customHeight="1">
      <c r="A265" t="inlineStr">
        <is>
          <t>A 1286-2021</t>
        </is>
      </c>
      <c r="B265" s="1" t="n">
        <v>44208</v>
      </c>
      <c r="C265" s="1" t="n">
        <v>45828</v>
      </c>
      <c r="D265" t="inlineStr">
        <is>
          <t>DALARNAS LÄN</t>
        </is>
      </c>
      <c r="E265" t="inlineStr">
        <is>
          <t>MALUNG-SÄLEN</t>
        </is>
      </c>
      <c r="G265" t="n">
        <v>7.7</v>
      </c>
      <c r="H265" t="n">
        <v>0</v>
      </c>
      <c r="I265" t="n">
        <v>0</v>
      </c>
      <c r="J265" t="n">
        <v>0</v>
      </c>
      <c r="K265" t="n">
        <v>0</v>
      </c>
      <c r="L265" t="n">
        <v>0</v>
      </c>
      <c r="M265" t="n">
        <v>0</v>
      </c>
      <c r="N265" t="n">
        <v>0</v>
      </c>
      <c r="O265" t="n">
        <v>0</v>
      </c>
      <c r="P265" t="n">
        <v>0</v>
      </c>
      <c r="Q265" t="n">
        <v>0</v>
      </c>
      <c r="R265" s="2" t="inlineStr"/>
    </row>
    <row r="266" ht="15" customHeight="1">
      <c r="A266" t="inlineStr">
        <is>
          <t>A 1837-2021</t>
        </is>
      </c>
      <c r="B266" s="1" t="n">
        <v>44210</v>
      </c>
      <c r="C266" s="1" t="n">
        <v>45828</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2208-2021</t>
        </is>
      </c>
      <c r="B267" s="1" t="n">
        <v>44211</v>
      </c>
      <c r="C267" s="1" t="n">
        <v>45828</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2390-2021</t>
        </is>
      </c>
      <c r="B268" s="1" t="n">
        <v>44214</v>
      </c>
      <c r="C268" s="1" t="n">
        <v>45828</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2406-2021</t>
        </is>
      </c>
      <c r="B269" s="1" t="n">
        <v>44214</v>
      </c>
      <c r="C269" s="1" t="n">
        <v>45828</v>
      </c>
      <c r="D269" t="inlineStr">
        <is>
          <t>DALARNAS LÄN</t>
        </is>
      </c>
      <c r="E269" t="inlineStr">
        <is>
          <t>MALUNG-SÄLEN</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2391-2021</t>
        </is>
      </c>
      <c r="B270" s="1" t="n">
        <v>44214</v>
      </c>
      <c r="C270" s="1" t="n">
        <v>45828</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3132-2021</t>
        </is>
      </c>
      <c r="B271" s="1" t="n">
        <v>44217</v>
      </c>
      <c r="C271" s="1" t="n">
        <v>45828</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3941-2021</t>
        </is>
      </c>
      <c r="B272" s="1" t="n">
        <v>44222</v>
      </c>
      <c r="C272" s="1" t="n">
        <v>45828</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4030-2021</t>
        </is>
      </c>
      <c r="B273" s="1" t="n">
        <v>44222</v>
      </c>
      <c r="C273" s="1" t="n">
        <v>45828</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4525-2021</t>
        </is>
      </c>
      <c r="B274" s="1" t="n">
        <v>44224</v>
      </c>
      <c r="C274" s="1" t="n">
        <v>45828</v>
      </c>
      <c r="D274" t="inlineStr">
        <is>
          <t>DALARNAS LÄN</t>
        </is>
      </c>
      <c r="E274" t="inlineStr">
        <is>
          <t>MALUNG-SÄLEN</t>
        </is>
      </c>
      <c r="G274" t="n">
        <v>5.3</v>
      </c>
      <c r="H274" t="n">
        <v>0</v>
      </c>
      <c r="I274" t="n">
        <v>0</v>
      </c>
      <c r="J274" t="n">
        <v>0</v>
      </c>
      <c r="K274" t="n">
        <v>0</v>
      </c>
      <c r="L274" t="n">
        <v>0</v>
      </c>
      <c r="M274" t="n">
        <v>0</v>
      </c>
      <c r="N274" t="n">
        <v>0</v>
      </c>
      <c r="O274" t="n">
        <v>0</v>
      </c>
      <c r="P274" t="n">
        <v>0</v>
      </c>
      <c r="Q274" t="n">
        <v>0</v>
      </c>
      <c r="R274" s="2" t="inlineStr"/>
    </row>
    <row r="275" ht="15" customHeight="1">
      <c r="A275" t="inlineStr">
        <is>
          <t>A 5215-2021</t>
        </is>
      </c>
      <c r="B275" s="1" t="n">
        <v>44229</v>
      </c>
      <c r="C275" s="1" t="n">
        <v>45828</v>
      </c>
      <c r="D275" t="inlineStr">
        <is>
          <t>DALARNAS LÄN</t>
        </is>
      </c>
      <c r="E275" t="inlineStr">
        <is>
          <t>MALUNG-SÄLEN</t>
        </is>
      </c>
      <c r="G275" t="n">
        <v>1.7</v>
      </c>
      <c r="H275" t="n">
        <v>0</v>
      </c>
      <c r="I275" t="n">
        <v>0</v>
      </c>
      <c r="J275" t="n">
        <v>0</v>
      </c>
      <c r="K275" t="n">
        <v>0</v>
      </c>
      <c r="L275" t="n">
        <v>0</v>
      </c>
      <c r="M275" t="n">
        <v>0</v>
      </c>
      <c r="N275" t="n">
        <v>0</v>
      </c>
      <c r="O275" t="n">
        <v>0</v>
      </c>
      <c r="P275" t="n">
        <v>0</v>
      </c>
      <c r="Q275" t="n">
        <v>0</v>
      </c>
      <c r="R275" s="2" t="inlineStr"/>
    </row>
    <row r="276" ht="15" customHeight="1">
      <c r="A276" t="inlineStr">
        <is>
          <t>A 6254-2021</t>
        </is>
      </c>
      <c r="B276" s="1" t="n">
        <v>44235</v>
      </c>
      <c r="C276" s="1" t="n">
        <v>45828</v>
      </c>
      <c r="D276" t="inlineStr">
        <is>
          <t>DALARNAS LÄN</t>
        </is>
      </c>
      <c r="E276" t="inlineStr">
        <is>
          <t>MALUNG-SÄLEN</t>
        </is>
      </c>
      <c r="G276" t="n">
        <v>0.8</v>
      </c>
      <c r="H276" t="n">
        <v>0</v>
      </c>
      <c r="I276" t="n">
        <v>0</v>
      </c>
      <c r="J276" t="n">
        <v>0</v>
      </c>
      <c r="K276" t="n">
        <v>0</v>
      </c>
      <c r="L276" t="n">
        <v>0</v>
      </c>
      <c r="M276" t="n">
        <v>0</v>
      </c>
      <c r="N276" t="n">
        <v>0</v>
      </c>
      <c r="O276" t="n">
        <v>0</v>
      </c>
      <c r="P276" t="n">
        <v>0</v>
      </c>
      <c r="Q276" t="n">
        <v>0</v>
      </c>
      <c r="R276" s="2" t="inlineStr"/>
    </row>
    <row r="277" ht="15" customHeight="1">
      <c r="A277" t="inlineStr">
        <is>
          <t>A 7859-2021</t>
        </is>
      </c>
      <c r="B277" s="1" t="n">
        <v>44242</v>
      </c>
      <c r="C277" s="1" t="n">
        <v>45828</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12376-2021</t>
        </is>
      </c>
      <c r="B278" s="1" t="n">
        <v>44267</v>
      </c>
      <c r="C278" s="1" t="n">
        <v>45828</v>
      </c>
      <c r="D278" t="inlineStr">
        <is>
          <t>DALARNAS LÄN</t>
        </is>
      </c>
      <c r="E278" t="inlineStr">
        <is>
          <t>MALUNG-SÄLEN</t>
        </is>
      </c>
      <c r="G278" t="n">
        <v>0.7</v>
      </c>
      <c r="H278" t="n">
        <v>0</v>
      </c>
      <c r="I278" t="n">
        <v>0</v>
      </c>
      <c r="J278" t="n">
        <v>0</v>
      </c>
      <c r="K278" t="n">
        <v>0</v>
      </c>
      <c r="L278" t="n">
        <v>0</v>
      </c>
      <c r="M278" t="n">
        <v>0</v>
      </c>
      <c r="N278" t="n">
        <v>0</v>
      </c>
      <c r="O278" t="n">
        <v>0</v>
      </c>
      <c r="P278" t="n">
        <v>0</v>
      </c>
      <c r="Q278" t="n">
        <v>0</v>
      </c>
      <c r="R278" s="2" t="inlineStr"/>
    </row>
    <row r="279" ht="15" customHeight="1">
      <c r="A279" t="inlineStr">
        <is>
          <t>A 12375-2021</t>
        </is>
      </c>
      <c r="B279" s="1" t="n">
        <v>44267</v>
      </c>
      <c r="C279" s="1" t="n">
        <v>45828</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12985-2021</t>
        </is>
      </c>
      <c r="B280" s="1" t="n">
        <v>44271</v>
      </c>
      <c r="C280" s="1" t="n">
        <v>45828</v>
      </c>
      <c r="D280" t="inlineStr">
        <is>
          <t>DALARNAS LÄN</t>
        </is>
      </c>
      <c r="E280" t="inlineStr">
        <is>
          <t>MALUNG-SÄLEN</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13934-2021</t>
        </is>
      </c>
      <c r="B281" s="1" t="n">
        <v>44277</v>
      </c>
      <c r="C281" s="1" t="n">
        <v>45828</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14035-2021</t>
        </is>
      </c>
      <c r="B282" s="1" t="n">
        <v>44277</v>
      </c>
      <c r="C282" s="1" t="n">
        <v>45828</v>
      </c>
      <c r="D282" t="inlineStr">
        <is>
          <t>DALARNAS LÄN</t>
        </is>
      </c>
      <c r="E282" t="inlineStr">
        <is>
          <t>MALUNG-SÄLEN</t>
        </is>
      </c>
      <c r="G282" t="n">
        <v>6.9</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v>
      </c>
      <c r="C283" s="1" t="n">
        <v>45828</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17502-2021</t>
        </is>
      </c>
      <c r="B284" s="1" t="n">
        <v>44299</v>
      </c>
      <c r="C284" s="1" t="n">
        <v>45828</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17763-2021</t>
        </is>
      </c>
      <c r="B285" s="1" t="n">
        <v>44300</v>
      </c>
      <c r="C285" s="1" t="n">
        <v>45828</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18637-2021</t>
        </is>
      </c>
      <c r="B286" s="1" t="n">
        <v>44306</v>
      </c>
      <c r="C286" s="1" t="n">
        <v>45828</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19768-2021</t>
        </is>
      </c>
      <c r="B287" s="1" t="n">
        <v>44312</v>
      </c>
      <c r="C287" s="1" t="n">
        <v>45828</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19764-2021</t>
        </is>
      </c>
      <c r="B288" s="1" t="n">
        <v>44313</v>
      </c>
      <c r="C288" s="1" t="n">
        <v>45828</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19944-2021</t>
        </is>
      </c>
      <c r="B289" s="1" t="n">
        <v>44313</v>
      </c>
      <c r="C289" s="1" t="n">
        <v>45828</v>
      </c>
      <c r="D289" t="inlineStr">
        <is>
          <t>DALARNAS LÄN</t>
        </is>
      </c>
      <c r="E289" t="inlineStr">
        <is>
          <t>MALUNG-SÄLEN</t>
        </is>
      </c>
      <c r="G289" t="n">
        <v>10.7</v>
      </c>
      <c r="H289" t="n">
        <v>0</v>
      </c>
      <c r="I289" t="n">
        <v>0</v>
      </c>
      <c r="J289" t="n">
        <v>0</v>
      </c>
      <c r="K289" t="n">
        <v>0</v>
      </c>
      <c r="L289" t="n">
        <v>0</v>
      </c>
      <c r="M289" t="n">
        <v>0</v>
      </c>
      <c r="N289" t="n">
        <v>0</v>
      </c>
      <c r="O289" t="n">
        <v>0</v>
      </c>
      <c r="P289" t="n">
        <v>0</v>
      </c>
      <c r="Q289" t="n">
        <v>0</v>
      </c>
      <c r="R289" s="2" t="inlineStr"/>
    </row>
    <row r="290" ht="15" customHeight="1">
      <c r="A290" t="inlineStr">
        <is>
          <t>A 19924-2021</t>
        </is>
      </c>
      <c r="B290" s="1" t="n">
        <v>44313</v>
      </c>
      <c r="C290" s="1" t="n">
        <v>45828</v>
      </c>
      <c r="D290" t="inlineStr">
        <is>
          <t>DALARNAS LÄN</t>
        </is>
      </c>
      <c r="E290" t="inlineStr">
        <is>
          <t>MALUNG-SÄLEN</t>
        </is>
      </c>
      <c r="G290" t="n">
        <v>17.3</v>
      </c>
      <c r="H290" t="n">
        <v>0</v>
      </c>
      <c r="I290" t="n">
        <v>0</v>
      </c>
      <c r="J290" t="n">
        <v>0</v>
      </c>
      <c r="K290" t="n">
        <v>0</v>
      </c>
      <c r="L290" t="n">
        <v>0</v>
      </c>
      <c r="M290" t="n">
        <v>0</v>
      </c>
      <c r="N290" t="n">
        <v>0</v>
      </c>
      <c r="O290" t="n">
        <v>0</v>
      </c>
      <c r="P290" t="n">
        <v>0</v>
      </c>
      <c r="Q290" t="n">
        <v>0</v>
      </c>
      <c r="R290" s="2" t="inlineStr"/>
    </row>
    <row r="291" ht="15" customHeight="1">
      <c r="A291" t="inlineStr">
        <is>
          <t>A 20228-2021</t>
        </is>
      </c>
      <c r="B291" s="1" t="n">
        <v>44314</v>
      </c>
      <c r="C291" s="1" t="n">
        <v>45828</v>
      </c>
      <c r="D291" t="inlineStr">
        <is>
          <t>DALARNAS LÄN</t>
        </is>
      </c>
      <c r="E291" t="inlineStr">
        <is>
          <t>MALUNG-SÄLEN</t>
        </is>
      </c>
      <c r="G291" t="n">
        <v>2</v>
      </c>
      <c r="H291" t="n">
        <v>0</v>
      </c>
      <c r="I291" t="n">
        <v>0</v>
      </c>
      <c r="J291" t="n">
        <v>0</v>
      </c>
      <c r="K291" t="n">
        <v>0</v>
      </c>
      <c r="L291" t="n">
        <v>0</v>
      </c>
      <c r="M291" t="n">
        <v>0</v>
      </c>
      <c r="N291" t="n">
        <v>0</v>
      </c>
      <c r="O291" t="n">
        <v>0</v>
      </c>
      <c r="P291" t="n">
        <v>0</v>
      </c>
      <c r="Q291" t="n">
        <v>0</v>
      </c>
      <c r="R291" s="2" t="inlineStr"/>
    </row>
    <row r="292" ht="15" customHeight="1">
      <c r="A292" t="inlineStr">
        <is>
          <t>A 20427-2021</t>
        </is>
      </c>
      <c r="B292" s="1" t="n">
        <v>44315</v>
      </c>
      <c r="C292" s="1" t="n">
        <v>45828</v>
      </c>
      <c r="D292" t="inlineStr">
        <is>
          <t>DALARNAS LÄN</t>
        </is>
      </c>
      <c r="E292" t="inlineStr">
        <is>
          <t>MALUNG-SÄLEN</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21011-2021</t>
        </is>
      </c>
      <c r="B293" s="1" t="n">
        <v>44319</v>
      </c>
      <c r="C293" s="1" t="n">
        <v>45828</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21018-2021</t>
        </is>
      </c>
      <c r="B294" s="1" t="n">
        <v>44319</v>
      </c>
      <c r="C294" s="1" t="n">
        <v>45828</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21368-2021</t>
        </is>
      </c>
      <c r="B295" s="1" t="n">
        <v>44321</v>
      </c>
      <c r="C295" s="1" t="n">
        <v>45828</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21566-2021</t>
        </is>
      </c>
      <c r="B296" s="1" t="n">
        <v>44321</v>
      </c>
      <c r="C296" s="1" t="n">
        <v>45828</v>
      </c>
      <c r="D296" t="inlineStr">
        <is>
          <t>DALARNAS LÄN</t>
        </is>
      </c>
      <c r="E296" t="inlineStr">
        <is>
          <t>MALUNG-SÄLEN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22455-2021</t>
        </is>
      </c>
      <c r="B297" s="1" t="n">
        <v>44321</v>
      </c>
      <c r="C297" s="1" t="n">
        <v>45828</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22721-2021</t>
        </is>
      </c>
      <c r="B298" s="1" t="n">
        <v>44325</v>
      </c>
      <c r="C298" s="1" t="n">
        <v>45828</v>
      </c>
      <c r="D298" t="inlineStr">
        <is>
          <t>DALARNAS LÄN</t>
        </is>
      </c>
      <c r="E298" t="inlineStr">
        <is>
          <t>MALUNG-SÄLEN</t>
        </is>
      </c>
      <c r="G298" t="n">
        <v>0.2</v>
      </c>
      <c r="H298" t="n">
        <v>0</v>
      </c>
      <c r="I298" t="n">
        <v>0</v>
      </c>
      <c r="J298" t="n">
        <v>0</v>
      </c>
      <c r="K298" t="n">
        <v>0</v>
      </c>
      <c r="L298" t="n">
        <v>0</v>
      </c>
      <c r="M298" t="n">
        <v>0</v>
      </c>
      <c r="N298" t="n">
        <v>0</v>
      </c>
      <c r="O298" t="n">
        <v>0</v>
      </c>
      <c r="P298" t="n">
        <v>0</v>
      </c>
      <c r="Q298" t="n">
        <v>0</v>
      </c>
      <c r="R298" s="2" t="inlineStr"/>
    </row>
    <row r="299" ht="15" customHeight="1">
      <c r="A299" t="inlineStr">
        <is>
          <t>A 22329-2021</t>
        </is>
      </c>
      <c r="B299" s="1" t="n">
        <v>44326</v>
      </c>
      <c r="C299" s="1" t="n">
        <v>45828</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22258-2021</t>
        </is>
      </c>
      <c r="B300" s="1" t="n">
        <v>44326</v>
      </c>
      <c r="C300" s="1" t="n">
        <v>45828</v>
      </c>
      <c r="D300" t="inlineStr">
        <is>
          <t>DALARNAS LÄN</t>
        </is>
      </c>
      <c r="E300" t="inlineStr">
        <is>
          <t>MALUNG-SÄLEN</t>
        </is>
      </c>
      <c r="G300" t="n">
        <v>0.9</v>
      </c>
      <c r="H300" t="n">
        <v>0</v>
      </c>
      <c r="I300" t="n">
        <v>0</v>
      </c>
      <c r="J300" t="n">
        <v>0</v>
      </c>
      <c r="K300" t="n">
        <v>0</v>
      </c>
      <c r="L300" t="n">
        <v>0</v>
      </c>
      <c r="M300" t="n">
        <v>0</v>
      </c>
      <c r="N300" t="n">
        <v>0</v>
      </c>
      <c r="O300" t="n">
        <v>0</v>
      </c>
      <c r="P300" t="n">
        <v>0</v>
      </c>
      <c r="Q300" t="n">
        <v>0</v>
      </c>
      <c r="R300" s="2" t="inlineStr"/>
    </row>
    <row r="301" ht="15" customHeight="1">
      <c r="A301" t="inlineStr">
        <is>
          <t>A 22855-2021</t>
        </is>
      </c>
      <c r="B301" s="1" t="n">
        <v>44328</v>
      </c>
      <c r="C301" s="1" t="n">
        <v>45828</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23161-2021</t>
        </is>
      </c>
      <c r="B302" s="1" t="n">
        <v>44332</v>
      </c>
      <c r="C302" s="1" t="n">
        <v>45828</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23162-2021</t>
        </is>
      </c>
      <c r="B303" s="1" t="n">
        <v>44332</v>
      </c>
      <c r="C303" s="1" t="n">
        <v>45828</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23281-2021</t>
        </is>
      </c>
      <c r="B304" s="1" t="n">
        <v>44333</v>
      </c>
      <c r="C304" s="1" t="n">
        <v>45828</v>
      </c>
      <c r="D304" t="inlineStr">
        <is>
          <t>DALARNAS LÄN</t>
        </is>
      </c>
      <c r="E304" t="inlineStr">
        <is>
          <t>MALUNG-SÄLEN</t>
        </is>
      </c>
      <c r="G304" t="n">
        <v>2.9</v>
      </c>
      <c r="H304" t="n">
        <v>0</v>
      </c>
      <c r="I304" t="n">
        <v>0</v>
      </c>
      <c r="J304" t="n">
        <v>0</v>
      </c>
      <c r="K304" t="n">
        <v>0</v>
      </c>
      <c r="L304" t="n">
        <v>0</v>
      </c>
      <c r="M304" t="n">
        <v>0</v>
      </c>
      <c r="N304" t="n">
        <v>0</v>
      </c>
      <c r="O304" t="n">
        <v>0</v>
      </c>
      <c r="P304" t="n">
        <v>0</v>
      </c>
      <c r="Q304" t="n">
        <v>0</v>
      </c>
      <c r="R304" s="2" t="inlineStr"/>
    </row>
    <row r="305" ht="15" customHeight="1">
      <c r="A305" t="inlineStr">
        <is>
          <t>A 23953-2021</t>
        </is>
      </c>
      <c r="B305" s="1" t="n">
        <v>44335</v>
      </c>
      <c r="C305" s="1" t="n">
        <v>45828</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25285-2021</t>
        </is>
      </c>
      <c r="B306" s="1" t="n">
        <v>44342</v>
      </c>
      <c r="C306" s="1" t="n">
        <v>45828</v>
      </c>
      <c r="D306" t="inlineStr">
        <is>
          <t>DALARNAS LÄN</t>
        </is>
      </c>
      <c r="E306" t="inlineStr">
        <is>
          <t>MALUNG-SÄLEN</t>
        </is>
      </c>
      <c r="G306" t="n">
        <v>1.4</v>
      </c>
      <c r="H306" t="n">
        <v>0</v>
      </c>
      <c r="I306" t="n">
        <v>0</v>
      </c>
      <c r="J306" t="n">
        <v>0</v>
      </c>
      <c r="K306" t="n">
        <v>0</v>
      </c>
      <c r="L306" t="n">
        <v>0</v>
      </c>
      <c r="M306" t="n">
        <v>0</v>
      </c>
      <c r="N306" t="n">
        <v>0</v>
      </c>
      <c r="O306" t="n">
        <v>0</v>
      </c>
      <c r="P306" t="n">
        <v>0</v>
      </c>
      <c r="Q306" t="n">
        <v>0</v>
      </c>
      <c r="R306" s="2" t="inlineStr"/>
    </row>
    <row r="307" ht="15" customHeight="1">
      <c r="A307" t="inlineStr">
        <is>
          <t>A 26341-2021</t>
        </is>
      </c>
      <c r="B307" s="1" t="n">
        <v>44347</v>
      </c>
      <c r="C307" s="1" t="n">
        <v>45828</v>
      </c>
      <c r="D307" t="inlineStr">
        <is>
          <t>DALARNAS LÄN</t>
        </is>
      </c>
      <c r="E307" t="inlineStr">
        <is>
          <t>MALUNG-SÄLEN</t>
        </is>
      </c>
      <c r="G307" t="n">
        <v>2.4</v>
      </c>
      <c r="H307" t="n">
        <v>0</v>
      </c>
      <c r="I307" t="n">
        <v>0</v>
      </c>
      <c r="J307" t="n">
        <v>0</v>
      </c>
      <c r="K307" t="n">
        <v>0</v>
      </c>
      <c r="L307" t="n">
        <v>0</v>
      </c>
      <c r="M307" t="n">
        <v>0</v>
      </c>
      <c r="N307" t="n">
        <v>0</v>
      </c>
      <c r="O307" t="n">
        <v>0</v>
      </c>
      <c r="P307" t="n">
        <v>0</v>
      </c>
      <c r="Q307" t="n">
        <v>0</v>
      </c>
      <c r="R307" s="2" t="inlineStr"/>
    </row>
    <row r="308" ht="15" customHeight="1">
      <c r="A308" t="inlineStr">
        <is>
          <t>A 26568-2021</t>
        </is>
      </c>
      <c r="B308" s="1" t="n">
        <v>44348</v>
      </c>
      <c r="C308" s="1" t="n">
        <v>45828</v>
      </c>
      <c r="D308" t="inlineStr">
        <is>
          <t>DALARNAS LÄN</t>
        </is>
      </c>
      <c r="E308" t="inlineStr">
        <is>
          <t>MALUNG-SÄLEN</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26693-2021</t>
        </is>
      </c>
      <c r="B309" s="1" t="n">
        <v>44349</v>
      </c>
      <c r="C309" s="1" t="n">
        <v>45828</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27047-2021</t>
        </is>
      </c>
      <c r="B310" s="1" t="n">
        <v>44350</v>
      </c>
      <c r="C310" s="1" t="n">
        <v>45828</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27470-2021</t>
        </is>
      </c>
      <c r="B311" s="1" t="n">
        <v>44351</v>
      </c>
      <c r="C311" s="1" t="n">
        <v>45828</v>
      </c>
      <c r="D311" t="inlineStr">
        <is>
          <t>DALARNAS LÄN</t>
        </is>
      </c>
      <c r="E311" t="inlineStr">
        <is>
          <t>MALUNG-SÄLEN</t>
        </is>
      </c>
      <c r="F311" t="inlineStr">
        <is>
          <t>Allmännings- och besparingsskogar</t>
        </is>
      </c>
      <c r="G311" t="n">
        <v>14.8</v>
      </c>
      <c r="H311" t="n">
        <v>0</v>
      </c>
      <c r="I311" t="n">
        <v>0</v>
      </c>
      <c r="J311" t="n">
        <v>0</v>
      </c>
      <c r="K311" t="n">
        <v>0</v>
      </c>
      <c r="L311" t="n">
        <v>0</v>
      </c>
      <c r="M311" t="n">
        <v>0</v>
      </c>
      <c r="N311" t="n">
        <v>0</v>
      </c>
      <c r="O311" t="n">
        <v>0</v>
      </c>
      <c r="P311" t="n">
        <v>0</v>
      </c>
      <c r="Q311" t="n">
        <v>0</v>
      </c>
      <c r="R311" s="2" t="inlineStr"/>
    </row>
    <row r="312" ht="15" customHeight="1">
      <c r="A312" t="inlineStr">
        <is>
          <t>A 27302-2021</t>
        </is>
      </c>
      <c r="B312" s="1" t="n">
        <v>44351</v>
      </c>
      <c r="C312" s="1" t="n">
        <v>45828</v>
      </c>
      <c r="D312" t="inlineStr">
        <is>
          <t>DALARNAS LÄN</t>
        </is>
      </c>
      <c r="E312" t="inlineStr">
        <is>
          <t>MALUNG-SÄLEN</t>
        </is>
      </c>
      <c r="F312" t="inlineStr">
        <is>
          <t>Allmännings- och besparingsskogar</t>
        </is>
      </c>
      <c r="G312" t="n">
        <v>5.7</v>
      </c>
      <c r="H312" t="n">
        <v>0</v>
      </c>
      <c r="I312" t="n">
        <v>0</v>
      </c>
      <c r="J312" t="n">
        <v>0</v>
      </c>
      <c r="K312" t="n">
        <v>0</v>
      </c>
      <c r="L312" t="n">
        <v>0</v>
      </c>
      <c r="M312" t="n">
        <v>0</v>
      </c>
      <c r="N312" t="n">
        <v>0</v>
      </c>
      <c r="O312" t="n">
        <v>0</v>
      </c>
      <c r="P312" t="n">
        <v>0</v>
      </c>
      <c r="Q312" t="n">
        <v>0</v>
      </c>
      <c r="R312" s="2" t="inlineStr"/>
    </row>
    <row r="313" ht="15" customHeight="1">
      <c r="A313" t="inlineStr">
        <is>
          <t>A 27466-2021</t>
        </is>
      </c>
      <c r="B313" s="1" t="n">
        <v>44351</v>
      </c>
      <c r="C313" s="1" t="n">
        <v>45828</v>
      </c>
      <c r="D313" t="inlineStr">
        <is>
          <t>DALARNAS LÄN</t>
        </is>
      </c>
      <c r="E313" t="inlineStr">
        <is>
          <t>MALUNG-SÄLEN</t>
        </is>
      </c>
      <c r="G313" t="n">
        <v>1.8</v>
      </c>
      <c r="H313" t="n">
        <v>0</v>
      </c>
      <c r="I313" t="n">
        <v>0</v>
      </c>
      <c r="J313" t="n">
        <v>0</v>
      </c>
      <c r="K313" t="n">
        <v>0</v>
      </c>
      <c r="L313" t="n">
        <v>0</v>
      </c>
      <c r="M313" t="n">
        <v>0</v>
      </c>
      <c r="N313" t="n">
        <v>0</v>
      </c>
      <c r="O313" t="n">
        <v>0</v>
      </c>
      <c r="P313" t="n">
        <v>0</v>
      </c>
      <c r="Q313" t="n">
        <v>0</v>
      </c>
      <c r="R313" s="2" t="inlineStr"/>
    </row>
    <row r="314" ht="15" customHeight="1">
      <c r="A314" t="inlineStr">
        <is>
          <t>A 27656-2021</t>
        </is>
      </c>
      <c r="B314" s="1" t="n">
        <v>44354</v>
      </c>
      <c r="C314" s="1" t="n">
        <v>45828</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28204-2021</t>
        </is>
      </c>
      <c r="B315" s="1" t="n">
        <v>44355</v>
      </c>
      <c r="C315" s="1" t="n">
        <v>45828</v>
      </c>
      <c r="D315" t="inlineStr">
        <is>
          <t>DALARNAS LÄN</t>
        </is>
      </c>
      <c r="E315" t="inlineStr">
        <is>
          <t>MALUNG-SÄLEN</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28396-2021</t>
        </is>
      </c>
      <c r="B316" s="1" t="n">
        <v>44356</v>
      </c>
      <c r="C316" s="1" t="n">
        <v>45828</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28415-2021</t>
        </is>
      </c>
      <c r="B317" s="1" t="n">
        <v>44356</v>
      </c>
      <c r="C317" s="1" t="n">
        <v>45828</v>
      </c>
      <c r="D317" t="inlineStr">
        <is>
          <t>DALARNAS LÄN</t>
        </is>
      </c>
      <c r="E317" t="inlineStr">
        <is>
          <t>MALUNG-SÄLEN</t>
        </is>
      </c>
      <c r="G317" t="n">
        <v>2</v>
      </c>
      <c r="H317" t="n">
        <v>0</v>
      </c>
      <c r="I317" t="n">
        <v>0</v>
      </c>
      <c r="J317" t="n">
        <v>0</v>
      </c>
      <c r="K317" t="n">
        <v>0</v>
      </c>
      <c r="L317" t="n">
        <v>0</v>
      </c>
      <c r="M317" t="n">
        <v>0</v>
      </c>
      <c r="N317" t="n">
        <v>0</v>
      </c>
      <c r="O317" t="n">
        <v>0</v>
      </c>
      <c r="P317" t="n">
        <v>0</v>
      </c>
      <c r="Q317" t="n">
        <v>0</v>
      </c>
      <c r="R317" s="2" t="inlineStr"/>
    </row>
    <row r="318" ht="15" customHeight="1">
      <c r="A318" t="inlineStr">
        <is>
          <t>A 30006-2021</t>
        </is>
      </c>
      <c r="B318" s="1" t="n">
        <v>44363</v>
      </c>
      <c r="C318" s="1" t="n">
        <v>45828</v>
      </c>
      <c r="D318" t="inlineStr">
        <is>
          <t>DALARNAS LÄN</t>
        </is>
      </c>
      <c r="E318" t="inlineStr">
        <is>
          <t>MALUNG-SÄLEN</t>
        </is>
      </c>
      <c r="G318" t="n">
        <v>1.2</v>
      </c>
      <c r="H318" t="n">
        <v>0</v>
      </c>
      <c r="I318" t="n">
        <v>0</v>
      </c>
      <c r="J318" t="n">
        <v>0</v>
      </c>
      <c r="K318" t="n">
        <v>0</v>
      </c>
      <c r="L318" t="n">
        <v>0</v>
      </c>
      <c r="M318" t="n">
        <v>0</v>
      </c>
      <c r="N318" t="n">
        <v>0</v>
      </c>
      <c r="O318" t="n">
        <v>0</v>
      </c>
      <c r="P318" t="n">
        <v>0</v>
      </c>
      <c r="Q318" t="n">
        <v>0</v>
      </c>
      <c r="R318" s="2" t="inlineStr"/>
    </row>
    <row r="319" ht="15" customHeight="1">
      <c r="A319" t="inlineStr">
        <is>
          <t>A 30140-2021</t>
        </is>
      </c>
      <c r="B319" s="1" t="n">
        <v>44363</v>
      </c>
      <c r="C319" s="1" t="n">
        <v>45828</v>
      </c>
      <c r="D319" t="inlineStr">
        <is>
          <t>DALARNAS LÄN</t>
        </is>
      </c>
      <c r="E319" t="inlineStr">
        <is>
          <t>MALUNG-SÄLEN</t>
        </is>
      </c>
      <c r="G319" t="n">
        <v>1.6</v>
      </c>
      <c r="H319" t="n">
        <v>0</v>
      </c>
      <c r="I319" t="n">
        <v>0</v>
      </c>
      <c r="J319" t="n">
        <v>0</v>
      </c>
      <c r="K319" t="n">
        <v>0</v>
      </c>
      <c r="L319" t="n">
        <v>0</v>
      </c>
      <c r="M319" t="n">
        <v>0</v>
      </c>
      <c r="N319" t="n">
        <v>0</v>
      </c>
      <c r="O319" t="n">
        <v>0</v>
      </c>
      <c r="P319" t="n">
        <v>0</v>
      </c>
      <c r="Q319" t="n">
        <v>0</v>
      </c>
      <c r="R319" s="2" t="inlineStr"/>
    </row>
    <row r="320" ht="15" customHeight="1">
      <c r="A320" t="inlineStr">
        <is>
          <t>A 30079-2021</t>
        </is>
      </c>
      <c r="B320" s="1" t="n">
        <v>44363</v>
      </c>
      <c r="C320" s="1" t="n">
        <v>45828</v>
      </c>
      <c r="D320" t="inlineStr">
        <is>
          <t>DALARNAS LÄN</t>
        </is>
      </c>
      <c r="E320" t="inlineStr">
        <is>
          <t>MALUNG-SÄLEN</t>
        </is>
      </c>
      <c r="G320" t="n">
        <v>4.9</v>
      </c>
      <c r="H320" t="n">
        <v>0</v>
      </c>
      <c r="I320" t="n">
        <v>0</v>
      </c>
      <c r="J320" t="n">
        <v>0</v>
      </c>
      <c r="K320" t="n">
        <v>0</v>
      </c>
      <c r="L320" t="n">
        <v>0</v>
      </c>
      <c r="M320" t="n">
        <v>0</v>
      </c>
      <c r="N320" t="n">
        <v>0</v>
      </c>
      <c r="O320" t="n">
        <v>0</v>
      </c>
      <c r="P320" t="n">
        <v>0</v>
      </c>
      <c r="Q320" t="n">
        <v>0</v>
      </c>
      <c r="R320" s="2" t="inlineStr"/>
    </row>
    <row r="321" ht="15" customHeight="1">
      <c r="A321" t="inlineStr">
        <is>
          <t>A 30405-2021</t>
        </is>
      </c>
      <c r="B321" s="1" t="n">
        <v>44364</v>
      </c>
      <c r="C321" s="1" t="n">
        <v>45828</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32548-2021</t>
        </is>
      </c>
      <c r="B322" s="1" t="n">
        <v>44375</v>
      </c>
      <c r="C322" s="1" t="n">
        <v>45828</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32869-2021</t>
        </is>
      </c>
      <c r="B323" s="1" t="n">
        <v>44375</v>
      </c>
      <c r="C323" s="1" t="n">
        <v>45828</v>
      </c>
      <c r="D323" t="inlineStr">
        <is>
          <t>DALARNAS LÄN</t>
        </is>
      </c>
      <c r="E323" t="inlineStr">
        <is>
          <t>MALUNG-SÄLEN</t>
        </is>
      </c>
      <c r="G323" t="n">
        <v>1.1</v>
      </c>
      <c r="H323" t="n">
        <v>0</v>
      </c>
      <c r="I323" t="n">
        <v>0</v>
      </c>
      <c r="J323" t="n">
        <v>0</v>
      </c>
      <c r="K323" t="n">
        <v>0</v>
      </c>
      <c r="L323" t="n">
        <v>0</v>
      </c>
      <c r="M323" t="n">
        <v>0</v>
      </c>
      <c r="N323" t="n">
        <v>0</v>
      </c>
      <c r="O323" t="n">
        <v>0</v>
      </c>
      <c r="P323" t="n">
        <v>0</v>
      </c>
      <c r="Q323" t="n">
        <v>0</v>
      </c>
      <c r="R323" s="2" t="inlineStr"/>
    </row>
    <row r="324" ht="15" customHeight="1">
      <c r="A324" t="inlineStr">
        <is>
          <t>A 32863-2021</t>
        </is>
      </c>
      <c r="B324" s="1" t="n">
        <v>44375</v>
      </c>
      <c r="C324" s="1" t="n">
        <v>45828</v>
      </c>
      <c r="D324" t="inlineStr">
        <is>
          <t>DALARNAS LÄN</t>
        </is>
      </c>
      <c r="E324" t="inlineStr">
        <is>
          <t>MALUNG-SÄLEN</t>
        </is>
      </c>
      <c r="G324" t="n">
        <v>3.5</v>
      </c>
      <c r="H324" t="n">
        <v>0</v>
      </c>
      <c r="I324" t="n">
        <v>0</v>
      </c>
      <c r="J324" t="n">
        <v>0</v>
      </c>
      <c r="K324" t="n">
        <v>0</v>
      </c>
      <c r="L324" t="n">
        <v>0</v>
      </c>
      <c r="M324" t="n">
        <v>0</v>
      </c>
      <c r="N324" t="n">
        <v>0</v>
      </c>
      <c r="O324" t="n">
        <v>0</v>
      </c>
      <c r="P324" t="n">
        <v>0</v>
      </c>
      <c r="Q324" t="n">
        <v>0</v>
      </c>
      <c r="R324" s="2" t="inlineStr"/>
    </row>
    <row r="325" ht="15" customHeight="1">
      <c r="A325" t="inlineStr">
        <is>
          <t>A 34091-2021</t>
        </is>
      </c>
      <c r="B325" s="1" t="n">
        <v>44379</v>
      </c>
      <c r="C325" s="1" t="n">
        <v>45828</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35217-2021</t>
        </is>
      </c>
      <c r="B326" s="1" t="n">
        <v>44384</v>
      </c>
      <c r="C326" s="1" t="n">
        <v>45828</v>
      </c>
      <c r="D326" t="inlineStr">
        <is>
          <t>DALARNAS LÄN</t>
        </is>
      </c>
      <c r="E326" t="inlineStr">
        <is>
          <t>MALUNG-SÄLEN</t>
        </is>
      </c>
      <c r="G326" t="n">
        <v>0.8</v>
      </c>
      <c r="H326" t="n">
        <v>0</v>
      </c>
      <c r="I326" t="n">
        <v>0</v>
      </c>
      <c r="J326" t="n">
        <v>0</v>
      </c>
      <c r="K326" t="n">
        <v>0</v>
      </c>
      <c r="L326" t="n">
        <v>0</v>
      </c>
      <c r="M326" t="n">
        <v>0</v>
      </c>
      <c r="N326" t="n">
        <v>0</v>
      </c>
      <c r="O326" t="n">
        <v>0</v>
      </c>
      <c r="P326" t="n">
        <v>0</v>
      </c>
      <c r="Q326" t="n">
        <v>0</v>
      </c>
      <c r="R326" s="2" t="inlineStr"/>
    </row>
    <row r="327" ht="15" customHeight="1">
      <c r="A327" t="inlineStr">
        <is>
          <t>A 35378-2021</t>
        </is>
      </c>
      <c r="B327" s="1" t="n">
        <v>44385</v>
      </c>
      <c r="C327" s="1" t="n">
        <v>45828</v>
      </c>
      <c r="D327" t="inlineStr">
        <is>
          <t>DALARNAS LÄN</t>
        </is>
      </c>
      <c r="E327" t="inlineStr">
        <is>
          <t>MALUNG-SÄLEN</t>
        </is>
      </c>
      <c r="F327" t="inlineStr">
        <is>
          <t>Övriga statliga verk och myndigheter</t>
        </is>
      </c>
      <c r="G327" t="n">
        <v>5.8</v>
      </c>
      <c r="H327" t="n">
        <v>0</v>
      </c>
      <c r="I327" t="n">
        <v>0</v>
      </c>
      <c r="J327" t="n">
        <v>0</v>
      </c>
      <c r="K327" t="n">
        <v>0</v>
      </c>
      <c r="L327" t="n">
        <v>0</v>
      </c>
      <c r="M327" t="n">
        <v>0</v>
      </c>
      <c r="N327" t="n">
        <v>0</v>
      </c>
      <c r="O327" t="n">
        <v>0</v>
      </c>
      <c r="P327" t="n">
        <v>0</v>
      </c>
      <c r="Q327" t="n">
        <v>0</v>
      </c>
      <c r="R327" s="2" t="inlineStr"/>
    </row>
    <row r="328" ht="15" customHeight="1">
      <c r="A328" t="inlineStr">
        <is>
          <t>A 36340-2021</t>
        </is>
      </c>
      <c r="B328" s="1" t="n">
        <v>44390</v>
      </c>
      <c r="C328" s="1" t="n">
        <v>45828</v>
      </c>
      <c r="D328" t="inlineStr">
        <is>
          <t>DALARNAS LÄN</t>
        </is>
      </c>
      <c r="E328" t="inlineStr">
        <is>
          <t>MALUNG-SÄLEN</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36411-2021</t>
        </is>
      </c>
      <c r="B329" s="1" t="n">
        <v>44390</v>
      </c>
      <c r="C329" s="1" t="n">
        <v>45828</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38193-2021</t>
        </is>
      </c>
      <c r="B330" s="1" t="n">
        <v>44405</v>
      </c>
      <c r="C330" s="1" t="n">
        <v>45828</v>
      </c>
      <c r="D330" t="inlineStr">
        <is>
          <t>DALARNAS LÄN</t>
        </is>
      </c>
      <c r="E330" t="inlineStr">
        <is>
          <t>MALUNG-SÄLEN</t>
        </is>
      </c>
      <c r="F330" t="inlineStr">
        <is>
          <t>Naturvårdsverket</t>
        </is>
      </c>
      <c r="G330" t="n">
        <v>7.1</v>
      </c>
      <c r="H330" t="n">
        <v>0</v>
      </c>
      <c r="I330" t="n">
        <v>0</v>
      </c>
      <c r="J330" t="n">
        <v>0</v>
      </c>
      <c r="K330" t="n">
        <v>0</v>
      </c>
      <c r="L330" t="n">
        <v>0</v>
      </c>
      <c r="M330" t="n">
        <v>0</v>
      </c>
      <c r="N330" t="n">
        <v>0</v>
      </c>
      <c r="O330" t="n">
        <v>0</v>
      </c>
      <c r="P330" t="n">
        <v>0</v>
      </c>
      <c r="Q330" t="n">
        <v>0</v>
      </c>
      <c r="R330" s="2" t="inlineStr"/>
    </row>
    <row r="331" ht="15" customHeight="1">
      <c r="A331" t="inlineStr">
        <is>
          <t>A 38204-2021</t>
        </is>
      </c>
      <c r="B331" s="1" t="n">
        <v>44405</v>
      </c>
      <c r="C331" s="1" t="n">
        <v>45828</v>
      </c>
      <c r="D331" t="inlineStr">
        <is>
          <t>DALARNAS LÄN</t>
        </is>
      </c>
      <c r="E331" t="inlineStr">
        <is>
          <t>MALUNG-SÄLEN</t>
        </is>
      </c>
      <c r="F331" t="inlineStr">
        <is>
          <t>Naturvårdsverket</t>
        </is>
      </c>
      <c r="G331" t="n">
        <v>2.5</v>
      </c>
      <c r="H331" t="n">
        <v>0</v>
      </c>
      <c r="I331" t="n">
        <v>0</v>
      </c>
      <c r="J331" t="n">
        <v>0</v>
      </c>
      <c r="K331" t="n">
        <v>0</v>
      </c>
      <c r="L331" t="n">
        <v>0</v>
      </c>
      <c r="M331" t="n">
        <v>0</v>
      </c>
      <c r="N331" t="n">
        <v>0</v>
      </c>
      <c r="O331" t="n">
        <v>0</v>
      </c>
      <c r="P331" t="n">
        <v>0</v>
      </c>
      <c r="Q331" t="n">
        <v>0</v>
      </c>
      <c r="R331" s="2" t="inlineStr"/>
    </row>
    <row r="332" ht="15" customHeight="1">
      <c r="A332" t="inlineStr">
        <is>
          <t>A 38492-2021</t>
        </is>
      </c>
      <c r="B332" s="1" t="n">
        <v>44405</v>
      </c>
      <c r="C332" s="1" t="n">
        <v>45828</v>
      </c>
      <c r="D332" t="inlineStr">
        <is>
          <t>DALARNAS LÄN</t>
        </is>
      </c>
      <c r="E332" t="inlineStr">
        <is>
          <t>MALUNG-SÄLEN</t>
        </is>
      </c>
      <c r="F332" t="inlineStr">
        <is>
          <t>Naturvårdsverket</t>
        </is>
      </c>
      <c r="G332" t="n">
        <v>5.2</v>
      </c>
      <c r="H332" t="n">
        <v>0</v>
      </c>
      <c r="I332" t="n">
        <v>0</v>
      </c>
      <c r="J332" t="n">
        <v>0</v>
      </c>
      <c r="K332" t="n">
        <v>0</v>
      </c>
      <c r="L332" t="n">
        <v>0</v>
      </c>
      <c r="M332" t="n">
        <v>0</v>
      </c>
      <c r="N332" t="n">
        <v>0</v>
      </c>
      <c r="O332" t="n">
        <v>0</v>
      </c>
      <c r="P332" t="n">
        <v>0</v>
      </c>
      <c r="Q332" t="n">
        <v>0</v>
      </c>
      <c r="R332" s="2" t="inlineStr"/>
    </row>
    <row r="333" ht="15" customHeight="1">
      <c r="A333" t="inlineStr">
        <is>
          <t>A 38833-2021</t>
        </is>
      </c>
      <c r="B333" s="1" t="n">
        <v>44411</v>
      </c>
      <c r="C333" s="1" t="n">
        <v>45828</v>
      </c>
      <c r="D333" t="inlineStr">
        <is>
          <t>DALARNAS LÄN</t>
        </is>
      </c>
      <c r="E333" t="inlineStr">
        <is>
          <t>MALUNG-SÄLEN</t>
        </is>
      </c>
      <c r="G333" t="n">
        <v>7.5</v>
      </c>
      <c r="H333" t="n">
        <v>0</v>
      </c>
      <c r="I333" t="n">
        <v>0</v>
      </c>
      <c r="J333" t="n">
        <v>0</v>
      </c>
      <c r="K333" t="n">
        <v>0</v>
      </c>
      <c r="L333" t="n">
        <v>0</v>
      </c>
      <c r="M333" t="n">
        <v>0</v>
      </c>
      <c r="N333" t="n">
        <v>0</v>
      </c>
      <c r="O333" t="n">
        <v>0</v>
      </c>
      <c r="P333" t="n">
        <v>0</v>
      </c>
      <c r="Q333" t="n">
        <v>0</v>
      </c>
      <c r="R333" s="2" t="inlineStr"/>
    </row>
    <row r="334" ht="15" customHeight="1">
      <c r="A334" t="inlineStr">
        <is>
          <t>A 40320-2021</t>
        </is>
      </c>
      <c r="B334" s="1" t="n">
        <v>44419</v>
      </c>
      <c r="C334" s="1" t="n">
        <v>45828</v>
      </c>
      <c r="D334" t="inlineStr">
        <is>
          <t>DALARNAS LÄN</t>
        </is>
      </c>
      <c r="E334" t="inlineStr">
        <is>
          <t>MALUNG-SÄLEN</t>
        </is>
      </c>
      <c r="G334" t="n">
        <v>0.1</v>
      </c>
      <c r="H334" t="n">
        <v>0</v>
      </c>
      <c r="I334" t="n">
        <v>0</v>
      </c>
      <c r="J334" t="n">
        <v>0</v>
      </c>
      <c r="K334" t="n">
        <v>0</v>
      </c>
      <c r="L334" t="n">
        <v>0</v>
      </c>
      <c r="M334" t="n">
        <v>0</v>
      </c>
      <c r="N334" t="n">
        <v>0</v>
      </c>
      <c r="O334" t="n">
        <v>0</v>
      </c>
      <c r="P334" t="n">
        <v>0</v>
      </c>
      <c r="Q334" t="n">
        <v>0</v>
      </c>
      <c r="R334" s="2" t="inlineStr"/>
    </row>
    <row r="335" ht="15" customHeight="1">
      <c r="A335" t="inlineStr">
        <is>
          <t>A 41194-2021</t>
        </is>
      </c>
      <c r="B335" s="1" t="n">
        <v>44424</v>
      </c>
      <c r="C335" s="1" t="n">
        <v>45828</v>
      </c>
      <c r="D335" t="inlineStr">
        <is>
          <t>DALARNAS LÄN</t>
        </is>
      </c>
      <c r="E335" t="inlineStr">
        <is>
          <t>MALUNG-SÄLEN</t>
        </is>
      </c>
      <c r="G335" t="n">
        <v>7.4</v>
      </c>
      <c r="H335" t="n">
        <v>0</v>
      </c>
      <c r="I335" t="n">
        <v>0</v>
      </c>
      <c r="J335" t="n">
        <v>0</v>
      </c>
      <c r="K335" t="n">
        <v>0</v>
      </c>
      <c r="L335" t="n">
        <v>0</v>
      </c>
      <c r="M335" t="n">
        <v>0</v>
      </c>
      <c r="N335" t="n">
        <v>0</v>
      </c>
      <c r="O335" t="n">
        <v>0</v>
      </c>
      <c r="P335" t="n">
        <v>0</v>
      </c>
      <c r="Q335" t="n">
        <v>0</v>
      </c>
      <c r="R335" s="2" t="inlineStr"/>
    </row>
    <row r="336" ht="15" customHeight="1">
      <c r="A336" t="inlineStr">
        <is>
          <t>A 41200-2021</t>
        </is>
      </c>
      <c r="B336" s="1" t="n">
        <v>44424</v>
      </c>
      <c r="C336" s="1" t="n">
        <v>45828</v>
      </c>
      <c r="D336" t="inlineStr">
        <is>
          <t>DALARNAS LÄN</t>
        </is>
      </c>
      <c r="E336" t="inlineStr">
        <is>
          <t>MALUNG-SÄLEN</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41238-2021</t>
        </is>
      </c>
      <c r="B337" s="1" t="n">
        <v>44424</v>
      </c>
      <c r="C337" s="1" t="n">
        <v>45828</v>
      </c>
      <c r="D337" t="inlineStr">
        <is>
          <t>DALARNAS LÄN</t>
        </is>
      </c>
      <c r="E337" t="inlineStr">
        <is>
          <t>MALUNG-SÄLEN</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41950-2021</t>
        </is>
      </c>
      <c r="B338" s="1" t="n">
        <v>44426</v>
      </c>
      <c r="C338" s="1" t="n">
        <v>45828</v>
      </c>
      <c r="D338" t="inlineStr">
        <is>
          <t>DALARNAS LÄN</t>
        </is>
      </c>
      <c r="E338" t="inlineStr">
        <is>
          <t>MALUNG-SÄLEN</t>
        </is>
      </c>
      <c r="G338" t="n">
        <v>0.5</v>
      </c>
      <c r="H338" t="n">
        <v>0</v>
      </c>
      <c r="I338" t="n">
        <v>0</v>
      </c>
      <c r="J338" t="n">
        <v>0</v>
      </c>
      <c r="K338" t="n">
        <v>0</v>
      </c>
      <c r="L338" t="n">
        <v>0</v>
      </c>
      <c r="M338" t="n">
        <v>0</v>
      </c>
      <c r="N338" t="n">
        <v>0</v>
      </c>
      <c r="O338" t="n">
        <v>0</v>
      </c>
      <c r="P338" t="n">
        <v>0</v>
      </c>
      <c r="Q338" t="n">
        <v>0</v>
      </c>
      <c r="R338" s="2" t="inlineStr"/>
    </row>
    <row r="339" ht="15" customHeight="1">
      <c r="A339" t="inlineStr">
        <is>
          <t>A 43672-2021</t>
        </is>
      </c>
      <c r="B339" s="1" t="n">
        <v>44433</v>
      </c>
      <c r="C339" s="1" t="n">
        <v>45828</v>
      </c>
      <c r="D339" t="inlineStr">
        <is>
          <t>DALARNAS LÄN</t>
        </is>
      </c>
      <c r="E339" t="inlineStr">
        <is>
          <t>MALUNG-SÄLEN</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44505-2021</t>
        </is>
      </c>
      <c r="B340" s="1" t="n">
        <v>44435</v>
      </c>
      <c r="C340" s="1" t="n">
        <v>45828</v>
      </c>
      <c r="D340" t="inlineStr">
        <is>
          <t>DALARNAS LÄN</t>
        </is>
      </c>
      <c r="E340" t="inlineStr">
        <is>
          <t>MALUNG-SÄLEN</t>
        </is>
      </c>
      <c r="G340" t="n">
        <v>0.3</v>
      </c>
      <c r="H340" t="n">
        <v>0</v>
      </c>
      <c r="I340" t="n">
        <v>0</v>
      </c>
      <c r="J340" t="n">
        <v>0</v>
      </c>
      <c r="K340" t="n">
        <v>0</v>
      </c>
      <c r="L340" t="n">
        <v>0</v>
      </c>
      <c r="M340" t="n">
        <v>0</v>
      </c>
      <c r="N340" t="n">
        <v>0</v>
      </c>
      <c r="O340" t="n">
        <v>0</v>
      </c>
      <c r="P340" t="n">
        <v>0</v>
      </c>
      <c r="Q340" t="n">
        <v>0</v>
      </c>
      <c r="R340" s="2" t="inlineStr"/>
    </row>
    <row r="341" ht="15" customHeight="1">
      <c r="A341" t="inlineStr">
        <is>
          <t>A 44860-2021</t>
        </is>
      </c>
      <c r="B341" s="1" t="n">
        <v>44438</v>
      </c>
      <c r="C341" s="1" t="n">
        <v>45828</v>
      </c>
      <c r="D341" t="inlineStr">
        <is>
          <t>DALARNAS LÄN</t>
        </is>
      </c>
      <c r="E341" t="inlineStr">
        <is>
          <t>MALUNG-SÄLEN</t>
        </is>
      </c>
      <c r="G341" t="n">
        <v>14.9</v>
      </c>
      <c r="H341" t="n">
        <v>0</v>
      </c>
      <c r="I341" t="n">
        <v>0</v>
      </c>
      <c r="J341" t="n">
        <v>0</v>
      </c>
      <c r="K341" t="n">
        <v>0</v>
      </c>
      <c r="L341" t="n">
        <v>0</v>
      </c>
      <c r="M341" t="n">
        <v>0</v>
      </c>
      <c r="N341" t="n">
        <v>0</v>
      </c>
      <c r="O341" t="n">
        <v>0</v>
      </c>
      <c r="P341" t="n">
        <v>0</v>
      </c>
      <c r="Q341" t="n">
        <v>0</v>
      </c>
      <c r="R341" s="2" t="inlineStr"/>
    </row>
    <row r="342" ht="15" customHeight="1">
      <c r="A342" t="inlineStr">
        <is>
          <t>A 44946-2021</t>
        </is>
      </c>
      <c r="B342" s="1" t="n">
        <v>44438</v>
      </c>
      <c r="C342" s="1" t="n">
        <v>45828</v>
      </c>
      <c r="D342" t="inlineStr">
        <is>
          <t>DALARNAS LÄN</t>
        </is>
      </c>
      <c r="E342" t="inlineStr">
        <is>
          <t>MALUNG-SÄLEN</t>
        </is>
      </c>
      <c r="G342" t="n">
        <v>2</v>
      </c>
      <c r="H342" t="n">
        <v>0</v>
      </c>
      <c r="I342" t="n">
        <v>0</v>
      </c>
      <c r="J342" t="n">
        <v>0</v>
      </c>
      <c r="K342" t="n">
        <v>0</v>
      </c>
      <c r="L342" t="n">
        <v>0</v>
      </c>
      <c r="M342" t="n">
        <v>0</v>
      </c>
      <c r="N342" t="n">
        <v>0</v>
      </c>
      <c r="O342" t="n">
        <v>0</v>
      </c>
      <c r="P342" t="n">
        <v>0</v>
      </c>
      <c r="Q342" t="n">
        <v>0</v>
      </c>
      <c r="R342" s="2" t="inlineStr"/>
    </row>
    <row r="343" ht="15" customHeight="1">
      <c r="A343" t="inlineStr">
        <is>
          <t>A 44867-2021</t>
        </is>
      </c>
      <c r="B343" s="1" t="n">
        <v>44438</v>
      </c>
      <c r="C343" s="1" t="n">
        <v>45828</v>
      </c>
      <c r="D343" t="inlineStr">
        <is>
          <t>DALARNAS LÄN</t>
        </is>
      </c>
      <c r="E343" t="inlineStr">
        <is>
          <t>MALUNG-SÄLEN</t>
        </is>
      </c>
      <c r="G343" t="n">
        <v>12.6</v>
      </c>
      <c r="H343" t="n">
        <v>0</v>
      </c>
      <c r="I343" t="n">
        <v>0</v>
      </c>
      <c r="J343" t="n">
        <v>0</v>
      </c>
      <c r="K343" t="n">
        <v>0</v>
      </c>
      <c r="L343" t="n">
        <v>0</v>
      </c>
      <c r="M343" t="n">
        <v>0</v>
      </c>
      <c r="N343" t="n">
        <v>0</v>
      </c>
      <c r="O343" t="n">
        <v>0</v>
      </c>
      <c r="P343" t="n">
        <v>0</v>
      </c>
      <c r="Q343" t="n">
        <v>0</v>
      </c>
      <c r="R343" s="2" t="inlineStr"/>
    </row>
    <row r="344" ht="15" customHeight="1">
      <c r="A344" t="inlineStr">
        <is>
          <t>A 45195-2021</t>
        </is>
      </c>
      <c r="B344" s="1" t="n">
        <v>44439</v>
      </c>
      <c r="C344" s="1" t="n">
        <v>45828</v>
      </c>
      <c r="D344" t="inlineStr">
        <is>
          <t>DALARNAS LÄN</t>
        </is>
      </c>
      <c r="E344" t="inlineStr">
        <is>
          <t>MALUNG-SÄLEN</t>
        </is>
      </c>
      <c r="G344" t="n">
        <v>1.7</v>
      </c>
      <c r="H344" t="n">
        <v>0</v>
      </c>
      <c r="I344" t="n">
        <v>0</v>
      </c>
      <c r="J344" t="n">
        <v>0</v>
      </c>
      <c r="K344" t="n">
        <v>0</v>
      </c>
      <c r="L344" t="n">
        <v>0</v>
      </c>
      <c r="M344" t="n">
        <v>0</v>
      </c>
      <c r="N344" t="n">
        <v>0</v>
      </c>
      <c r="O344" t="n">
        <v>0</v>
      </c>
      <c r="P344" t="n">
        <v>0</v>
      </c>
      <c r="Q344" t="n">
        <v>0</v>
      </c>
      <c r="R344" s="2" t="inlineStr"/>
    </row>
    <row r="345" ht="15" customHeight="1">
      <c r="A345" t="inlineStr">
        <is>
          <t>A 45586-2021</t>
        </is>
      </c>
      <c r="B345" s="1" t="n">
        <v>44440</v>
      </c>
      <c r="C345" s="1" t="n">
        <v>45828</v>
      </c>
      <c r="D345" t="inlineStr">
        <is>
          <t>DALARNAS LÄN</t>
        </is>
      </c>
      <c r="E345" t="inlineStr">
        <is>
          <t>MALUNG-SÄLEN</t>
        </is>
      </c>
      <c r="F345" t="inlineStr">
        <is>
          <t>Bergvik skog öst AB</t>
        </is>
      </c>
      <c r="G345" t="n">
        <v>6.6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45828</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47386-2021</t>
        </is>
      </c>
      <c r="B347" s="1" t="n">
        <v>44442</v>
      </c>
      <c r="C347" s="1" t="n">
        <v>45828</v>
      </c>
      <c r="D347" t="inlineStr">
        <is>
          <t>DALARNAS LÄN</t>
        </is>
      </c>
      <c r="E347" t="inlineStr">
        <is>
          <t>MALUNG-SÄLEN</t>
        </is>
      </c>
      <c r="G347" t="n">
        <v>4.3</v>
      </c>
      <c r="H347" t="n">
        <v>0</v>
      </c>
      <c r="I347" t="n">
        <v>0</v>
      </c>
      <c r="J347" t="n">
        <v>0</v>
      </c>
      <c r="K347" t="n">
        <v>0</v>
      </c>
      <c r="L347" t="n">
        <v>0</v>
      </c>
      <c r="M347" t="n">
        <v>0</v>
      </c>
      <c r="N347" t="n">
        <v>0</v>
      </c>
      <c r="O347" t="n">
        <v>0</v>
      </c>
      <c r="P347" t="n">
        <v>0</v>
      </c>
      <c r="Q347" t="n">
        <v>0</v>
      </c>
      <c r="R347" s="2" t="inlineStr"/>
    </row>
    <row r="348" ht="15" customHeight="1">
      <c r="A348" t="inlineStr">
        <is>
          <t>A 46604-2021</t>
        </is>
      </c>
      <c r="B348" s="1" t="n">
        <v>44445</v>
      </c>
      <c r="C348" s="1" t="n">
        <v>45828</v>
      </c>
      <c r="D348" t="inlineStr">
        <is>
          <t>DALARNAS LÄN</t>
        </is>
      </c>
      <c r="E348" t="inlineStr">
        <is>
          <t>MALUNG-SÄLEN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46820-2021</t>
        </is>
      </c>
      <c r="B349" s="1" t="n">
        <v>44445</v>
      </c>
      <c r="C349" s="1" t="n">
        <v>45828</v>
      </c>
      <c r="D349" t="inlineStr">
        <is>
          <t>DALARNAS LÄN</t>
        </is>
      </c>
      <c r="E349" t="inlineStr">
        <is>
          <t>MALUNG-SÄLEN</t>
        </is>
      </c>
      <c r="F349" t="inlineStr">
        <is>
          <t>Allmännings- och besparingsskogar</t>
        </is>
      </c>
      <c r="G349" t="n">
        <v>10.6</v>
      </c>
      <c r="H349" t="n">
        <v>0</v>
      </c>
      <c r="I349" t="n">
        <v>0</v>
      </c>
      <c r="J349" t="n">
        <v>0</v>
      </c>
      <c r="K349" t="n">
        <v>0</v>
      </c>
      <c r="L349" t="n">
        <v>0</v>
      </c>
      <c r="M349" t="n">
        <v>0</v>
      </c>
      <c r="N349" t="n">
        <v>0</v>
      </c>
      <c r="O349" t="n">
        <v>0</v>
      </c>
      <c r="P349" t="n">
        <v>0</v>
      </c>
      <c r="Q349" t="n">
        <v>0</v>
      </c>
      <c r="R349" s="2" t="inlineStr"/>
    </row>
    <row r="350" ht="15" customHeight="1">
      <c r="A350" t="inlineStr">
        <is>
          <t>A 46850-2021</t>
        </is>
      </c>
      <c r="B350" s="1" t="n">
        <v>44445</v>
      </c>
      <c r="C350" s="1" t="n">
        <v>45828</v>
      </c>
      <c r="D350" t="inlineStr">
        <is>
          <t>DALARNAS LÄN</t>
        </is>
      </c>
      <c r="E350" t="inlineStr">
        <is>
          <t>MALUNG-SÄLEN</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46809-2021</t>
        </is>
      </c>
      <c r="B351" s="1" t="n">
        <v>44445</v>
      </c>
      <c r="C351" s="1" t="n">
        <v>45828</v>
      </c>
      <c r="D351" t="inlineStr">
        <is>
          <t>DALARNAS LÄN</t>
        </is>
      </c>
      <c r="E351" t="inlineStr">
        <is>
          <t>MALUNG-SÄLEN</t>
        </is>
      </c>
      <c r="F351" t="inlineStr">
        <is>
          <t>Allmännings- och besparingsskogar</t>
        </is>
      </c>
      <c r="G351" t="n">
        <v>18.7</v>
      </c>
      <c r="H351" t="n">
        <v>0</v>
      </c>
      <c r="I351" t="n">
        <v>0</v>
      </c>
      <c r="J351" t="n">
        <v>0</v>
      </c>
      <c r="K351" t="n">
        <v>0</v>
      </c>
      <c r="L351" t="n">
        <v>0</v>
      </c>
      <c r="M351" t="n">
        <v>0</v>
      </c>
      <c r="N351" t="n">
        <v>0</v>
      </c>
      <c r="O351" t="n">
        <v>0</v>
      </c>
      <c r="P351" t="n">
        <v>0</v>
      </c>
      <c r="Q351" t="n">
        <v>0</v>
      </c>
      <c r="R351" s="2" t="inlineStr"/>
    </row>
    <row r="352" ht="15" customHeight="1">
      <c r="A352" t="inlineStr">
        <is>
          <t>A 46823-2021</t>
        </is>
      </c>
      <c r="B352" s="1" t="n">
        <v>44445</v>
      </c>
      <c r="C352" s="1" t="n">
        <v>45828</v>
      </c>
      <c r="D352" t="inlineStr">
        <is>
          <t>DALARNAS LÄN</t>
        </is>
      </c>
      <c r="E352" t="inlineStr">
        <is>
          <t>MALUNG-SÄLEN</t>
        </is>
      </c>
      <c r="F352" t="inlineStr">
        <is>
          <t>Allmännings- och besparingsskogar</t>
        </is>
      </c>
      <c r="G352" t="n">
        <v>26.2</v>
      </c>
      <c r="H352" t="n">
        <v>0</v>
      </c>
      <c r="I352" t="n">
        <v>0</v>
      </c>
      <c r="J352" t="n">
        <v>0</v>
      </c>
      <c r="K352" t="n">
        <v>0</v>
      </c>
      <c r="L352" t="n">
        <v>0</v>
      </c>
      <c r="M352" t="n">
        <v>0</v>
      </c>
      <c r="N352" t="n">
        <v>0</v>
      </c>
      <c r="O352" t="n">
        <v>0</v>
      </c>
      <c r="P352" t="n">
        <v>0</v>
      </c>
      <c r="Q352" t="n">
        <v>0</v>
      </c>
      <c r="R352" s="2" t="inlineStr"/>
    </row>
    <row r="353" ht="15" customHeight="1">
      <c r="A353" t="inlineStr">
        <is>
          <t>A 46845-2021</t>
        </is>
      </c>
      <c r="B353" s="1" t="n">
        <v>44445</v>
      </c>
      <c r="C353" s="1" t="n">
        <v>45828</v>
      </c>
      <c r="D353" t="inlineStr">
        <is>
          <t>DALARNAS LÄN</t>
        </is>
      </c>
      <c r="E353" t="inlineStr">
        <is>
          <t>MALUNG-SÄLEN</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47412-2021</t>
        </is>
      </c>
      <c r="B354" s="1" t="n">
        <v>44447</v>
      </c>
      <c r="C354" s="1" t="n">
        <v>45828</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47423-2021</t>
        </is>
      </c>
      <c r="B355" s="1" t="n">
        <v>44447</v>
      </c>
      <c r="C355" s="1" t="n">
        <v>45828</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47419-2021</t>
        </is>
      </c>
      <c r="B356" s="1" t="n">
        <v>44447</v>
      </c>
      <c r="C356" s="1" t="n">
        <v>45828</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49798-2021</t>
        </is>
      </c>
      <c r="B357" s="1" t="n">
        <v>44455</v>
      </c>
      <c r="C357" s="1" t="n">
        <v>45828</v>
      </c>
      <c r="D357" t="inlineStr">
        <is>
          <t>DALARNAS LÄN</t>
        </is>
      </c>
      <c r="E357" t="inlineStr">
        <is>
          <t>MALUNG-SÄLEN</t>
        </is>
      </c>
      <c r="G357" t="n">
        <v>6</v>
      </c>
      <c r="H357" t="n">
        <v>0</v>
      </c>
      <c r="I357" t="n">
        <v>0</v>
      </c>
      <c r="J357" t="n">
        <v>0</v>
      </c>
      <c r="K357" t="n">
        <v>0</v>
      </c>
      <c r="L357" t="n">
        <v>0</v>
      </c>
      <c r="M357" t="n">
        <v>0</v>
      </c>
      <c r="N357" t="n">
        <v>0</v>
      </c>
      <c r="O357" t="n">
        <v>0</v>
      </c>
      <c r="P357" t="n">
        <v>0</v>
      </c>
      <c r="Q357" t="n">
        <v>0</v>
      </c>
      <c r="R357" s="2" t="inlineStr"/>
    </row>
    <row r="358" ht="15" customHeight="1">
      <c r="A358" t="inlineStr">
        <is>
          <t>A 50881-2021</t>
        </is>
      </c>
      <c r="B358" s="1" t="n">
        <v>44460</v>
      </c>
      <c r="C358" s="1" t="n">
        <v>45828</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51533-2021</t>
        </is>
      </c>
      <c r="B359" s="1" t="n">
        <v>44462</v>
      </c>
      <c r="C359" s="1" t="n">
        <v>45828</v>
      </c>
      <c r="D359" t="inlineStr">
        <is>
          <t>DALARNAS LÄN</t>
        </is>
      </c>
      <c r="E359" t="inlineStr">
        <is>
          <t>MALUNG-SÄLEN</t>
        </is>
      </c>
      <c r="G359" t="n">
        <v>6.6</v>
      </c>
      <c r="H359" t="n">
        <v>0</v>
      </c>
      <c r="I359" t="n">
        <v>0</v>
      </c>
      <c r="J359" t="n">
        <v>0</v>
      </c>
      <c r="K359" t="n">
        <v>0</v>
      </c>
      <c r="L359" t="n">
        <v>0</v>
      </c>
      <c r="M359" t="n">
        <v>0</v>
      </c>
      <c r="N359" t="n">
        <v>0</v>
      </c>
      <c r="O359" t="n">
        <v>0</v>
      </c>
      <c r="P359" t="n">
        <v>0</v>
      </c>
      <c r="Q359" t="n">
        <v>0</v>
      </c>
      <c r="R359" s="2" t="inlineStr"/>
    </row>
    <row r="360" ht="15" customHeight="1">
      <c r="A360" t="inlineStr">
        <is>
          <t>A 52071-2021</t>
        </is>
      </c>
      <c r="B360" s="1" t="n">
        <v>44462</v>
      </c>
      <c r="C360" s="1" t="n">
        <v>45828</v>
      </c>
      <c r="D360" t="inlineStr">
        <is>
          <t>DALARNAS LÄN</t>
        </is>
      </c>
      <c r="E360" t="inlineStr">
        <is>
          <t>MALUNG-SÄLEN</t>
        </is>
      </c>
      <c r="G360" t="n">
        <v>0.5</v>
      </c>
      <c r="H360" t="n">
        <v>0</v>
      </c>
      <c r="I360" t="n">
        <v>0</v>
      </c>
      <c r="J360" t="n">
        <v>0</v>
      </c>
      <c r="K360" t="n">
        <v>0</v>
      </c>
      <c r="L360" t="n">
        <v>0</v>
      </c>
      <c r="M360" t="n">
        <v>0</v>
      </c>
      <c r="N360" t="n">
        <v>0</v>
      </c>
      <c r="O360" t="n">
        <v>0</v>
      </c>
      <c r="P360" t="n">
        <v>0</v>
      </c>
      <c r="Q360" t="n">
        <v>0</v>
      </c>
      <c r="R360" s="2" t="inlineStr"/>
    </row>
    <row r="361" ht="15" customHeight="1">
      <c r="A361" t="inlineStr">
        <is>
          <t>A 52100-2021</t>
        </is>
      </c>
      <c r="B361" s="1" t="n">
        <v>44462</v>
      </c>
      <c r="C361" s="1" t="n">
        <v>45828</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53210-2021</t>
        </is>
      </c>
      <c r="B362" s="1" t="n">
        <v>44468</v>
      </c>
      <c r="C362" s="1" t="n">
        <v>45828</v>
      </c>
      <c r="D362" t="inlineStr">
        <is>
          <t>DALARNAS LÄN</t>
        </is>
      </c>
      <c r="E362" t="inlineStr">
        <is>
          <t>MALUNG-SÄLEN</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54219-2021</t>
        </is>
      </c>
      <c r="B363" s="1" t="n">
        <v>44469</v>
      </c>
      <c r="C363" s="1" t="n">
        <v>45828</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54551-2021</t>
        </is>
      </c>
      <c r="B364" s="1" t="n">
        <v>44473</v>
      </c>
      <c r="C364" s="1" t="n">
        <v>45828</v>
      </c>
      <c r="D364" t="inlineStr">
        <is>
          <t>DALARNAS LÄN</t>
        </is>
      </c>
      <c r="E364" t="inlineStr">
        <is>
          <t>MALUNG-SÄLEN</t>
        </is>
      </c>
      <c r="G364" t="n">
        <v>0.3</v>
      </c>
      <c r="H364" t="n">
        <v>0</v>
      </c>
      <c r="I364" t="n">
        <v>0</v>
      </c>
      <c r="J364" t="n">
        <v>0</v>
      </c>
      <c r="K364" t="n">
        <v>0</v>
      </c>
      <c r="L364" t="n">
        <v>0</v>
      </c>
      <c r="M364" t="n">
        <v>0</v>
      </c>
      <c r="N364" t="n">
        <v>0</v>
      </c>
      <c r="O364" t="n">
        <v>0</v>
      </c>
      <c r="P364" t="n">
        <v>0</v>
      </c>
      <c r="Q364" t="n">
        <v>0</v>
      </c>
      <c r="R364" s="2" t="inlineStr"/>
    </row>
    <row r="365" ht="15" customHeight="1">
      <c r="A365" t="inlineStr">
        <is>
          <t>A 55514-2021</t>
        </is>
      </c>
      <c r="B365" s="1" t="n">
        <v>44475</v>
      </c>
      <c r="C365" s="1" t="n">
        <v>45828</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55971-2021</t>
        </is>
      </c>
      <c r="B366" s="1" t="n">
        <v>44477</v>
      </c>
      <c r="C366" s="1" t="n">
        <v>45828</v>
      </c>
      <c r="D366" t="inlineStr">
        <is>
          <t>DALARNAS LÄN</t>
        </is>
      </c>
      <c r="E366" t="inlineStr">
        <is>
          <t>MALUNG-SÄLEN</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58899-2021</t>
        </is>
      </c>
      <c r="B367" s="1" t="n">
        <v>44489</v>
      </c>
      <c r="C367" s="1" t="n">
        <v>45828</v>
      </c>
      <c r="D367" t="inlineStr">
        <is>
          <t>DALARNAS LÄN</t>
        </is>
      </c>
      <c r="E367" t="inlineStr">
        <is>
          <t>MALUNG-SÄLEN</t>
        </is>
      </c>
      <c r="G367" t="n">
        <v>3.2</v>
      </c>
      <c r="H367" t="n">
        <v>0</v>
      </c>
      <c r="I367" t="n">
        <v>0</v>
      </c>
      <c r="J367" t="n">
        <v>0</v>
      </c>
      <c r="K367" t="n">
        <v>0</v>
      </c>
      <c r="L367" t="n">
        <v>0</v>
      </c>
      <c r="M367" t="n">
        <v>0</v>
      </c>
      <c r="N367" t="n">
        <v>0</v>
      </c>
      <c r="O367" t="n">
        <v>0</v>
      </c>
      <c r="P367" t="n">
        <v>0</v>
      </c>
      <c r="Q367" t="n">
        <v>0</v>
      </c>
      <c r="R367" s="2" t="inlineStr"/>
    </row>
    <row r="368" ht="15" customHeight="1">
      <c r="A368" t="inlineStr">
        <is>
          <t>A 59424-2021</t>
        </is>
      </c>
      <c r="B368" s="1" t="n">
        <v>44491</v>
      </c>
      <c r="C368" s="1" t="n">
        <v>45828</v>
      </c>
      <c r="D368" t="inlineStr">
        <is>
          <t>DALARNAS LÄN</t>
        </is>
      </c>
      <c r="E368" t="inlineStr">
        <is>
          <t>MALUNG-SÄLEN</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59725-2021</t>
        </is>
      </c>
      <c r="B369" s="1" t="n">
        <v>44494</v>
      </c>
      <c r="C369" s="1" t="n">
        <v>45828</v>
      </c>
      <c r="D369" t="inlineStr">
        <is>
          <t>DALARNAS LÄN</t>
        </is>
      </c>
      <c r="E369" t="inlineStr">
        <is>
          <t>MALUNG-SÄLEN</t>
        </is>
      </c>
      <c r="F369" t="inlineStr">
        <is>
          <t>Kommuner</t>
        </is>
      </c>
      <c r="G369" t="n">
        <v>3.5</v>
      </c>
      <c r="H369" t="n">
        <v>0</v>
      </c>
      <c r="I369" t="n">
        <v>0</v>
      </c>
      <c r="J369" t="n">
        <v>0</v>
      </c>
      <c r="K369" t="n">
        <v>0</v>
      </c>
      <c r="L369" t="n">
        <v>0</v>
      </c>
      <c r="M369" t="n">
        <v>0</v>
      </c>
      <c r="N369" t="n">
        <v>0</v>
      </c>
      <c r="O369" t="n">
        <v>0</v>
      </c>
      <c r="P369" t="n">
        <v>0</v>
      </c>
      <c r="Q369" t="n">
        <v>0</v>
      </c>
      <c r="R369" s="2" t="inlineStr"/>
    </row>
    <row r="370" ht="15" customHeight="1">
      <c r="A370" t="inlineStr">
        <is>
          <t>A 60230-2021</t>
        </is>
      </c>
      <c r="B370" s="1" t="n">
        <v>44495</v>
      </c>
      <c r="C370" s="1" t="n">
        <v>45828</v>
      </c>
      <c r="D370" t="inlineStr">
        <is>
          <t>DALARNAS LÄN</t>
        </is>
      </c>
      <c r="E370" t="inlineStr">
        <is>
          <t>MALUNG-SÄLEN</t>
        </is>
      </c>
      <c r="G370" t="n">
        <v>4</v>
      </c>
      <c r="H370" t="n">
        <v>0</v>
      </c>
      <c r="I370" t="n">
        <v>0</v>
      </c>
      <c r="J370" t="n">
        <v>0</v>
      </c>
      <c r="K370" t="n">
        <v>0</v>
      </c>
      <c r="L370" t="n">
        <v>0</v>
      </c>
      <c r="M370" t="n">
        <v>0</v>
      </c>
      <c r="N370" t="n">
        <v>0</v>
      </c>
      <c r="O370" t="n">
        <v>0</v>
      </c>
      <c r="P370" t="n">
        <v>0</v>
      </c>
      <c r="Q370" t="n">
        <v>0</v>
      </c>
      <c r="R370" s="2" t="inlineStr"/>
    </row>
    <row r="371" ht="15" customHeight="1">
      <c r="A371" t="inlineStr">
        <is>
          <t>A 60962-2021</t>
        </is>
      </c>
      <c r="B371" s="1" t="n">
        <v>44497</v>
      </c>
      <c r="C371" s="1" t="n">
        <v>45828</v>
      </c>
      <c r="D371" t="inlineStr">
        <is>
          <t>DALARNAS LÄN</t>
        </is>
      </c>
      <c r="E371" t="inlineStr">
        <is>
          <t>MALUNG-SÄLEN</t>
        </is>
      </c>
      <c r="F371" t="inlineStr">
        <is>
          <t>Bergvik skog öst AB</t>
        </is>
      </c>
      <c r="G371" t="n">
        <v>6.3</v>
      </c>
      <c r="H371" t="n">
        <v>0</v>
      </c>
      <c r="I371" t="n">
        <v>0</v>
      </c>
      <c r="J371" t="n">
        <v>0</v>
      </c>
      <c r="K371" t="n">
        <v>0</v>
      </c>
      <c r="L371" t="n">
        <v>0</v>
      </c>
      <c r="M371" t="n">
        <v>0</v>
      </c>
      <c r="N371" t="n">
        <v>0</v>
      </c>
      <c r="O371" t="n">
        <v>0</v>
      </c>
      <c r="P371" t="n">
        <v>0</v>
      </c>
      <c r="Q371" t="n">
        <v>0</v>
      </c>
      <c r="R371" s="2" t="inlineStr"/>
    </row>
    <row r="372" ht="15" customHeight="1">
      <c r="A372" t="inlineStr">
        <is>
          <t>A 61978-2021</t>
        </is>
      </c>
      <c r="B372" s="1" t="n">
        <v>44501</v>
      </c>
      <c r="C372" s="1" t="n">
        <v>45828</v>
      </c>
      <c r="D372" t="inlineStr">
        <is>
          <t>DALARNAS LÄN</t>
        </is>
      </c>
      <c r="E372" t="inlineStr">
        <is>
          <t>MALUNG-SÄLEN</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61974-2021</t>
        </is>
      </c>
      <c r="B373" s="1" t="n">
        <v>44501</v>
      </c>
      <c r="C373" s="1" t="n">
        <v>45828</v>
      </c>
      <c r="D373" t="inlineStr">
        <is>
          <t>DALARNAS LÄN</t>
        </is>
      </c>
      <c r="E373" t="inlineStr">
        <is>
          <t>MALUNG-SÄLEN</t>
        </is>
      </c>
      <c r="F373" t="inlineStr">
        <is>
          <t>Allmännings- och besparingsskogar</t>
        </is>
      </c>
      <c r="G373" t="n">
        <v>12.5</v>
      </c>
      <c r="H373" t="n">
        <v>0</v>
      </c>
      <c r="I373" t="n">
        <v>0</v>
      </c>
      <c r="J373" t="n">
        <v>0</v>
      </c>
      <c r="K373" t="n">
        <v>0</v>
      </c>
      <c r="L373" t="n">
        <v>0</v>
      </c>
      <c r="M373" t="n">
        <v>0</v>
      </c>
      <c r="N373" t="n">
        <v>0</v>
      </c>
      <c r="O373" t="n">
        <v>0</v>
      </c>
      <c r="P373" t="n">
        <v>0</v>
      </c>
      <c r="Q373" t="n">
        <v>0</v>
      </c>
      <c r="R373" s="2" t="inlineStr"/>
    </row>
    <row r="374" ht="15" customHeight="1">
      <c r="A374" t="inlineStr">
        <is>
          <t>A 61969-2021</t>
        </is>
      </c>
      <c r="B374" s="1" t="n">
        <v>44501</v>
      </c>
      <c r="C374" s="1" t="n">
        <v>45828</v>
      </c>
      <c r="D374" t="inlineStr">
        <is>
          <t>DALARNAS LÄN</t>
        </is>
      </c>
      <c r="E374" t="inlineStr">
        <is>
          <t>MALUNG-SÄLEN</t>
        </is>
      </c>
      <c r="F374" t="inlineStr">
        <is>
          <t>Allmännings- och besparingsskogar</t>
        </is>
      </c>
      <c r="G374" t="n">
        <v>16.5</v>
      </c>
      <c r="H374" t="n">
        <v>0</v>
      </c>
      <c r="I374" t="n">
        <v>0</v>
      </c>
      <c r="J374" t="n">
        <v>0</v>
      </c>
      <c r="K374" t="n">
        <v>0</v>
      </c>
      <c r="L374" t="n">
        <v>0</v>
      </c>
      <c r="M374" t="n">
        <v>0</v>
      </c>
      <c r="N374" t="n">
        <v>0</v>
      </c>
      <c r="O374" t="n">
        <v>0</v>
      </c>
      <c r="P374" t="n">
        <v>0</v>
      </c>
      <c r="Q374" t="n">
        <v>0</v>
      </c>
      <c r="R374" s="2" t="inlineStr"/>
    </row>
    <row r="375" ht="15" customHeight="1">
      <c r="A375" t="inlineStr">
        <is>
          <t>A 61993-2021</t>
        </is>
      </c>
      <c r="B375" s="1" t="n">
        <v>44501</v>
      </c>
      <c r="C375" s="1" t="n">
        <v>45828</v>
      </c>
      <c r="D375" t="inlineStr">
        <is>
          <t>DALARNAS LÄN</t>
        </is>
      </c>
      <c r="E375" t="inlineStr">
        <is>
          <t>MALUNG-SÄLEN</t>
        </is>
      </c>
      <c r="F375" t="inlineStr">
        <is>
          <t>Allmännings- och besparingsskogar</t>
        </is>
      </c>
      <c r="G375" t="n">
        <v>21</v>
      </c>
      <c r="H375" t="n">
        <v>0</v>
      </c>
      <c r="I375" t="n">
        <v>0</v>
      </c>
      <c r="J375" t="n">
        <v>0</v>
      </c>
      <c r="K375" t="n">
        <v>0</v>
      </c>
      <c r="L375" t="n">
        <v>0</v>
      </c>
      <c r="M375" t="n">
        <v>0</v>
      </c>
      <c r="N375" t="n">
        <v>0</v>
      </c>
      <c r="O375" t="n">
        <v>0</v>
      </c>
      <c r="P375" t="n">
        <v>0</v>
      </c>
      <c r="Q375" t="n">
        <v>0</v>
      </c>
      <c r="R375" s="2" t="inlineStr"/>
    </row>
    <row r="376" ht="15" customHeight="1">
      <c r="A376" t="inlineStr">
        <is>
          <t>A 61962-2021</t>
        </is>
      </c>
      <c r="B376" s="1" t="n">
        <v>44501</v>
      </c>
      <c r="C376" s="1" t="n">
        <v>45828</v>
      </c>
      <c r="D376" t="inlineStr">
        <is>
          <t>DALARNAS LÄN</t>
        </is>
      </c>
      <c r="E376" t="inlineStr">
        <is>
          <t>MALUNG-SÄLEN</t>
        </is>
      </c>
      <c r="F376" t="inlineStr">
        <is>
          <t>Allmännings- och besparingsskogar</t>
        </is>
      </c>
      <c r="G376" t="n">
        <v>1.5</v>
      </c>
      <c r="H376" t="n">
        <v>0</v>
      </c>
      <c r="I376" t="n">
        <v>0</v>
      </c>
      <c r="J376" t="n">
        <v>0</v>
      </c>
      <c r="K376" t="n">
        <v>0</v>
      </c>
      <c r="L376" t="n">
        <v>0</v>
      </c>
      <c r="M376" t="n">
        <v>0</v>
      </c>
      <c r="N376" t="n">
        <v>0</v>
      </c>
      <c r="O376" t="n">
        <v>0</v>
      </c>
      <c r="P376" t="n">
        <v>0</v>
      </c>
      <c r="Q376" t="n">
        <v>0</v>
      </c>
      <c r="R376" s="2" t="inlineStr"/>
    </row>
    <row r="377" ht="15" customHeight="1">
      <c r="A377" t="inlineStr">
        <is>
          <t>A 61990-2021</t>
        </is>
      </c>
      <c r="B377" s="1" t="n">
        <v>44501</v>
      </c>
      <c r="C377" s="1" t="n">
        <v>45828</v>
      </c>
      <c r="D377" t="inlineStr">
        <is>
          <t>DALARNAS LÄN</t>
        </is>
      </c>
      <c r="E377" t="inlineStr">
        <is>
          <t>MALUNG-SÄLEN</t>
        </is>
      </c>
      <c r="F377" t="inlineStr">
        <is>
          <t>Allmännings- och besparingsskogar</t>
        </is>
      </c>
      <c r="G377" t="n">
        <v>33</v>
      </c>
      <c r="H377" t="n">
        <v>0</v>
      </c>
      <c r="I377" t="n">
        <v>0</v>
      </c>
      <c r="J377" t="n">
        <v>0</v>
      </c>
      <c r="K377" t="n">
        <v>0</v>
      </c>
      <c r="L377" t="n">
        <v>0</v>
      </c>
      <c r="M377" t="n">
        <v>0</v>
      </c>
      <c r="N377" t="n">
        <v>0</v>
      </c>
      <c r="O377" t="n">
        <v>0</v>
      </c>
      <c r="P377" t="n">
        <v>0</v>
      </c>
      <c r="Q377" t="n">
        <v>0</v>
      </c>
      <c r="R377" s="2" t="inlineStr"/>
    </row>
    <row r="378" ht="15" customHeight="1">
      <c r="A378" t="inlineStr">
        <is>
          <t>A 62253-2021</t>
        </is>
      </c>
      <c r="B378" s="1" t="n">
        <v>44503</v>
      </c>
      <c r="C378" s="1" t="n">
        <v>45828</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62830-2021</t>
        </is>
      </c>
      <c r="B379" s="1" t="n">
        <v>44504</v>
      </c>
      <c r="C379" s="1" t="n">
        <v>45828</v>
      </c>
      <c r="D379" t="inlineStr">
        <is>
          <t>DALARNAS LÄN</t>
        </is>
      </c>
      <c r="E379" t="inlineStr">
        <is>
          <t>MALUNG-SÄLEN</t>
        </is>
      </c>
      <c r="F379" t="inlineStr">
        <is>
          <t>Bergvik skog öst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63270-2021</t>
        </is>
      </c>
      <c r="B380" s="1" t="n">
        <v>44508</v>
      </c>
      <c r="C380" s="1" t="n">
        <v>45828</v>
      </c>
      <c r="D380" t="inlineStr">
        <is>
          <t>DALARNAS LÄN</t>
        </is>
      </c>
      <c r="E380" t="inlineStr">
        <is>
          <t>MALUNG-SÄLEN</t>
        </is>
      </c>
      <c r="G380" t="n">
        <v>4.8</v>
      </c>
      <c r="H380" t="n">
        <v>0</v>
      </c>
      <c r="I380" t="n">
        <v>0</v>
      </c>
      <c r="J380" t="n">
        <v>0</v>
      </c>
      <c r="K380" t="n">
        <v>0</v>
      </c>
      <c r="L380" t="n">
        <v>0</v>
      </c>
      <c r="M380" t="n">
        <v>0</v>
      </c>
      <c r="N380" t="n">
        <v>0</v>
      </c>
      <c r="O380" t="n">
        <v>0</v>
      </c>
      <c r="P380" t="n">
        <v>0</v>
      </c>
      <c r="Q380" t="n">
        <v>0</v>
      </c>
      <c r="R380" s="2" t="inlineStr"/>
    </row>
    <row r="381" ht="15" customHeight="1">
      <c r="A381" t="inlineStr">
        <is>
          <t>A 63277-2021</t>
        </is>
      </c>
      <c r="B381" s="1" t="n">
        <v>44508</v>
      </c>
      <c r="C381" s="1" t="n">
        <v>45828</v>
      </c>
      <c r="D381" t="inlineStr">
        <is>
          <t>DALARNAS LÄN</t>
        </is>
      </c>
      <c r="E381" t="inlineStr">
        <is>
          <t>MALUNG-SÄLEN</t>
        </is>
      </c>
      <c r="G381" t="n">
        <v>1.6</v>
      </c>
      <c r="H381" t="n">
        <v>0</v>
      </c>
      <c r="I381" t="n">
        <v>0</v>
      </c>
      <c r="J381" t="n">
        <v>0</v>
      </c>
      <c r="K381" t="n">
        <v>0</v>
      </c>
      <c r="L381" t="n">
        <v>0</v>
      </c>
      <c r="M381" t="n">
        <v>0</v>
      </c>
      <c r="N381" t="n">
        <v>0</v>
      </c>
      <c r="O381" t="n">
        <v>0</v>
      </c>
      <c r="P381" t="n">
        <v>0</v>
      </c>
      <c r="Q381" t="n">
        <v>0</v>
      </c>
      <c r="R381" s="2" t="inlineStr"/>
    </row>
    <row r="382" ht="15" customHeight="1">
      <c r="A382" t="inlineStr">
        <is>
          <t>A 64481-2021</t>
        </is>
      </c>
      <c r="B382" s="1" t="n">
        <v>44511</v>
      </c>
      <c r="C382" s="1" t="n">
        <v>45828</v>
      </c>
      <c r="D382" t="inlineStr">
        <is>
          <t>DALARNAS LÄN</t>
        </is>
      </c>
      <c r="E382" t="inlineStr">
        <is>
          <t>MALUNG-SÄLEN</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64577-2021</t>
        </is>
      </c>
      <c r="B383" s="1" t="n">
        <v>44511</v>
      </c>
      <c r="C383" s="1" t="n">
        <v>45828</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64581-2021</t>
        </is>
      </c>
      <c r="B384" s="1" t="n">
        <v>44511</v>
      </c>
      <c r="C384" s="1" t="n">
        <v>45828</v>
      </c>
      <c r="D384" t="inlineStr">
        <is>
          <t>DALARNAS LÄN</t>
        </is>
      </c>
      <c r="E384" t="inlineStr">
        <is>
          <t>MALUNG-SÄLEN</t>
        </is>
      </c>
      <c r="G384" t="n">
        <v>0.4</v>
      </c>
      <c r="H384" t="n">
        <v>0</v>
      </c>
      <c r="I384" t="n">
        <v>0</v>
      </c>
      <c r="J384" t="n">
        <v>0</v>
      </c>
      <c r="K384" t="n">
        <v>0</v>
      </c>
      <c r="L384" t="n">
        <v>0</v>
      </c>
      <c r="M384" t="n">
        <v>0</v>
      </c>
      <c r="N384" t="n">
        <v>0</v>
      </c>
      <c r="O384" t="n">
        <v>0</v>
      </c>
      <c r="P384" t="n">
        <v>0</v>
      </c>
      <c r="Q384" t="n">
        <v>0</v>
      </c>
      <c r="R384" s="2" t="inlineStr"/>
    </row>
    <row r="385" ht="15" customHeight="1">
      <c r="A385" t="inlineStr">
        <is>
          <t>A 64739-2021</t>
        </is>
      </c>
      <c r="B385" s="1" t="n">
        <v>44512</v>
      </c>
      <c r="C385" s="1" t="n">
        <v>45828</v>
      </c>
      <c r="D385" t="inlineStr">
        <is>
          <t>DALARNAS LÄN</t>
        </is>
      </c>
      <c r="E385" t="inlineStr">
        <is>
          <t>MALUNG-SÄLEN</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64787-2021</t>
        </is>
      </c>
      <c r="B386" s="1" t="n">
        <v>44512</v>
      </c>
      <c r="C386" s="1" t="n">
        <v>45828</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64781-2021</t>
        </is>
      </c>
      <c r="B387" s="1" t="n">
        <v>44512</v>
      </c>
      <c r="C387" s="1" t="n">
        <v>45828</v>
      </c>
      <c r="D387" t="inlineStr">
        <is>
          <t>DALARNAS LÄN</t>
        </is>
      </c>
      <c r="E387" t="inlineStr">
        <is>
          <t>MALUNG-SÄLEN</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64863-2021</t>
        </is>
      </c>
      <c r="B388" s="1" t="n">
        <v>44512</v>
      </c>
      <c r="C388" s="1" t="n">
        <v>45828</v>
      </c>
      <c r="D388" t="inlineStr">
        <is>
          <t>DALARNAS LÄN</t>
        </is>
      </c>
      <c r="E388" t="inlineStr">
        <is>
          <t>MALUNG-SÄLEN</t>
        </is>
      </c>
      <c r="F388" t="inlineStr">
        <is>
          <t>Allmännings- och besparingsskogar</t>
        </is>
      </c>
      <c r="G388" t="n">
        <v>0.3</v>
      </c>
      <c r="H388" t="n">
        <v>0</v>
      </c>
      <c r="I388" t="n">
        <v>0</v>
      </c>
      <c r="J388" t="n">
        <v>0</v>
      </c>
      <c r="K388" t="n">
        <v>0</v>
      </c>
      <c r="L388" t="n">
        <v>0</v>
      </c>
      <c r="M388" t="n">
        <v>0</v>
      </c>
      <c r="N388" t="n">
        <v>0</v>
      </c>
      <c r="O388" t="n">
        <v>0</v>
      </c>
      <c r="P388" t="n">
        <v>0</v>
      </c>
      <c r="Q388" t="n">
        <v>0</v>
      </c>
      <c r="R388" s="2" t="inlineStr"/>
    </row>
    <row r="389" ht="15" customHeight="1">
      <c r="A389" t="inlineStr">
        <is>
          <t>A 64896-2021</t>
        </is>
      </c>
      <c r="B389" s="1" t="n">
        <v>44512</v>
      </c>
      <c r="C389" s="1" t="n">
        <v>45828</v>
      </c>
      <c r="D389" t="inlineStr">
        <is>
          <t>DALARNAS LÄN</t>
        </is>
      </c>
      <c r="E389" t="inlineStr">
        <is>
          <t>MALUNG-SÄLEN</t>
        </is>
      </c>
      <c r="G389" t="n">
        <v>13</v>
      </c>
      <c r="H389" t="n">
        <v>0</v>
      </c>
      <c r="I389" t="n">
        <v>0</v>
      </c>
      <c r="J389" t="n">
        <v>0</v>
      </c>
      <c r="K389" t="n">
        <v>0</v>
      </c>
      <c r="L389" t="n">
        <v>0</v>
      </c>
      <c r="M389" t="n">
        <v>0</v>
      </c>
      <c r="N389" t="n">
        <v>0</v>
      </c>
      <c r="O389" t="n">
        <v>0</v>
      </c>
      <c r="P389" t="n">
        <v>0</v>
      </c>
      <c r="Q389" t="n">
        <v>0</v>
      </c>
      <c r="R389" s="2" t="inlineStr"/>
    </row>
    <row r="390" ht="15" customHeight="1">
      <c r="A390" t="inlineStr">
        <is>
          <t>A 65252-2021</t>
        </is>
      </c>
      <c r="B390" s="1" t="n">
        <v>44515</v>
      </c>
      <c r="C390" s="1" t="n">
        <v>45828</v>
      </c>
      <c r="D390" t="inlineStr">
        <is>
          <t>DALARNAS LÄN</t>
        </is>
      </c>
      <c r="E390" t="inlineStr">
        <is>
          <t>MALUNG-SÄLEN</t>
        </is>
      </c>
      <c r="F390" t="inlineStr">
        <is>
          <t>Allmännings- och besparingsskogar</t>
        </is>
      </c>
      <c r="G390" t="n">
        <v>0.7</v>
      </c>
      <c r="H390" t="n">
        <v>0</v>
      </c>
      <c r="I390" t="n">
        <v>0</v>
      </c>
      <c r="J390" t="n">
        <v>0</v>
      </c>
      <c r="K390" t="n">
        <v>0</v>
      </c>
      <c r="L390" t="n">
        <v>0</v>
      </c>
      <c r="M390" t="n">
        <v>0</v>
      </c>
      <c r="N390" t="n">
        <v>0</v>
      </c>
      <c r="O390" t="n">
        <v>0</v>
      </c>
      <c r="P390" t="n">
        <v>0</v>
      </c>
      <c r="Q390" t="n">
        <v>0</v>
      </c>
      <c r="R390" s="2" t="inlineStr"/>
    </row>
    <row r="391" ht="15" customHeight="1">
      <c r="A391" t="inlineStr">
        <is>
          <t>A 65260-2021</t>
        </is>
      </c>
      <c r="B391" s="1" t="n">
        <v>44515</v>
      </c>
      <c r="C391" s="1" t="n">
        <v>45828</v>
      </c>
      <c r="D391" t="inlineStr">
        <is>
          <t>DALARNAS LÄN</t>
        </is>
      </c>
      <c r="E391" t="inlineStr">
        <is>
          <t>MALUNG-SÄLEN</t>
        </is>
      </c>
      <c r="F391" t="inlineStr">
        <is>
          <t>Allmännings- och besparingsskogar</t>
        </is>
      </c>
      <c r="G391" t="n">
        <v>19.1</v>
      </c>
      <c r="H391" t="n">
        <v>0</v>
      </c>
      <c r="I391" t="n">
        <v>0</v>
      </c>
      <c r="J391" t="n">
        <v>0</v>
      </c>
      <c r="K391" t="n">
        <v>0</v>
      </c>
      <c r="L391" t="n">
        <v>0</v>
      </c>
      <c r="M391" t="n">
        <v>0</v>
      </c>
      <c r="N391" t="n">
        <v>0</v>
      </c>
      <c r="O391" t="n">
        <v>0</v>
      </c>
      <c r="P391" t="n">
        <v>0</v>
      </c>
      <c r="Q391" t="n">
        <v>0</v>
      </c>
      <c r="R391" s="2" t="inlineStr"/>
    </row>
    <row r="392" ht="15" customHeight="1">
      <c r="A392" t="inlineStr">
        <is>
          <t>A 65266-2021</t>
        </is>
      </c>
      <c r="B392" s="1" t="n">
        <v>44515</v>
      </c>
      <c r="C392" s="1" t="n">
        <v>45828</v>
      </c>
      <c r="D392" t="inlineStr">
        <is>
          <t>DALARNAS LÄN</t>
        </is>
      </c>
      <c r="E392" t="inlineStr">
        <is>
          <t>MALUNG-SÄLEN</t>
        </is>
      </c>
      <c r="F392" t="inlineStr">
        <is>
          <t>Allmännings- och besparingsskogar</t>
        </is>
      </c>
      <c r="G392" t="n">
        <v>33.6</v>
      </c>
      <c r="H392" t="n">
        <v>0</v>
      </c>
      <c r="I392" t="n">
        <v>0</v>
      </c>
      <c r="J392" t="n">
        <v>0</v>
      </c>
      <c r="K392" t="n">
        <v>0</v>
      </c>
      <c r="L392" t="n">
        <v>0</v>
      </c>
      <c r="M392" t="n">
        <v>0</v>
      </c>
      <c r="N392" t="n">
        <v>0</v>
      </c>
      <c r="O392" t="n">
        <v>0</v>
      </c>
      <c r="P392" t="n">
        <v>0</v>
      </c>
      <c r="Q392" t="n">
        <v>0</v>
      </c>
      <c r="R392" s="2" t="inlineStr"/>
    </row>
    <row r="393" ht="15" customHeight="1">
      <c r="A393" t="inlineStr">
        <is>
          <t>A 65275-2021</t>
        </is>
      </c>
      <c r="B393" s="1" t="n">
        <v>44515</v>
      </c>
      <c r="C393" s="1" t="n">
        <v>45828</v>
      </c>
      <c r="D393" t="inlineStr">
        <is>
          <t>DALARNAS LÄN</t>
        </is>
      </c>
      <c r="E393" t="inlineStr">
        <is>
          <t>MALUNG-SÄLEN</t>
        </is>
      </c>
      <c r="F393" t="inlineStr">
        <is>
          <t>Allmännings- och besparingsskogar</t>
        </is>
      </c>
      <c r="G393" t="n">
        <v>19</v>
      </c>
      <c r="H393" t="n">
        <v>0</v>
      </c>
      <c r="I393" t="n">
        <v>0</v>
      </c>
      <c r="J393" t="n">
        <v>0</v>
      </c>
      <c r="K393" t="n">
        <v>0</v>
      </c>
      <c r="L393" t="n">
        <v>0</v>
      </c>
      <c r="M393" t="n">
        <v>0</v>
      </c>
      <c r="N393" t="n">
        <v>0</v>
      </c>
      <c r="O393" t="n">
        <v>0</v>
      </c>
      <c r="P393" t="n">
        <v>0</v>
      </c>
      <c r="Q393" t="n">
        <v>0</v>
      </c>
      <c r="R393" s="2" t="inlineStr"/>
    </row>
    <row r="394" ht="15" customHeight="1">
      <c r="A394" t="inlineStr">
        <is>
          <t>A 65465-2021</t>
        </is>
      </c>
      <c r="B394" s="1" t="n">
        <v>44516</v>
      </c>
      <c r="C394" s="1" t="n">
        <v>45828</v>
      </c>
      <c r="D394" t="inlineStr">
        <is>
          <t>DALARNAS LÄN</t>
        </is>
      </c>
      <c r="E394" t="inlineStr">
        <is>
          <t>MALUNG-SÄLEN</t>
        </is>
      </c>
      <c r="G394" t="n">
        <v>3.1</v>
      </c>
      <c r="H394" t="n">
        <v>0</v>
      </c>
      <c r="I394" t="n">
        <v>0</v>
      </c>
      <c r="J394" t="n">
        <v>0</v>
      </c>
      <c r="K394" t="n">
        <v>0</v>
      </c>
      <c r="L394" t="n">
        <v>0</v>
      </c>
      <c r="M394" t="n">
        <v>0</v>
      </c>
      <c r="N394" t="n">
        <v>0</v>
      </c>
      <c r="O394" t="n">
        <v>0</v>
      </c>
      <c r="P394" t="n">
        <v>0</v>
      </c>
      <c r="Q394" t="n">
        <v>0</v>
      </c>
      <c r="R394" s="2" t="inlineStr"/>
    </row>
    <row r="395" ht="15" customHeight="1">
      <c r="A395" t="inlineStr">
        <is>
          <t>A 67310-2021</t>
        </is>
      </c>
      <c r="B395" s="1" t="n">
        <v>44523</v>
      </c>
      <c r="C395" s="1" t="n">
        <v>45828</v>
      </c>
      <c r="D395" t="inlineStr">
        <is>
          <t>DALARNAS LÄN</t>
        </is>
      </c>
      <c r="E395" t="inlineStr">
        <is>
          <t>MALUNG-SÄLEN</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67320-2021</t>
        </is>
      </c>
      <c r="B396" s="1" t="n">
        <v>44523</v>
      </c>
      <c r="C396" s="1" t="n">
        <v>45828</v>
      </c>
      <c r="D396" t="inlineStr">
        <is>
          <t>DALARNAS LÄN</t>
        </is>
      </c>
      <c r="E396" t="inlineStr">
        <is>
          <t>MALUNG-SÄLEN</t>
        </is>
      </c>
      <c r="G396" t="n">
        <v>0.7</v>
      </c>
      <c r="H396" t="n">
        <v>0</v>
      </c>
      <c r="I396" t="n">
        <v>0</v>
      </c>
      <c r="J396" t="n">
        <v>0</v>
      </c>
      <c r="K396" t="n">
        <v>0</v>
      </c>
      <c r="L396" t="n">
        <v>0</v>
      </c>
      <c r="M396" t="n">
        <v>0</v>
      </c>
      <c r="N396" t="n">
        <v>0</v>
      </c>
      <c r="O396" t="n">
        <v>0</v>
      </c>
      <c r="P396" t="n">
        <v>0</v>
      </c>
      <c r="Q396" t="n">
        <v>0</v>
      </c>
      <c r="R396" s="2" t="inlineStr"/>
    </row>
    <row r="397" ht="15" customHeight="1">
      <c r="A397" t="inlineStr">
        <is>
          <t>A 68141-2021</t>
        </is>
      </c>
      <c r="B397" s="1" t="n">
        <v>44526</v>
      </c>
      <c r="C397" s="1" t="n">
        <v>45828</v>
      </c>
      <c r="D397" t="inlineStr">
        <is>
          <t>DALARNAS LÄN</t>
        </is>
      </c>
      <c r="E397" t="inlineStr">
        <is>
          <t>MALUNG-SÄLEN</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68430-2021</t>
        </is>
      </c>
      <c r="B398" s="1" t="n">
        <v>44529</v>
      </c>
      <c r="C398" s="1" t="n">
        <v>45828</v>
      </c>
      <c r="D398" t="inlineStr">
        <is>
          <t>DALARNAS LÄN</t>
        </is>
      </c>
      <c r="E398" t="inlineStr">
        <is>
          <t>MALUNG-SÄLEN</t>
        </is>
      </c>
      <c r="G398" t="n">
        <v>4.9</v>
      </c>
      <c r="H398" t="n">
        <v>0</v>
      </c>
      <c r="I398" t="n">
        <v>0</v>
      </c>
      <c r="J398" t="n">
        <v>0</v>
      </c>
      <c r="K398" t="n">
        <v>0</v>
      </c>
      <c r="L398" t="n">
        <v>0</v>
      </c>
      <c r="M398" t="n">
        <v>0</v>
      </c>
      <c r="N398" t="n">
        <v>0</v>
      </c>
      <c r="O398" t="n">
        <v>0</v>
      </c>
      <c r="P398" t="n">
        <v>0</v>
      </c>
      <c r="Q398" t="n">
        <v>0</v>
      </c>
      <c r="R398" s="2" t="inlineStr"/>
    </row>
    <row r="399" ht="15" customHeight="1">
      <c r="A399" t="inlineStr">
        <is>
          <t>A 69381-2021</t>
        </is>
      </c>
      <c r="B399" s="1" t="n">
        <v>44531</v>
      </c>
      <c r="C399" s="1" t="n">
        <v>45828</v>
      </c>
      <c r="D399" t="inlineStr">
        <is>
          <t>DALARNAS LÄN</t>
        </is>
      </c>
      <c r="E399" t="inlineStr">
        <is>
          <t>MALUNG-SÄLEN</t>
        </is>
      </c>
      <c r="F399" t="inlineStr">
        <is>
          <t>Allmännings- och besparingsskogar</t>
        </is>
      </c>
      <c r="G399" t="n">
        <v>20.1</v>
      </c>
      <c r="H399" t="n">
        <v>0</v>
      </c>
      <c r="I399" t="n">
        <v>0</v>
      </c>
      <c r="J399" t="n">
        <v>0</v>
      </c>
      <c r="K399" t="n">
        <v>0</v>
      </c>
      <c r="L399" t="n">
        <v>0</v>
      </c>
      <c r="M399" t="n">
        <v>0</v>
      </c>
      <c r="N399" t="n">
        <v>0</v>
      </c>
      <c r="O399" t="n">
        <v>0</v>
      </c>
      <c r="P399" t="n">
        <v>0</v>
      </c>
      <c r="Q399" t="n">
        <v>0</v>
      </c>
      <c r="R399" s="2" t="inlineStr"/>
    </row>
    <row r="400" ht="15" customHeight="1">
      <c r="A400" t="inlineStr">
        <is>
          <t>A 70052-2021</t>
        </is>
      </c>
      <c r="B400" s="1" t="n">
        <v>44533</v>
      </c>
      <c r="C400" s="1" t="n">
        <v>45828</v>
      </c>
      <c r="D400" t="inlineStr">
        <is>
          <t>DALARNAS LÄN</t>
        </is>
      </c>
      <c r="E400" t="inlineStr">
        <is>
          <t>MALUNG-SÄLEN</t>
        </is>
      </c>
      <c r="G400" t="n">
        <v>1.6</v>
      </c>
      <c r="H400" t="n">
        <v>0</v>
      </c>
      <c r="I400" t="n">
        <v>0</v>
      </c>
      <c r="J400" t="n">
        <v>0</v>
      </c>
      <c r="K400" t="n">
        <v>0</v>
      </c>
      <c r="L400" t="n">
        <v>0</v>
      </c>
      <c r="M400" t="n">
        <v>0</v>
      </c>
      <c r="N400" t="n">
        <v>0</v>
      </c>
      <c r="O400" t="n">
        <v>0</v>
      </c>
      <c r="P400" t="n">
        <v>0</v>
      </c>
      <c r="Q400" t="n">
        <v>0</v>
      </c>
      <c r="R400" s="2" t="inlineStr"/>
    </row>
    <row r="401" ht="15" customHeight="1">
      <c r="A401" t="inlineStr">
        <is>
          <t>A 70647-2021</t>
        </is>
      </c>
      <c r="B401" s="1" t="n">
        <v>44537</v>
      </c>
      <c r="C401" s="1" t="n">
        <v>45828</v>
      </c>
      <c r="D401" t="inlineStr">
        <is>
          <t>DALARNAS LÄN</t>
        </is>
      </c>
      <c r="E401" t="inlineStr">
        <is>
          <t>MALUNG-SÄLEN</t>
        </is>
      </c>
      <c r="G401" t="n">
        <v>8.1</v>
      </c>
      <c r="H401" t="n">
        <v>0</v>
      </c>
      <c r="I401" t="n">
        <v>0</v>
      </c>
      <c r="J401" t="n">
        <v>0</v>
      </c>
      <c r="K401" t="n">
        <v>0</v>
      </c>
      <c r="L401" t="n">
        <v>0</v>
      </c>
      <c r="M401" t="n">
        <v>0</v>
      </c>
      <c r="N401" t="n">
        <v>0</v>
      </c>
      <c r="O401" t="n">
        <v>0</v>
      </c>
      <c r="P401" t="n">
        <v>0</v>
      </c>
      <c r="Q401" t="n">
        <v>0</v>
      </c>
      <c r="R401" s="2" t="inlineStr"/>
    </row>
    <row r="402" ht="15" customHeight="1">
      <c r="A402" t="inlineStr">
        <is>
          <t>A 71859-2021</t>
        </is>
      </c>
      <c r="B402" s="1" t="n">
        <v>44540</v>
      </c>
      <c r="C402" s="1" t="n">
        <v>45828</v>
      </c>
      <c r="D402" t="inlineStr">
        <is>
          <t>DALARNAS LÄN</t>
        </is>
      </c>
      <c r="E402" t="inlineStr">
        <is>
          <t>MALUNG-SÄLEN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72039-2021</t>
        </is>
      </c>
      <c r="B403" s="1" t="n">
        <v>44540</v>
      </c>
      <c r="C403" s="1" t="n">
        <v>45828</v>
      </c>
      <c r="D403" t="inlineStr">
        <is>
          <t>DALARNAS LÄN</t>
        </is>
      </c>
      <c r="E403" t="inlineStr">
        <is>
          <t>MALUNG-SÄLEN</t>
        </is>
      </c>
      <c r="F403" t="inlineStr">
        <is>
          <t>Allmännings- och besparingsskogar</t>
        </is>
      </c>
      <c r="G403" t="n">
        <v>10.2</v>
      </c>
      <c r="H403" t="n">
        <v>0</v>
      </c>
      <c r="I403" t="n">
        <v>0</v>
      </c>
      <c r="J403" t="n">
        <v>0</v>
      </c>
      <c r="K403" t="n">
        <v>0</v>
      </c>
      <c r="L403" t="n">
        <v>0</v>
      </c>
      <c r="M403" t="n">
        <v>0</v>
      </c>
      <c r="N403" t="n">
        <v>0</v>
      </c>
      <c r="O403" t="n">
        <v>0</v>
      </c>
      <c r="P403" t="n">
        <v>0</v>
      </c>
      <c r="Q403" t="n">
        <v>0</v>
      </c>
      <c r="R403" s="2" t="inlineStr"/>
    </row>
    <row r="404" ht="15" customHeight="1">
      <c r="A404" t="inlineStr">
        <is>
          <t>A 72154-2021</t>
        </is>
      </c>
      <c r="B404" s="1" t="n">
        <v>44544</v>
      </c>
      <c r="C404" s="1" t="n">
        <v>45828</v>
      </c>
      <c r="D404" t="inlineStr">
        <is>
          <t>DALARNAS LÄN</t>
        </is>
      </c>
      <c r="E404" t="inlineStr">
        <is>
          <t>MALUNG-SÄLEN</t>
        </is>
      </c>
      <c r="G404" t="n">
        <v>0.3</v>
      </c>
      <c r="H404" t="n">
        <v>0</v>
      </c>
      <c r="I404" t="n">
        <v>0</v>
      </c>
      <c r="J404" t="n">
        <v>0</v>
      </c>
      <c r="K404" t="n">
        <v>0</v>
      </c>
      <c r="L404" t="n">
        <v>0</v>
      </c>
      <c r="M404" t="n">
        <v>0</v>
      </c>
      <c r="N404" t="n">
        <v>0</v>
      </c>
      <c r="O404" t="n">
        <v>0</v>
      </c>
      <c r="P404" t="n">
        <v>0</v>
      </c>
      <c r="Q404" t="n">
        <v>0</v>
      </c>
      <c r="R404" s="2" t="inlineStr"/>
    </row>
    <row r="405" ht="15" customHeight="1">
      <c r="A405" t="inlineStr">
        <is>
          <t>A 72643-2021</t>
        </is>
      </c>
      <c r="B405" s="1" t="n">
        <v>44546</v>
      </c>
      <c r="C405" s="1" t="n">
        <v>45828</v>
      </c>
      <c r="D405" t="inlineStr">
        <is>
          <t>DALARNAS LÄN</t>
        </is>
      </c>
      <c r="E405" t="inlineStr">
        <is>
          <t>MALUNG-SÄLEN</t>
        </is>
      </c>
      <c r="G405" t="n">
        <v>5.6</v>
      </c>
      <c r="H405" t="n">
        <v>0</v>
      </c>
      <c r="I405" t="n">
        <v>0</v>
      </c>
      <c r="J405" t="n">
        <v>0</v>
      </c>
      <c r="K405" t="n">
        <v>0</v>
      </c>
      <c r="L405" t="n">
        <v>0</v>
      </c>
      <c r="M405" t="n">
        <v>0</v>
      </c>
      <c r="N405" t="n">
        <v>0</v>
      </c>
      <c r="O405" t="n">
        <v>0</v>
      </c>
      <c r="P405" t="n">
        <v>0</v>
      </c>
      <c r="Q405" t="n">
        <v>0</v>
      </c>
      <c r="R405" s="2" t="inlineStr"/>
    </row>
    <row r="406" ht="15" customHeight="1">
      <c r="A406" t="inlineStr">
        <is>
          <t>A 72828-2021</t>
        </is>
      </c>
      <c r="B406" s="1" t="n">
        <v>44547</v>
      </c>
      <c r="C406" s="1" t="n">
        <v>45828</v>
      </c>
      <c r="D406" t="inlineStr">
        <is>
          <t>DALARNAS LÄN</t>
        </is>
      </c>
      <c r="E406" t="inlineStr">
        <is>
          <t>MALUNG-SÄLEN</t>
        </is>
      </c>
      <c r="G406" t="n">
        <v>12.3</v>
      </c>
      <c r="H406" t="n">
        <v>0</v>
      </c>
      <c r="I406" t="n">
        <v>0</v>
      </c>
      <c r="J406" t="n">
        <v>0</v>
      </c>
      <c r="K406" t="n">
        <v>0</v>
      </c>
      <c r="L406" t="n">
        <v>0</v>
      </c>
      <c r="M406" t="n">
        <v>0</v>
      </c>
      <c r="N406" t="n">
        <v>0</v>
      </c>
      <c r="O406" t="n">
        <v>0</v>
      </c>
      <c r="P406" t="n">
        <v>0</v>
      </c>
      <c r="Q406" t="n">
        <v>0</v>
      </c>
      <c r="R406" s="2" t="inlineStr"/>
    </row>
    <row r="407" ht="15" customHeight="1">
      <c r="A407" t="inlineStr">
        <is>
          <t>A 73175-2021</t>
        </is>
      </c>
      <c r="B407" s="1" t="n">
        <v>44550</v>
      </c>
      <c r="C407" s="1" t="n">
        <v>45828</v>
      </c>
      <c r="D407" t="inlineStr">
        <is>
          <t>DALARNAS LÄN</t>
        </is>
      </c>
      <c r="E407" t="inlineStr">
        <is>
          <t>MALUNG-SÄLEN</t>
        </is>
      </c>
      <c r="G407" t="n">
        <v>2.7</v>
      </c>
      <c r="H407" t="n">
        <v>0</v>
      </c>
      <c r="I407" t="n">
        <v>0</v>
      </c>
      <c r="J407" t="n">
        <v>0</v>
      </c>
      <c r="K407" t="n">
        <v>0</v>
      </c>
      <c r="L407" t="n">
        <v>0</v>
      </c>
      <c r="M407" t="n">
        <v>0</v>
      </c>
      <c r="N407" t="n">
        <v>0</v>
      </c>
      <c r="O407" t="n">
        <v>0</v>
      </c>
      <c r="P407" t="n">
        <v>0</v>
      </c>
      <c r="Q407" t="n">
        <v>0</v>
      </c>
      <c r="R407" s="2" t="inlineStr"/>
    </row>
    <row r="408" ht="15" customHeight="1">
      <c r="A408" t="inlineStr">
        <is>
          <t>A 73681-2021</t>
        </is>
      </c>
      <c r="B408" s="1" t="n">
        <v>44552</v>
      </c>
      <c r="C408" s="1" t="n">
        <v>45828</v>
      </c>
      <c r="D408" t="inlineStr">
        <is>
          <t>DALARNAS LÄN</t>
        </is>
      </c>
      <c r="E408" t="inlineStr">
        <is>
          <t>MALUNG-SÄLEN</t>
        </is>
      </c>
      <c r="F408" t="inlineStr">
        <is>
          <t>Bergvik skog väst AB</t>
        </is>
      </c>
      <c r="G408" t="n">
        <v>6.2</v>
      </c>
      <c r="H408" t="n">
        <v>0</v>
      </c>
      <c r="I408" t="n">
        <v>0</v>
      </c>
      <c r="J408" t="n">
        <v>0</v>
      </c>
      <c r="K408" t="n">
        <v>0</v>
      </c>
      <c r="L408" t="n">
        <v>0</v>
      </c>
      <c r="M408" t="n">
        <v>0</v>
      </c>
      <c r="N408" t="n">
        <v>0</v>
      </c>
      <c r="O408" t="n">
        <v>0</v>
      </c>
      <c r="P408" t="n">
        <v>0</v>
      </c>
      <c r="Q408" t="n">
        <v>0</v>
      </c>
      <c r="R408" s="2" t="inlineStr"/>
    </row>
    <row r="409" ht="15" customHeight="1">
      <c r="A409" t="inlineStr">
        <is>
          <t>A 74092-2021</t>
        </is>
      </c>
      <c r="B409" s="1" t="n">
        <v>44557</v>
      </c>
      <c r="C409" s="1" t="n">
        <v>45828</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3110-2022</t>
        </is>
      </c>
      <c r="B410" s="1" t="n">
        <v>44582</v>
      </c>
      <c r="C410" s="1" t="n">
        <v>45828</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4070-2022</t>
        </is>
      </c>
      <c r="B411" s="1" t="n">
        <v>44588</v>
      </c>
      <c r="C411" s="1" t="n">
        <v>45828</v>
      </c>
      <c r="D411" t="inlineStr">
        <is>
          <t>DALARNAS LÄN</t>
        </is>
      </c>
      <c r="E411" t="inlineStr">
        <is>
          <t>MALUNG-SÄLEN</t>
        </is>
      </c>
      <c r="G411" t="n">
        <v>4.3</v>
      </c>
      <c r="H411" t="n">
        <v>0</v>
      </c>
      <c r="I411" t="n">
        <v>0</v>
      </c>
      <c r="J411" t="n">
        <v>0</v>
      </c>
      <c r="K411" t="n">
        <v>0</v>
      </c>
      <c r="L411" t="n">
        <v>0</v>
      </c>
      <c r="M411" t="n">
        <v>0</v>
      </c>
      <c r="N411" t="n">
        <v>0</v>
      </c>
      <c r="O411" t="n">
        <v>0</v>
      </c>
      <c r="P411" t="n">
        <v>0</v>
      </c>
      <c r="Q411" t="n">
        <v>0</v>
      </c>
      <c r="R411" s="2" t="inlineStr"/>
    </row>
    <row r="412" ht="15" customHeight="1">
      <c r="A412" t="inlineStr">
        <is>
          <t>A 4420-2022</t>
        </is>
      </c>
      <c r="B412" s="1" t="n">
        <v>44589</v>
      </c>
      <c r="C412" s="1" t="n">
        <v>45828</v>
      </c>
      <c r="D412" t="inlineStr">
        <is>
          <t>DALARNAS LÄN</t>
        </is>
      </c>
      <c r="E412" t="inlineStr">
        <is>
          <t>MALUNG-SÄLEN</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6106-2022</t>
        </is>
      </c>
      <c r="B413" s="1" t="n">
        <v>44599</v>
      </c>
      <c r="C413" s="1" t="n">
        <v>45828</v>
      </c>
      <c r="D413" t="inlineStr">
        <is>
          <t>DALARNAS LÄN</t>
        </is>
      </c>
      <c r="E413" t="inlineStr">
        <is>
          <t>MALUNG-SÄLEN</t>
        </is>
      </c>
      <c r="G413" t="n">
        <v>9</v>
      </c>
      <c r="H413" t="n">
        <v>0</v>
      </c>
      <c r="I413" t="n">
        <v>0</v>
      </c>
      <c r="J413" t="n">
        <v>0</v>
      </c>
      <c r="K413" t="n">
        <v>0</v>
      </c>
      <c r="L413" t="n">
        <v>0</v>
      </c>
      <c r="M413" t="n">
        <v>0</v>
      </c>
      <c r="N413" t="n">
        <v>0</v>
      </c>
      <c r="O413" t="n">
        <v>0</v>
      </c>
      <c r="P413" t="n">
        <v>0</v>
      </c>
      <c r="Q413" t="n">
        <v>0</v>
      </c>
      <c r="R413" s="2" t="inlineStr"/>
    </row>
    <row r="414" ht="15" customHeight="1">
      <c r="A414" t="inlineStr">
        <is>
          <t>A 6362-2022</t>
        </is>
      </c>
      <c r="B414" s="1" t="n">
        <v>44600</v>
      </c>
      <c r="C414" s="1" t="n">
        <v>45828</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6712-2022</t>
        </is>
      </c>
      <c r="B415" s="1" t="n">
        <v>44602</v>
      </c>
      <c r="C415" s="1" t="n">
        <v>45828</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6945-2022</t>
        </is>
      </c>
      <c r="B416" s="1" t="n">
        <v>44603</v>
      </c>
      <c r="C416" s="1" t="n">
        <v>45828</v>
      </c>
      <c r="D416" t="inlineStr">
        <is>
          <t>DALARNAS LÄN</t>
        </is>
      </c>
      <c r="E416" t="inlineStr">
        <is>
          <t>MALUNG-SÄLEN</t>
        </is>
      </c>
      <c r="G416" t="n">
        <v>2.9</v>
      </c>
      <c r="H416" t="n">
        <v>0</v>
      </c>
      <c r="I416" t="n">
        <v>0</v>
      </c>
      <c r="J416" t="n">
        <v>0</v>
      </c>
      <c r="K416" t="n">
        <v>0</v>
      </c>
      <c r="L416" t="n">
        <v>0</v>
      </c>
      <c r="M416" t="n">
        <v>0</v>
      </c>
      <c r="N416" t="n">
        <v>0</v>
      </c>
      <c r="O416" t="n">
        <v>0</v>
      </c>
      <c r="P416" t="n">
        <v>0</v>
      </c>
      <c r="Q416" t="n">
        <v>0</v>
      </c>
      <c r="R416" s="2" t="inlineStr"/>
    </row>
    <row r="417" ht="15" customHeight="1">
      <c r="A417" t="inlineStr">
        <is>
          <t>A 7081-2022</t>
        </is>
      </c>
      <c r="B417" s="1" t="n">
        <v>44603</v>
      </c>
      <c r="C417" s="1" t="n">
        <v>45828</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8474-2022</t>
        </is>
      </c>
      <c r="B418" s="1" t="n">
        <v>44613</v>
      </c>
      <c r="C418" s="1" t="n">
        <v>45828</v>
      </c>
      <c r="D418" t="inlineStr">
        <is>
          <t>DALARNAS LÄN</t>
        </is>
      </c>
      <c r="E418" t="inlineStr">
        <is>
          <t>MALUNG-SÄLEN</t>
        </is>
      </c>
      <c r="G418" t="n">
        <v>0.8</v>
      </c>
      <c r="H418" t="n">
        <v>0</v>
      </c>
      <c r="I418" t="n">
        <v>0</v>
      </c>
      <c r="J418" t="n">
        <v>0</v>
      </c>
      <c r="K418" t="n">
        <v>0</v>
      </c>
      <c r="L418" t="n">
        <v>0</v>
      </c>
      <c r="M418" t="n">
        <v>0</v>
      </c>
      <c r="N418" t="n">
        <v>0</v>
      </c>
      <c r="O418" t="n">
        <v>0</v>
      </c>
      <c r="P418" t="n">
        <v>0</v>
      </c>
      <c r="Q418" t="n">
        <v>0</v>
      </c>
      <c r="R418" s="2" t="inlineStr"/>
    </row>
    <row r="419" ht="15" customHeight="1">
      <c r="A419" t="inlineStr">
        <is>
          <t>A 9299-2022</t>
        </is>
      </c>
      <c r="B419" s="1" t="n">
        <v>44616</v>
      </c>
      <c r="C419" s="1" t="n">
        <v>45828</v>
      </c>
      <c r="D419" t="inlineStr">
        <is>
          <t>DALARNAS LÄN</t>
        </is>
      </c>
      <c r="E419" t="inlineStr">
        <is>
          <t>MALUNG-SÄLEN</t>
        </is>
      </c>
      <c r="G419" t="n">
        <v>4.7</v>
      </c>
      <c r="H419" t="n">
        <v>0</v>
      </c>
      <c r="I419" t="n">
        <v>0</v>
      </c>
      <c r="J419" t="n">
        <v>0</v>
      </c>
      <c r="K419" t="n">
        <v>0</v>
      </c>
      <c r="L419" t="n">
        <v>0</v>
      </c>
      <c r="M419" t="n">
        <v>0</v>
      </c>
      <c r="N419" t="n">
        <v>0</v>
      </c>
      <c r="O419" t="n">
        <v>0</v>
      </c>
      <c r="P419" t="n">
        <v>0</v>
      </c>
      <c r="Q419" t="n">
        <v>0</v>
      </c>
      <c r="R419" s="2" t="inlineStr"/>
    </row>
    <row r="420" ht="15" customHeight="1">
      <c r="A420" t="inlineStr">
        <is>
          <t>A 9304-2022</t>
        </is>
      </c>
      <c r="B420" s="1" t="n">
        <v>44616</v>
      </c>
      <c r="C420" s="1" t="n">
        <v>45828</v>
      </c>
      <c r="D420" t="inlineStr">
        <is>
          <t>DALARNAS LÄN</t>
        </is>
      </c>
      <c r="E420" t="inlineStr">
        <is>
          <t>MALUNG-SÄLEN</t>
        </is>
      </c>
      <c r="G420" t="n">
        <v>2.6</v>
      </c>
      <c r="H420" t="n">
        <v>0</v>
      </c>
      <c r="I420" t="n">
        <v>0</v>
      </c>
      <c r="J420" t="n">
        <v>0</v>
      </c>
      <c r="K420" t="n">
        <v>0</v>
      </c>
      <c r="L420" t="n">
        <v>0</v>
      </c>
      <c r="M420" t="n">
        <v>0</v>
      </c>
      <c r="N420" t="n">
        <v>0</v>
      </c>
      <c r="O420" t="n">
        <v>0</v>
      </c>
      <c r="P420" t="n">
        <v>0</v>
      </c>
      <c r="Q420" t="n">
        <v>0</v>
      </c>
      <c r="R420" s="2" t="inlineStr"/>
    </row>
    <row r="421" ht="15" customHeight="1">
      <c r="A421" t="inlineStr">
        <is>
          <t>A 10386-2022</t>
        </is>
      </c>
      <c r="B421" s="1" t="n">
        <v>44623</v>
      </c>
      <c r="C421" s="1" t="n">
        <v>45828</v>
      </c>
      <c r="D421" t="inlineStr">
        <is>
          <t>DALARNAS LÄN</t>
        </is>
      </c>
      <c r="E421" t="inlineStr">
        <is>
          <t>MALUNG-SÄLEN</t>
        </is>
      </c>
      <c r="G421" t="n">
        <v>3.5</v>
      </c>
      <c r="H421" t="n">
        <v>0</v>
      </c>
      <c r="I421" t="n">
        <v>0</v>
      </c>
      <c r="J421" t="n">
        <v>0</v>
      </c>
      <c r="K421" t="n">
        <v>0</v>
      </c>
      <c r="L421" t="n">
        <v>0</v>
      </c>
      <c r="M421" t="n">
        <v>0</v>
      </c>
      <c r="N421" t="n">
        <v>0</v>
      </c>
      <c r="O421" t="n">
        <v>0</v>
      </c>
      <c r="P421" t="n">
        <v>0</v>
      </c>
      <c r="Q421" t="n">
        <v>0</v>
      </c>
      <c r="R421" s="2" t="inlineStr"/>
    </row>
    <row r="422" ht="15" customHeight="1">
      <c r="A422" t="inlineStr">
        <is>
          <t>A 10457-2022</t>
        </is>
      </c>
      <c r="B422" s="1" t="n">
        <v>44623</v>
      </c>
      <c r="C422" s="1" t="n">
        <v>45828</v>
      </c>
      <c r="D422" t="inlineStr">
        <is>
          <t>DALARNAS LÄN</t>
        </is>
      </c>
      <c r="E422" t="inlineStr">
        <is>
          <t>MALUNG-SÄLEN</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11542-2022</t>
        </is>
      </c>
      <c r="B423" s="1" t="n">
        <v>44631</v>
      </c>
      <c r="C423" s="1" t="n">
        <v>45828</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12345-2022</t>
        </is>
      </c>
      <c r="B424" s="1" t="n">
        <v>44637</v>
      </c>
      <c r="C424" s="1" t="n">
        <v>45828</v>
      </c>
      <c r="D424" t="inlineStr">
        <is>
          <t>DALARNAS LÄN</t>
        </is>
      </c>
      <c r="E424" t="inlineStr">
        <is>
          <t>MALUNG-SÄLEN</t>
        </is>
      </c>
      <c r="F424" t="inlineStr">
        <is>
          <t>Allmännings- och besparingsskogar</t>
        </is>
      </c>
      <c r="G424" t="n">
        <v>17.5</v>
      </c>
      <c r="H424" t="n">
        <v>0</v>
      </c>
      <c r="I424" t="n">
        <v>0</v>
      </c>
      <c r="J424" t="n">
        <v>0</v>
      </c>
      <c r="K424" t="n">
        <v>0</v>
      </c>
      <c r="L424" t="n">
        <v>0</v>
      </c>
      <c r="M424" t="n">
        <v>0</v>
      </c>
      <c r="N424" t="n">
        <v>0</v>
      </c>
      <c r="O424" t="n">
        <v>0</v>
      </c>
      <c r="P424" t="n">
        <v>0</v>
      </c>
      <c r="Q424" t="n">
        <v>0</v>
      </c>
      <c r="R424" s="2" t="inlineStr"/>
    </row>
    <row r="425" ht="15" customHeight="1">
      <c r="A425" t="inlineStr">
        <is>
          <t>A 12842-2022</t>
        </is>
      </c>
      <c r="B425" s="1" t="n">
        <v>44641</v>
      </c>
      <c r="C425" s="1" t="n">
        <v>45828</v>
      </c>
      <c r="D425" t="inlineStr">
        <is>
          <t>DALARNAS LÄN</t>
        </is>
      </c>
      <c r="E425" t="inlineStr">
        <is>
          <t>MALUNG-SÄLEN</t>
        </is>
      </c>
      <c r="F425" t="inlineStr">
        <is>
          <t>Allmännings- och besparingsskogar</t>
        </is>
      </c>
      <c r="G425" t="n">
        <v>35.1</v>
      </c>
      <c r="H425" t="n">
        <v>0</v>
      </c>
      <c r="I425" t="n">
        <v>0</v>
      </c>
      <c r="J425" t="n">
        <v>0</v>
      </c>
      <c r="K425" t="n">
        <v>0</v>
      </c>
      <c r="L425" t="n">
        <v>0</v>
      </c>
      <c r="M425" t="n">
        <v>0</v>
      </c>
      <c r="N425" t="n">
        <v>0</v>
      </c>
      <c r="O425" t="n">
        <v>0</v>
      </c>
      <c r="P425" t="n">
        <v>0</v>
      </c>
      <c r="Q425" t="n">
        <v>0</v>
      </c>
      <c r="R425" s="2" t="inlineStr"/>
    </row>
    <row r="426" ht="15" customHeight="1">
      <c r="A426" t="inlineStr">
        <is>
          <t>A 12966-2022</t>
        </is>
      </c>
      <c r="B426" s="1" t="n">
        <v>44643</v>
      </c>
      <c r="C426" s="1" t="n">
        <v>45828</v>
      </c>
      <c r="D426" t="inlineStr">
        <is>
          <t>DALARNAS LÄN</t>
        </is>
      </c>
      <c r="E426" t="inlineStr">
        <is>
          <t>MALUNG-SÄLEN</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13230-2022</t>
        </is>
      </c>
      <c r="B427" s="1" t="n">
        <v>44644</v>
      </c>
      <c r="C427" s="1" t="n">
        <v>45828</v>
      </c>
      <c r="D427" t="inlineStr">
        <is>
          <t>DALARNAS LÄN</t>
        </is>
      </c>
      <c r="E427" t="inlineStr">
        <is>
          <t>MALUNG-SÄLEN</t>
        </is>
      </c>
      <c r="G427" t="n">
        <v>22.5</v>
      </c>
      <c r="H427" t="n">
        <v>0</v>
      </c>
      <c r="I427" t="n">
        <v>0</v>
      </c>
      <c r="J427" t="n">
        <v>0</v>
      </c>
      <c r="K427" t="n">
        <v>0</v>
      </c>
      <c r="L427" t="n">
        <v>0</v>
      </c>
      <c r="M427" t="n">
        <v>0</v>
      </c>
      <c r="N427" t="n">
        <v>0</v>
      </c>
      <c r="O427" t="n">
        <v>0</v>
      </c>
      <c r="P427" t="n">
        <v>0</v>
      </c>
      <c r="Q427" t="n">
        <v>0</v>
      </c>
      <c r="R427" s="2" t="inlineStr"/>
    </row>
    <row r="428" ht="15" customHeight="1">
      <c r="A428" t="inlineStr">
        <is>
          <t>A 13247-2022</t>
        </is>
      </c>
      <c r="B428" s="1" t="n">
        <v>44644</v>
      </c>
      <c r="C428" s="1" t="n">
        <v>45828</v>
      </c>
      <c r="D428" t="inlineStr">
        <is>
          <t>DALARNAS LÄN</t>
        </is>
      </c>
      <c r="E428" t="inlineStr">
        <is>
          <t>MALUNG-SÄLEN</t>
        </is>
      </c>
      <c r="G428" t="n">
        <v>10</v>
      </c>
      <c r="H428" t="n">
        <v>0</v>
      </c>
      <c r="I428" t="n">
        <v>0</v>
      </c>
      <c r="J428" t="n">
        <v>0</v>
      </c>
      <c r="K428" t="n">
        <v>0</v>
      </c>
      <c r="L428" t="n">
        <v>0</v>
      </c>
      <c r="M428" t="n">
        <v>0</v>
      </c>
      <c r="N428" t="n">
        <v>0</v>
      </c>
      <c r="O428" t="n">
        <v>0</v>
      </c>
      <c r="P428" t="n">
        <v>0</v>
      </c>
      <c r="Q428" t="n">
        <v>0</v>
      </c>
      <c r="R428" s="2" t="inlineStr"/>
    </row>
    <row r="429" ht="15" customHeight="1">
      <c r="A429" t="inlineStr">
        <is>
          <t>A 16380-2022</t>
        </is>
      </c>
      <c r="B429" s="1" t="n">
        <v>44671</v>
      </c>
      <c r="C429" s="1" t="n">
        <v>45828</v>
      </c>
      <c r="D429" t="inlineStr">
        <is>
          <t>DALARNAS LÄN</t>
        </is>
      </c>
      <c r="E429" t="inlineStr">
        <is>
          <t>MALUNG-SÄLEN</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17002-2022</t>
        </is>
      </c>
      <c r="B430" s="1" t="n">
        <v>44676</v>
      </c>
      <c r="C430" s="1" t="n">
        <v>45828</v>
      </c>
      <c r="D430" t="inlineStr">
        <is>
          <t>DALARNAS LÄN</t>
        </is>
      </c>
      <c r="E430" t="inlineStr">
        <is>
          <t>MALUNG-SÄLEN</t>
        </is>
      </c>
      <c r="G430" t="n">
        <v>3.6</v>
      </c>
      <c r="H430" t="n">
        <v>0</v>
      </c>
      <c r="I430" t="n">
        <v>0</v>
      </c>
      <c r="J430" t="n">
        <v>0</v>
      </c>
      <c r="K430" t="n">
        <v>0</v>
      </c>
      <c r="L430" t="n">
        <v>0</v>
      </c>
      <c r="M430" t="n">
        <v>0</v>
      </c>
      <c r="N430" t="n">
        <v>0</v>
      </c>
      <c r="O430" t="n">
        <v>0</v>
      </c>
      <c r="P430" t="n">
        <v>0</v>
      </c>
      <c r="Q430" t="n">
        <v>0</v>
      </c>
      <c r="R430" s="2" t="inlineStr"/>
    </row>
    <row r="431" ht="15" customHeight="1">
      <c r="A431" t="inlineStr">
        <is>
          <t>A 17161-2022</t>
        </is>
      </c>
      <c r="B431" s="1" t="n">
        <v>44677</v>
      </c>
      <c r="C431" s="1" t="n">
        <v>45828</v>
      </c>
      <c r="D431" t="inlineStr">
        <is>
          <t>DALARNAS LÄN</t>
        </is>
      </c>
      <c r="E431" t="inlineStr">
        <is>
          <t>MALUNG-SÄLEN</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17353-2022</t>
        </is>
      </c>
      <c r="B432" s="1" t="n">
        <v>44678</v>
      </c>
      <c r="C432" s="1" t="n">
        <v>45828</v>
      </c>
      <c r="D432" t="inlineStr">
        <is>
          <t>DALARNAS LÄN</t>
        </is>
      </c>
      <c r="E432" t="inlineStr">
        <is>
          <t>MALUNG-SÄLEN</t>
        </is>
      </c>
      <c r="F432" t="inlineStr">
        <is>
          <t>Bergvik skog öst AB</t>
        </is>
      </c>
      <c r="G432" t="n">
        <v>7.5</v>
      </c>
      <c r="H432" t="n">
        <v>0</v>
      </c>
      <c r="I432" t="n">
        <v>0</v>
      </c>
      <c r="J432" t="n">
        <v>0</v>
      </c>
      <c r="K432" t="n">
        <v>0</v>
      </c>
      <c r="L432" t="n">
        <v>0</v>
      </c>
      <c r="M432" t="n">
        <v>0</v>
      </c>
      <c r="N432" t="n">
        <v>0</v>
      </c>
      <c r="O432" t="n">
        <v>0</v>
      </c>
      <c r="P432" t="n">
        <v>0</v>
      </c>
      <c r="Q432" t="n">
        <v>0</v>
      </c>
      <c r="R432" s="2" t="inlineStr"/>
    </row>
    <row r="433" ht="15" customHeight="1">
      <c r="A433" t="inlineStr">
        <is>
          <t>A 18439-2022</t>
        </is>
      </c>
      <c r="B433" s="1" t="n">
        <v>44686</v>
      </c>
      <c r="C433" s="1" t="n">
        <v>45828</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18591-2022</t>
        </is>
      </c>
      <c r="B434" s="1" t="n">
        <v>44687</v>
      </c>
      <c r="C434" s="1" t="n">
        <v>45828</v>
      </c>
      <c r="D434" t="inlineStr">
        <is>
          <t>DALARNAS LÄN</t>
        </is>
      </c>
      <c r="E434" t="inlineStr">
        <is>
          <t>MALUNG-SÄLEN</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19353-2022</t>
        </is>
      </c>
      <c r="B435" s="1" t="n">
        <v>44692</v>
      </c>
      <c r="C435" s="1" t="n">
        <v>45828</v>
      </c>
      <c r="D435" t="inlineStr">
        <is>
          <t>DALARNAS LÄN</t>
        </is>
      </c>
      <c r="E435" t="inlineStr">
        <is>
          <t>MALUNG-SÄLEN</t>
        </is>
      </c>
      <c r="G435" t="n">
        <v>1.7</v>
      </c>
      <c r="H435" t="n">
        <v>0</v>
      </c>
      <c r="I435" t="n">
        <v>0</v>
      </c>
      <c r="J435" t="n">
        <v>0</v>
      </c>
      <c r="K435" t="n">
        <v>0</v>
      </c>
      <c r="L435" t="n">
        <v>0</v>
      </c>
      <c r="M435" t="n">
        <v>0</v>
      </c>
      <c r="N435" t="n">
        <v>0</v>
      </c>
      <c r="O435" t="n">
        <v>0</v>
      </c>
      <c r="P435" t="n">
        <v>0</v>
      </c>
      <c r="Q435" t="n">
        <v>0</v>
      </c>
      <c r="R435" s="2" t="inlineStr"/>
    </row>
    <row r="436" ht="15" customHeight="1">
      <c r="A436" t="inlineStr">
        <is>
          <t>A 19359-2022</t>
        </is>
      </c>
      <c r="B436" s="1" t="n">
        <v>44692</v>
      </c>
      <c r="C436" s="1" t="n">
        <v>45828</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19841-2022</t>
        </is>
      </c>
      <c r="B437" s="1" t="n">
        <v>44696</v>
      </c>
      <c r="C437" s="1" t="n">
        <v>45828</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19937-2022</t>
        </is>
      </c>
      <c r="B438" s="1" t="n">
        <v>44697</v>
      </c>
      <c r="C438" s="1" t="n">
        <v>45828</v>
      </c>
      <c r="D438" t="inlineStr">
        <is>
          <t>DALARNAS LÄN</t>
        </is>
      </c>
      <c r="E438" t="inlineStr">
        <is>
          <t>MALUNG-SÄLEN</t>
        </is>
      </c>
      <c r="G438" t="n">
        <v>12.7</v>
      </c>
      <c r="H438" t="n">
        <v>0</v>
      </c>
      <c r="I438" t="n">
        <v>0</v>
      </c>
      <c r="J438" t="n">
        <v>0</v>
      </c>
      <c r="K438" t="n">
        <v>0</v>
      </c>
      <c r="L438" t="n">
        <v>0</v>
      </c>
      <c r="M438" t="n">
        <v>0</v>
      </c>
      <c r="N438" t="n">
        <v>0</v>
      </c>
      <c r="O438" t="n">
        <v>0</v>
      </c>
      <c r="P438" t="n">
        <v>0</v>
      </c>
      <c r="Q438" t="n">
        <v>0</v>
      </c>
      <c r="R438" s="2" t="inlineStr"/>
    </row>
    <row r="439" ht="15" customHeight="1">
      <c r="A439" t="inlineStr">
        <is>
          <t>A 20804-2022</t>
        </is>
      </c>
      <c r="B439" s="1" t="n">
        <v>44701</v>
      </c>
      <c r="C439" s="1" t="n">
        <v>45828</v>
      </c>
      <c r="D439" t="inlineStr">
        <is>
          <t>DALARNAS LÄN</t>
        </is>
      </c>
      <c r="E439" t="inlineStr">
        <is>
          <t>MALUNG-SÄLEN</t>
        </is>
      </c>
      <c r="G439" t="n">
        <v>4.3</v>
      </c>
      <c r="H439" t="n">
        <v>0</v>
      </c>
      <c r="I439" t="n">
        <v>0</v>
      </c>
      <c r="J439" t="n">
        <v>0</v>
      </c>
      <c r="K439" t="n">
        <v>0</v>
      </c>
      <c r="L439" t="n">
        <v>0</v>
      </c>
      <c r="M439" t="n">
        <v>0</v>
      </c>
      <c r="N439" t="n">
        <v>0</v>
      </c>
      <c r="O439" t="n">
        <v>0</v>
      </c>
      <c r="P439" t="n">
        <v>0</v>
      </c>
      <c r="Q439" t="n">
        <v>0</v>
      </c>
      <c r="R439" s="2" t="inlineStr"/>
    </row>
    <row r="440" ht="15" customHeight="1">
      <c r="A440" t="inlineStr">
        <is>
          <t>A 21081-2022</t>
        </is>
      </c>
      <c r="B440" s="1" t="n">
        <v>44704</v>
      </c>
      <c r="C440" s="1" t="n">
        <v>45828</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21555-2022</t>
        </is>
      </c>
      <c r="B441" s="1" t="n">
        <v>44706</v>
      </c>
      <c r="C441" s="1" t="n">
        <v>45828</v>
      </c>
      <c r="D441" t="inlineStr">
        <is>
          <t>DALARNAS LÄN</t>
        </is>
      </c>
      <c r="E441" t="inlineStr">
        <is>
          <t>MALUNG-SÄLEN</t>
        </is>
      </c>
      <c r="G441" t="n">
        <v>1.6</v>
      </c>
      <c r="H441" t="n">
        <v>0</v>
      </c>
      <c r="I441" t="n">
        <v>0</v>
      </c>
      <c r="J441" t="n">
        <v>0</v>
      </c>
      <c r="K441" t="n">
        <v>0</v>
      </c>
      <c r="L441" t="n">
        <v>0</v>
      </c>
      <c r="M441" t="n">
        <v>0</v>
      </c>
      <c r="N441" t="n">
        <v>0</v>
      </c>
      <c r="O441" t="n">
        <v>0</v>
      </c>
      <c r="P441" t="n">
        <v>0</v>
      </c>
      <c r="Q441" t="n">
        <v>0</v>
      </c>
      <c r="R441" s="2" t="inlineStr"/>
    </row>
    <row r="442" ht="15" customHeight="1">
      <c r="A442" t="inlineStr">
        <is>
          <t>A 21880-2022</t>
        </is>
      </c>
      <c r="B442" s="1" t="n">
        <v>44711</v>
      </c>
      <c r="C442" s="1" t="n">
        <v>45828</v>
      </c>
      <c r="D442" t="inlineStr">
        <is>
          <t>DALARNAS LÄN</t>
        </is>
      </c>
      <c r="E442" t="inlineStr">
        <is>
          <t>MALUNG-SÄLEN</t>
        </is>
      </c>
      <c r="G442" t="n">
        <v>7.1</v>
      </c>
      <c r="H442" t="n">
        <v>0</v>
      </c>
      <c r="I442" t="n">
        <v>0</v>
      </c>
      <c r="J442" t="n">
        <v>0</v>
      </c>
      <c r="K442" t="n">
        <v>0</v>
      </c>
      <c r="L442" t="n">
        <v>0</v>
      </c>
      <c r="M442" t="n">
        <v>0</v>
      </c>
      <c r="N442" t="n">
        <v>0</v>
      </c>
      <c r="O442" t="n">
        <v>0</v>
      </c>
      <c r="P442" t="n">
        <v>0</v>
      </c>
      <c r="Q442" t="n">
        <v>0</v>
      </c>
      <c r="R442" s="2" t="inlineStr"/>
    </row>
    <row r="443" ht="15" customHeight="1">
      <c r="A443" t="inlineStr">
        <is>
          <t>A 22310-2022</t>
        </is>
      </c>
      <c r="B443" s="1" t="n">
        <v>44712</v>
      </c>
      <c r="C443" s="1" t="n">
        <v>45828</v>
      </c>
      <c r="D443" t="inlineStr">
        <is>
          <t>DALARNAS LÄN</t>
        </is>
      </c>
      <c r="E443" t="inlineStr">
        <is>
          <t>MALUNG-SÄLEN</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23542-2022</t>
        </is>
      </c>
      <c r="B444" s="1" t="n">
        <v>44721</v>
      </c>
      <c r="C444" s="1" t="n">
        <v>45828</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23617-2022</t>
        </is>
      </c>
      <c r="B445" s="1" t="n">
        <v>44721</v>
      </c>
      <c r="C445" s="1" t="n">
        <v>45828</v>
      </c>
      <c r="D445" t="inlineStr">
        <is>
          <t>DALARNAS LÄN</t>
        </is>
      </c>
      <c r="E445" t="inlineStr">
        <is>
          <t>MALUNG-SÄLEN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23606-2022</t>
        </is>
      </c>
      <c r="B446" s="1" t="n">
        <v>44721</v>
      </c>
      <c r="C446" s="1" t="n">
        <v>45828</v>
      </c>
      <c r="D446" t="inlineStr">
        <is>
          <t>DALARNAS LÄN</t>
        </is>
      </c>
      <c r="E446" t="inlineStr">
        <is>
          <t>MALUNG-SÄLEN</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23651-2022</t>
        </is>
      </c>
      <c r="B447" s="1" t="n">
        <v>44721</v>
      </c>
      <c r="C447" s="1" t="n">
        <v>45828</v>
      </c>
      <c r="D447" t="inlineStr">
        <is>
          <t>DALARNAS LÄN</t>
        </is>
      </c>
      <c r="E447" t="inlineStr">
        <is>
          <t>MALUNG-SÄLEN</t>
        </is>
      </c>
      <c r="F447" t="inlineStr">
        <is>
          <t>Bergvik skog väst AB</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24164-2022</t>
        </is>
      </c>
      <c r="B448" s="1" t="n">
        <v>44725</v>
      </c>
      <c r="C448" s="1" t="n">
        <v>45828</v>
      </c>
      <c r="D448" t="inlineStr">
        <is>
          <t>DALARNAS LÄN</t>
        </is>
      </c>
      <c r="E448" t="inlineStr">
        <is>
          <t>MALUNG-SÄLEN</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24168-2022</t>
        </is>
      </c>
      <c r="B449" s="1" t="n">
        <v>44725</v>
      </c>
      <c r="C449" s="1" t="n">
        <v>45828</v>
      </c>
      <c r="D449" t="inlineStr">
        <is>
          <t>DALARNAS LÄN</t>
        </is>
      </c>
      <c r="E449" t="inlineStr">
        <is>
          <t>MALUNG-SÄLEN</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24104-2022</t>
        </is>
      </c>
      <c r="B450" s="1" t="n">
        <v>44725</v>
      </c>
      <c r="C450" s="1" t="n">
        <v>45828</v>
      </c>
      <c r="D450" t="inlineStr">
        <is>
          <t>DALARNAS LÄN</t>
        </is>
      </c>
      <c r="E450" t="inlineStr">
        <is>
          <t>MALUNG-SÄLEN</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24140-2022</t>
        </is>
      </c>
      <c r="B451" s="1" t="n">
        <v>44725</v>
      </c>
      <c r="C451" s="1" t="n">
        <v>45828</v>
      </c>
      <c r="D451" t="inlineStr">
        <is>
          <t>DALARNAS LÄN</t>
        </is>
      </c>
      <c r="E451" t="inlineStr">
        <is>
          <t>MALUNG-SÄLEN</t>
        </is>
      </c>
      <c r="F451" t="inlineStr">
        <is>
          <t>Kommuner</t>
        </is>
      </c>
      <c r="G451" t="n">
        <v>10.2</v>
      </c>
      <c r="H451" t="n">
        <v>0</v>
      </c>
      <c r="I451" t="n">
        <v>0</v>
      </c>
      <c r="J451" t="n">
        <v>0</v>
      </c>
      <c r="K451" t="n">
        <v>0</v>
      </c>
      <c r="L451" t="n">
        <v>0</v>
      </c>
      <c r="M451" t="n">
        <v>0</v>
      </c>
      <c r="N451" t="n">
        <v>0</v>
      </c>
      <c r="O451" t="n">
        <v>0</v>
      </c>
      <c r="P451" t="n">
        <v>0</v>
      </c>
      <c r="Q451" t="n">
        <v>0</v>
      </c>
      <c r="R451" s="2" t="inlineStr"/>
    </row>
    <row r="452" ht="15" customHeight="1">
      <c r="A452" t="inlineStr">
        <is>
          <t>A 24103-2022</t>
        </is>
      </c>
      <c r="B452" s="1" t="n">
        <v>44725</v>
      </c>
      <c r="C452" s="1" t="n">
        <v>45828</v>
      </c>
      <c r="D452" t="inlineStr">
        <is>
          <t>DALARNAS LÄN</t>
        </is>
      </c>
      <c r="E452" t="inlineStr">
        <is>
          <t>MALUNG-SÄLEN</t>
        </is>
      </c>
      <c r="F452" t="inlineStr">
        <is>
          <t>Kommuner</t>
        </is>
      </c>
      <c r="G452" t="n">
        <v>3.8</v>
      </c>
      <c r="H452" t="n">
        <v>0</v>
      </c>
      <c r="I452" t="n">
        <v>0</v>
      </c>
      <c r="J452" t="n">
        <v>0</v>
      </c>
      <c r="K452" t="n">
        <v>0</v>
      </c>
      <c r="L452" t="n">
        <v>0</v>
      </c>
      <c r="M452" t="n">
        <v>0</v>
      </c>
      <c r="N452" t="n">
        <v>0</v>
      </c>
      <c r="O452" t="n">
        <v>0</v>
      </c>
      <c r="P452" t="n">
        <v>0</v>
      </c>
      <c r="Q452" t="n">
        <v>0</v>
      </c>
      <c r="R452" s="2" t="inlineStr"/>
    </row>
    <row r="453" ht="15" customHeight="1">
      <c r="A453" t="inlineStr">
        <is>
          <t>A 24165-2022</t>
        </is>
      </c>
      <c r="B453" s="1" t="n">
        <v>44725</v>
      </c>
      <c r="C453" s="1" t="n">
        <v>45828</v>
      </c>
      <c r="D453" t="inlineStr">
        <is>
          <t>DALARNAS LÄN</t>
        </is>
      </c>
      <c r="E453" t="inlineStr">
        <is>
          <t>MALUNG-SÄLEN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24174-2022</t>
        </is>
      </c>
      <c r="B454" s="1" t="n">
        <v>44725</v>
      </c>
      <c r="C454" s="1" t="n">
        <v>45828</v>
      </c>
      <c r="D454" t="inlineStr">
        <is>
          <t>DALARNAS LÄN</t>
        </is>
      </c>
      <c r="E454" t="inlineStr">
        <is>
          <t>MALUNG-SÄLEN</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24107-2022</t>
        </is>
      </c>
      <c r="B455" s="1" t="n">
        <v>44725</v>
      </c>
      <c r="C455" s="1" t="n">
        <v>45828</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24364-2022</t>
        </is>
      </c>
      <c r="B456" s="1" t="n">
        <v>44726</v>
      </c>
      <c r="C456" s="1" t="n">
        <v>45828</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25772-2022</t>
        </is>
      </c>
      <c r="B457" s="1" t="n">
        <v>44733</v>
      </c>
      <c r="C457" s="1" t="n">
        <v>45828</v>
      </c>
      <c r="D457" t="inlineStr">
        <is>
          <t>DALARNAS LÄN</t>
        </is>
      </c>
      <c r="E457" t="inlineStr">
        <is>
          <t>MALUNG-SÄLEN</t>
        </is>
      </c>
      <c r="G457" t="n">
        <v>5.3</v>
      </c>
      <c r="H457" t="n">
        <v>0</v>
      </c>
      <c r="I457" t="n">
        <v>0</v>
      </c>
      <c r="J457" t="n">
        <v>0</v>
      </c>
      <c r="K457" t="n">
        <v>0</v>
      </c>
      <c r="L457" t="n">
        <v>0</v>
      </c>
      <c r="M457" t="n">
        <v>0</v>
      </c>
      <c r="N457" t="n">
        <v>0</v>
      </c>
      <c r="O457" t="n">
        <v>0</v>
      </c>
      <c r="P457" t="n">
        <v>0</v>
      </c>
      <c r="Q457" t="n">
        <v>0</v>
      </c>
      <c r="R457" s="2" t="inlineStr"/>
    </row>
    <row r="458" ht="15" customHeight="1">
      <c r="A458" t="inlineStr">
        <is>
          <t>A 25782-2022</t>
        </is>
      </c>
      <c r="B458" s="1" t="n">
        <v>44733</v>
      </c>
      <c r="C458" s="1" t="n">
        <v>45828</v>
      </c>
      <c r="D458" t="inlineStr">
        <is>
          <t>DALARNAS LÄN</t>
        </is>
      </c>
      <c r="E458" t="inlineStr">
        <is>
          <t>MALUNG-SÄLEN</t>
        </is>
      </c>
      <c r="G458" t="n">
        <v>6.1</v>
      </c>
      <c r="H458" t="n">
        <v>0</v>
      </c>
      <c r="I458" t="n">
        <v>0</v>
      </c>
      <c r="J458" t="n">
        <v>0</v>
      </c>
      <c r="K458" t="n">
        <v>0</v>
      </c>
      <c r="L458" t="n">
        <v>0</v>
      </c>
      <c r="M458" t="n">
        <v>0</v>
      </c>
      <c r="N458" t="n">
        <v>0</v>
      </c>
      <c r="O458" t="n">
        <v>0</v>
      </c>
      <c r="P458" t="n">
        <v>0</v>
      </c>
      <c r="Q458" t="n">
        <v>0</v>
      </c>
      <c r="R458" s="2" t="inlineStr"/>
    </row>
    <row r="459" ht="15" customHeight="1">
      <c r="A459" t="inlineStr">
        <is>
          <t>A 25872-2022</t>
        </is>
      </c>
      <c r="B459" s="1" t="n">
        <v>44733</v>
      </c>
      <c r="C459" s="1" t="n">
        <v>45828</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26010-2022</t>
        </is>
      </c>
      <c r="B460" s="1" t="n">
        <v>44734</v>
      </c>
      <c r="C460" s="1" t="n">
        <v>45828</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26672-2022</t>
        </is>
      </c>
      <c r="B461" s="1" t="n">
        <v>44739</v>
      </c>
      <c r="C461" s="1" t="n">
        <v>45828</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26667-2022</t>
        </is>
      </c>
      <c r="B462" s="1" t="n">
        <v>44739</v>
      </c>
      <c r="C462" s="1" t="n">
        <v>45828</v>
      </c>
      <c r="D462" t="inlineStr">
        <is>
          <t>DALARNAS LÄN</t>
        </is>
      </c>
      <c r="E462" t="inlineStr">
        <is>
          <t>MALUNG-SÄLEN</t>
        </is>
      </c>
      <c r="G462" t="n">
        <v>4.2</v>
      </c>
      <c r="H462" t="n">
        <v>0</v>
      </c>
      <c r="I462" t="n">
        <v>0</v>
      </c>
      <c r="J462" t="n">
        <v>0</v>
      </c>
      <c r="K462" t="n">
        <v>0</v>
      </c>
      <c r="L462" t="n">
        <v>0</v>
      </c>
      <c r="M462" t="n">
        <v>0</v>
      </c>
      <c r="N462" t="n">
        <v>0</v>
      </c>
      <c r="O462" t="n">
        <v>0</v>
      </c>
      <c r="P462" t="n">
        <v>0</v>
      </c>
      <c r="Q462" t="n">
        <v>0</v>
      </c>
      <c r="R462" s="2" t="inlineStr"/>
    </row>
    <row r="463" ht="15" customHeight="1">
      <c r="A463" t="inlineStr">
        <is>
          <t>A 27172-2022</t>
        </is>
      </c>
      <c r="B463" s="1" t="n">
        <v>44741</v>
      </c>
      <c r="C463" s="1" t="n">
        <v>45828</v>
      </c>
      <c r="D463" t="inlineStr">
        <is>
          <t>DALARNAS LÄN</t>
        </is>
      </c>
      <c r="E463" t="inlineStr">
        <is>
          <t>MALUNG-SÄLEN</t>
        </is>
      </c>
      <c r="G463" t="n">
        <v>2.5</v>
      </c>
      <c r="H463" t="n">
        <v>0</v>
      </c>
      <c r="I463" t="n">
        <v>0</v>
      </c>
      <c r="J463" t="n">
        <v>0</v>
      </c>
      <c r="K463" t="n">
        <v>0</v>
      </c>
      <c r="L463" t="n">
        <v>0</v>
      </c>
      <c r="M463" t="n">
        <v>0</v>
      </c>
      <c r="N463" t="n">
        <v>0</v>
      </c>
      <c r="O463" t="n">
        <v>0</v>
      </c>
      <c r="P463" t="n">
        <v>0</v>
      </c>
      <c r="Q463" t="n">
        <v>0</v>
      </c>
      <c r="R463" s="2" t="inlineStr"/>
    </row>
    <row r="464" ht="15" customHeight="1">
      <c r="A464" t="inlineStr">
        <is>
          <t>A 27139-2022</t>
        </is>
      </c>
      <c r="B464" s="1" t="n">
        <v>44741</v>
      </c>
      <c r="C464" s="1" t="n">
        <v>45828</v>
      </c>
      <c r="D464" t="inlineStr">
        <is>
          <t>DALARNAS LÄN</t>
        </is>
      </c>
      <c r="E464" t="inlineStr">
        <is>
          <t>MALUNG-SÄLEN</t>
        </is>
      </c>
      <c r="F464" t="inlineStr">
        <is>
          <t>Kommuner</t>
        </is>
      </c>
      <c r="G464" t="n">
        <v>4.9</v>
      </c>
      <c r="H464" t="n">
        <v>0</v>
      </c>
      <c r="I464" t="n">
        <v>0</v>
      </c>
      <c r="J464" t="n">
        <v>0</v>
      </c>
      <c r="K464" t="n">
        <v>0</v>
      </c>
      <c r="L464" t="n">
        <v>0</v>
      </c>
      <c r="M464" t="n">
        <v>0</v>
      </c>
      <c r="N464" t="n">
        <v>0</v>
      </c>
      <c r="O464" t="n">
        <v>0</v>
      </c>
      <c r="P464" t="n">
        <v>0</v>
      </c>
      <c r="Q464" t="n">
        <v>0</v>
      </c>
      <c r="R464" s="2" t="inlineStr"/>
    </row>
    <row r="465" ht="15" customHeight="1">
      <c r="A465" t="inlineStr">
        <is>
          <t>A 27143-2022</t>
        </is>
      </c>
      <c r="B465" s="1" t="n">
        <v>44741</v>
      </c>
      <c r="C465" s="1" t="n">
        <v>45828</v>
      </c>
      <c r="D465" t="inlineStr">
        <is>
          <t>DALARNAS LÄN</t>
        </is>
      </c>
      <c r="E465" t="inlineStr">
        <is>
          <t>MALUNG-SÄLEN</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27841-2022</t>
        </is>
      </c>
      <c r="B466" s="1" t="n">
        <v>44743</v>
      </c>
      <c r="C466" s="1" t="n">
        <v>45828</v>
      </c>
      <c r="D466" t="inlineStr">
        <is>
          <t>DALARNAS LÄN</t>
        </is>
      </c>
      <c r="E466" t="inlineStr">
        <is>
          <t>MALUNG-SÄLEN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27846-2022</t>
        </is>
      </c>
      <c r="B467" s="1" t="n">
        <v>44743</v>
      </c>
      <c r="C467" s="1" t="n">
        <v>45828</v>
      </c>
      <c r="D467" t="inlineStr">
        <is>
          <t>DALARNAS LÄN</t>
        </is>
      </c>
      <c r="E467" t="inlineStr">
        <is>
          <t>MALUNG-SÄLEN</t>
        </is>
      </c>
      <c r="F467" t="inlineStr">
        <is>
          <t>Kommuner</t>
        </is>
      </c>
      <c r="G467" t="n">
        <v>0.3</v>
      </c>
      <c r="H467" t="n">
        <v>0</v>
      </c>
      <c r="I467" t="n">
        <v>0</v>
      </c>
      <c r="J467" t="n">
        <v>0</v>
      </c>
      <c r="K467" t="n">
        <v>0</v>
      </c>
      <c r="L467" t="n">
        <v>0</v>
      </c>
      <c r="M467" t="n">
        <v>0</v>
      </c>
      <c r="N467" t="n">
        <v>0</v>
      </c>
      <c r="O467" t="n">
        <v>0</v>
      </c>
      <c r="P467" t="n">
        <v>0</v>
      </c>
      <c r="Q467" t="n">
        <v>0</v>
      </c>
      <c r="R467" s="2" t="inlineStr"/>
    </row>
    <row r="468" ht="15" customHeight="1">
      <c r="A468" t="inlineStr">
        <is>
          <t>A 27839-2022</t>
        </is>
      </c>
      <c r="B468" s="1" t="n">
        <v>44743</v>
      </c>
      <c r="C468" s="1" t="n">
        <v>45828</v>
      </c>
      <c r="D468" t="inlineStr">
        <is>
          <t>DALARNAS LÄN</t>
        </is>
      </c>
      <c r="E468" t="inlineStr">
        <is>
          <t>MALUNG-SÄLEN</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27849-2022</t>
        </is>
      </c>
      <c r="B469" s="1" t="n">
        <v>44743</v>
      </c>
      <c r="C469" s="1" t="n">
        <v>45828</v>
      </c>
      <c r="D469" t="inlineStr">
        <is>
          <t>DALARNAS LÄN</t>
        </is>
      </c>
      <c r="E469" t="inlineStr">
        <is>
          <t>MALUNG-SÄLEN</t>
        </is>
      </c>
      <c r="F469" t="inlineStr">
        <is>
          <t>Kommuner</t>
        </is>
      </c>
      <c r="G469" t="n">
        <v>0.4</v>
      </c>
      <c r="H469" t="n">
        <v>0</v>
      </c>
      <c r="I469" t="n">
        <v>0</v>
      </c>
      <c r="J469" t="n">
        <v>0</v>
      </c>
      <c r="K469" t="n">
        <v>0</v>
      </c>
      <c r="L469" t="n">
        <v>0</v>
      </c>
      <c r="M469" t="n">
        <v>0</v>
      </c>
      <c r="N469" t="n">
        <v>0</v>
      </c>
      <c r="O469" t="n">
        <v>0</v>
      </c>
      <c r="P469" t="n">
        <v>0</v>
      </c>
      <c r="Q469" t="n">
        <v>0</v>
      </c>
      <c r="R469" s="2" t="inlineStr"/>
    </row>
    <row r="470" ht="15" customHeight="1">
      <c r="A470" t="inlineStr">
        <is>
          <t>A 28921-2022</t>
        </is>
      </c>
      <c r="B470" s="1" t="n">
        <v>44749</v>
      </c>
      <c r="C470" s="1" t="n">
        <v>45828</v>
      </c>
      <c r="D470" t="inlineStr">
        <is>
          <t>DALARNAS LÄN</t>
        </is>
      </c>
      <c r="E470" t="inlineStr">
        <is>
          <t>MALUNG-SÄLEN</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28895-2022</t>
        </is>
      </c>
      <c r="B471" s="1" t="n">
        <v>44749</v>
      </c>
      <c r="C471" s="1" t="n">
        <v>45828</v>
      </c>
      <c r="D471" t="inlineStr">
        <is>
          <t>DALARNAS LÄN</t>
        </is>
      </c>
      <c r="E471" t="inlineStr">
        <is>
          <t>MALUNG-SÄLEN</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29110-2022</t>
        </is>
      </c>
      <c r="B472" s="1" t="n">
        <v>44750</v>
      </c>
      <c r="C472" s="1" t="n">
        <v>45828</v>
      </c>
      <c r="D472" t="inlineStr">
        <is>
          <t>DALARNAS LÄN</t>
        </is>
      </c>
      <c r="E472" t="inlineStr">
        <is>
          <t>MALUNG-SÄLEN</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29597-2022</t>
        </is>
      </c>
      <c r="B473" s="1" t="n">
        <v>44754</v>
      </c>
      <c r="C473" s="1" t="n">
        <v>45828</v>
      </c>
      <c r="D473" t="inlineStr">
        <is>
          <t>DALARNAS LÄN</t>
        </is>
      </c>
      <c r="E473" t="inlineStr">
        <is>
          <t>MALUNG-SÄLEN</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29861-2022</t>
        </is>
      </c>
      <c r="B474" s="1" t="n">
        <v>44756</v>
      </c>
      <c r="C474" s="1" t="n">
        <v>45828</v>
      </c>
      <c r="D474" t="inlineStr">
        <is>
          <t>DALARNAS LÄN</t>
        </is>
      </c>
      <c r="E474" t="inlineStr">
        <is>
          <t>MALUNG-SÄLEN</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29998-2022</t>
        </is>
      </c>
      <c r="B475" s="1" t="n">
        <v>44756</v>
      </c>
      <c r="C475" s="1" t="n">
        <v>45828</v>
      </c>
      <c r="D475" t="inlineStr">
        <is>
          <t>DALARNAS LÄN</t>
        </is>
      </c>
      <c r="E475" t="inlineStr">
        <is>
          <t>MALUNG-SÄLEN</t>
        </is>
      </c>
      <c r="G475" t="n">
        <v>1.8</v>
      </c>
      <c r="H475" t="n">
        <v>0</v>
      </c>
      <c r="I475" t="n">
        <v>0</v>
      </c>
      <c r="J475" t="n">
        <v>0</v>
      </c>
      <c r="K475" t="n">
        <v>0</v>
      </c>
      <c r="L475" t="n">
        <v>0</v>
      </c>
      <c r="M475" t="n">
        <v>0</v>
      </c>
      <c r="N475" t="n">
        <v>0</v>
      </c>
      <c r="O475" t="n">
        <v>0</v>
      </c>
      <c r="P475" t="n">
        <v>0</v>
      </c>
      <c r="Q475" t="n">
        <v>0</v>
      </c>
      <c r="R475" s="2" t="inlineStr"/>
    </row>
    <row r="476" ht="15" customHeight="1">
      <c r="A476" t="inlineStr">
        <is>
          <t>A 32486-2022</t>
        </is>
      </c>
      <c r="B476" s="1" t="n">
        <v>44782</v>
      </c>
      <c r="C476" s="1" t="n">
        <v>45828</v>
      </c>
      <c r="D476" t="inlineStr">
        <is>
          <t>DALARNAS LÄN</t>
        </is>
      </c>
      <c r="E476" t="inlineStr">
        <is>
          <t>MALUNG-SÄLEN</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33618-2022</t>
        </is>
      </c>
      <c r="B477" s="1" t="n">
        <v>44789</v>
      </c>
      <c r="C477" s="1" t="n">
        <v>45828</v>
      </c>
      <c r="D477" t="inlineStr">
        <is>
          <t>DALARNAS LÄN</t>
        </is>
      </c>
      <c r="E477" t="inlineStr">
        <is>
          <t>MALUNG-SÄLEN</t>
        </is>
      </c>
      <c r="G477" t="n">
        <v>1.6</v>
      </c>
      <c r="H477" t="n">
        <v>0</v>
      </c>
      <c r="I477" t="n">
        <v>0</v>
      </c>
      <c r="J477" t="n">
        <v>0</v>
      </c>
      <c r="K477" t="n">
        <v>0</v>
      </c>
      <c r="L477" t="n">
        <v>0</v>
      </c>
      <c r="M477" t="n">
        <v>0</v>
      </c>
      <c r="N477" t="n">
        <v>0</v>
      </c>
      <c r="O477" t="n">
        <v>0</v>
      </c>
      <c r="P477" t="n">
        <v>0</v>
      </c>
      <c r="Q477" t="n">
        <v>0</v>
      </c>
      <c r="R477" s="2" t="inlineStr"/>
    </row>
    <row r="478" ht="15" customHeight="1">
      <c r="A478" t="inlineStr">
        <is>
          <t>A 33652-2022</t>
        </is>
      </c>
      <c r="B478" s="1" t="n">
        <v>44789</v>
      </c>
      <c r="C478" s="1" t="n">
        <v>45828</v>
      </c>
      <c r="D478" t="inlineStr">
        <is>
          <t>DALARNAS LÄN</t>
        </is>
      </c>
      <c r="E478" t="inlineStr">
        <is>
          <t>MALUNG-SÄLEN</t>
        </is>
      </c>
      <c r="G478" t="n">
        <v>7.3</v>
      </c>
      <c r="H478" t="n">
        <v>0</v>
      </c>
      <c r="I478" t="n">
        <v>0</v>
      </c>
      <c r="J478" t="n">
        <v>0</v>
      </c>
      <c r="K478" t="n">
        <v>0</v>
      </c>
      <c r="L478" t="n">
        <v>0</v>
      </c>
      <c r="M478" t="n">
        <v>0</v>
      </c>
      <c r="N478" t="n">
        <v>0</v>
      </c>
      <c r="O478" t="n">
        <v>0</v>
      </c>
      <c r="P478" t="n">
        <v>0</v>
      </c>
      <c r="Q478" t="n">
        <v>0</v>
      </c>
      <c r="R478" s="2" t="inlineStr"/>
    </row>
    <row r="479" ht="15" customHeight="1">
      <c r="A479" t="inlineStr">
        <is>
          <t>A 34077-2022</t>
        </is>
      </c>
      <c r="B479" s="1" t="n">
        <v>44791</v>
      </c>
      <c r="C479" s="1" t="n">
        <v>45828</v>
      </c>
      <c r="D479" t="inlineStr">
        <is>
          <t>DALARNAS LÄN</t>
        </is>
      </c>
      <c r="E479" t="inlineStr">
        <is>
          <t>MALUNG-SÄLEN</t>
        </is>
      </c>
      <c r="F479" t="inlineStr">
        <is>
          <t>Bergvik skog öst AB</t>
        </is>
      </c>
      <c r="G479" t="n">
        <v>2.4</v>
      </c>
      <c r="H479" t="n">
        <v>0</v>
      </c>
      <c r="I479" t="n">
        <v>0</v>
      </c>
      <c r="J479" t="n">
        <v>0</v>
      </c>
      <c r="K479" t="n">
        <v>0</v>
      </c>
      <c r="L479" t="n">
        <v>0</v>
      </c>
      <c r="M479" t="n">
        <v>0</v>
      </c>
      <c r="N479" t="n">
        <v>0</v>
      </c>
      <c r="O479" t="n">
        <v>0</v>
      </c>
      <c r="P479" t="n">
        <v>0</v>
      </c>
      <c r="Q479" t="n">
        <v>0</v>
      </c>
      <c r="R479" s="2" t="inlineStr"/>
    </row>
    <row r="480" ht="15" customHeight="1">
      <c r="A480" t="inlineStr">
        <is>
          <t>A 34603-2022</t>
        </is>
      </c>
      <c r="B480" s="1" t="n">
        <v>44795</v>
      </c>
      <c r="C480" s="1" t="n">
        <v>45828</v>
      </c>
      <c r="D480" t="inlineStr">
        <is>
          <t>DALARNAS LÄN</t>
        </is>
      </c>
      <c r="E480" t="inlineStr">
        <is>
          <t>MALUNG-SÄLEN</t>
        </is>
      </c>
      <c r="G480" t="n">
        <v>5.4</v>
      </c>
      <c r="H480" t="n">
        <v>0</v>
      </c>
      <c r="I480" t="n">
        <v>0</v>
      </c>
      <c r="J480" t="n">
        <v>0</v>
      </c>
      <c r="K480" t="n">
        <v>0</v>
      </c>
      <c r="L480" t="n">
        <v>0</v>
      </c>
      <c r="M480" t="n">
        <v>0</v>
      </c>
      <c r="N480" t="n">
        <v>0</v>
      </c>
      <c r="O480" t="n">
        <v>0</v>
      </c>
      <c r="P480" t="n">
        <v>0</v>
      </c>
      <c r="Q480" t="n">
        <v>0</v>
      </c>
      <c r="R480" s="2" t="inlineStr"/>
    </row>
    <row r="481" ht="15" customHeight="1">
      <c r="A481" t="inlineStr">
        <is>
          <t>A 34610-2022</t>
        </is>
      </c>
      <c r="B481" s="1" t="n">
        <v>44795</v>
      </c>
      <c r="C481" s="1" t="n">
        <v>45828</v>
      </c>
      <c r="D481" t="inlineStr">
        <is>
          <t>DALARNAS LÄN</t>
        </is>
      </c>
      <c r="E481" t="inlineStr">
        <is>
          <t>MALUNG-SÄLEN</t>
        </is>
      </c>
      <c r="G481" t="n">
        <v>3.6</v>
      </c>
      <c r="H481" t="n">
        <v>0</v>
      </c>
      <c r="I481" t="n">
        <v>0</v>
      </c>
      <c r="J481" t="n">
        <v>0</v>
      </c>
      <c r="K481" t="n">
        <v>0</v>
      </c>
      <c r="L481" t="n">
        <v>0</v>
      </c>
      <c r="M481" t="n">
        <v>0</v>
      </c>
      <c r="N481" t="n">
        <v>0</v>
      </c>
      <c r="O481" t="n">
        <v>0</v>
      </c>
      <c r="P481" t="n">
        <v>0</v>
      </c>
      <c r="Q481" t="n">
        <v>0</v>
      </c>
      <c r="R481" s="2" t="inlineStr"/>
    </row>
    <row r="482" ht="15" customHeight="1">
      <c r="A482" t="inlineStr">
        <is>
          <t>A 34913-2022</t>
        </is>
      </c>
      <c r="B482" s="1" t="n">
        <v>44796</v>
      </c>
      <c r="C482" s="1" t="n">
        <v>45828</v>
      </c>
      <c r="D482" t="inlineStr">
        <is>
          <t>DALARNAS LÄN</t>
        </is>
      </c>
      <c r="E482" t="inlineStr">
        <is>
          <t>MALUNG-SÄLEN</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35181-2022</t>
        </is>
      </c>
      <c r="B483" s="1" t="n">
        <v>44797</v>
      </c>
      <c r="C483" s="1" t="n">
        <v>45828</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36014-2022</t>
        </is>
      </c>
      <c r="B484" s="1" t="n">
        <v>44802</v>
      </c>
      <c r="C484" s="1" t="n">
        <v>45828</v>
      </c>
      <c r="D484" t="inlineStr">
        <is>
          <t>DALARNAS LÄN</t>
        </is>
      </c>
      <c r="E484" t="inlineStr">
        <is>
          <t>MALUNG-SÄLEN</t>
        </is>
      </c>
      <c r="G484" t="n">
        <v>2</v>
      </c>
      <c r="H484" t="n">
        <v>0</v>
      </c>
      <c r="I484" t="n">
        <v>0</v>
      </c>
      <c r="J484" t="n">
        <v>0</v>
      </c>
      <c r="K484" t="n">
        <v>0</v>
      </c>
      <c r="L484" t="n">
        <v>0</v>
      </c>
      <c r="M484" t="n">
        <v>0</v>
      </c>
      <c r="N484" t="n">
        <v>0</v>
      </c>
      <c r="O484" t="n">
        <v>0</v>
      </c>
      <c r="P484" t="n">
        <v>0</v>
      </c>
      <c r="Q484" t="n">
        <v>0</v>
      </c>
      <c r="R484" s="2" t="inlineStr"/>
    </row>
    <row r="485" ht="15" customHeight="1">
      <c r="A485" t="inlineStr">
        <is>
          <t>A 36029-2022</t>
        </is>
      </c>
      <c r="B485" s="1" t="n">
        <v>44802</v>
      </c>
      <c r="C485" s="1" t="n">
        <v>45828</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36494-2022</t>
        </is>
      </c>
      <c r="B486" s="1" t="n">
        <v>44804</v>
      </c>
      <c r="C486" s="1" t="n">
        <v>45828</v>
      </c>
      <c r="D486" t="inlineStr">
        <is>
          <t>DALARNAS LÄN</t>
        </is>
      </c>
      <c r="E486" t="inlineStr">
        <is>
          <t>MALUNG-SÄLEN</t>
        </is>
      </c>
      <c r="G486" t="n">
        <v>3.7</v>
      </c>
      <c r="H486" t="n">
        <v>0</v>
      </c>
      <c r="I486" t="n">
        <v>0</v>
      </c>
      <c r="J486" t="n">
        <v>0</v>
      </c>
      <c r="K486" t="n">
        <v>0</v>
      </c>
      <c r="L486" t="n">
        <v>0</v>
      </c>
      <c r="M486" t="n">
        <v>0</v>
      </c>
      <c r="N486" t="n">
        <v>0</v>
      </c>
      <c r="O486" t="n">
        <v>0</v>
      </c>
      <c r="P486" t="n">
        <v>0</v>
      </c>
      <c r="Q486" t="n">
        <v>0</v>
      </c>
      <c r="R486" s="2" t="inlineStr"/>
    </row>
    <row r="487" ht="15" customHeight="1">
      <c r="A487" t="inlineStr">
        <is>
          <t>A 37002-2022</t>
        </is>
      </c>
      <c r="B487" s="1" t="n">
        <v>44806</v>
      </c>
      <c r="C487" s="1" t="n">
        <v>45828</v>
      </c>
      <c r="D487" t="inlineStr">
        <is>
          <t>DALARNAS LÄN</t>
        </is>
      </c>
      <c r="E487" t="inlineStr">
        <is>
          <t>MALUNG-SÄLEN</t>
        </is>
      </c>
      <c r="G487" t="n">
        <v>0.8</v>
      </c>
      <c r="H487" t="n">
        <v>0</v>
      </c>
      <c r="I487" t="n">
        <v>0</v>
      </c>
      <c r="J487" t="n">
        <v>0</v>
      </c>
      <c r="K487" t="n">
        <v>0</v>
      </c>
      <c r="L487" t="n">
        <v>0</v>
      </c>
      <c r="M487" t="n">
        <v>0</v>
      </c>
      <c r="N487" t="n">
        <v>0</v>
      </c>
      <c r="O487" t="n">
        <v>0</v>
      </c>
      <c r="P487" t="n">
        <v>0</v>
      </c>
      <c r="Q487" t="n">
        <v>0</v>
      </c>
      <c r="R487" s="2" t="inlineStr"/>
    </row>
    <row r="488" ht="15" customHeight="1">
      <c r="A488" t="inlineStr">
        <is>
          <t>A 37392-2022</t>
        </is>
      </c>
      <c r="B488" s="1" t="n">
        <v>44809</v>
      </c>
      <c r="C488" s="1" t="n">
        <v>45828</v>
      </c>
      <c r="D488" t="inlineStr">
        <is>
          <t>DALARNAS LÄN</t>
        </is>
      </c>
      <c r="E488" t="inlineStr">
        <is>
          <t>MALUNG-SÄLEN</t>
        </is>
      </c>
      <c r="G488" t="n">
        <v>1.5</v>
      </c>
      <c r="H488" t="n">
        <v>0</v>
      </c>
      <c r="I488" t="n">
        <v>0</v>
      </c>
      <c r="J488" t="n">
        <v>0</v>
      </c>
      <c r="K488" t="n">
        <v>0</v>
      </c>
      <c r="L488" t="n">
        <v>0</v>
      </c>
      <c r="M488" t="n">
        <v>0</v>
      </c>
      <c r="N488" t="n">
        <v>0</v>
      </c>
      <c r="O488" t="n">
        <v>0</v>
      </c>
      <c r="P488" t="n">
        <v>0</v>
      </c>
      <c r="Q488" t="n">
        <v>0</v>
      </c>
      <c r="R488" s="2" t="inlineStr"/>
    </row>
    <row r="489" ht="15" customHeight="1">
      <c r="A489" t="inlineStr">
        <is>
          <t>A 37395-2022</t>
        </is>
      </c>
      <c r="B489" s="1" t="n">
        <v>44809</v>
      </c>
      <c r="C489" s="1" t="n">
        <v>45828</v>
      </c>
      <c r="D489" t="inlineStr">
        <is>
          <t>DALARNAS LÄN</t>
        </is>
      </c>
      <c r="E489" t="inlineStr">
        <is>
          <t>MALUNG-SÄLEN</t>
        </is>
      </c>
      <c r="G489" t="n">
        <v>0.6</v>
      </c>
      <c r="H489" t="n">
        <v>0</v>
      </c>
      <c r="I489" t="n">
        <v>0</v>
      </c>
      <c r="J489" t="n">
        <v>0</v>
      </c>
      <c r="K489" t="n">
        <v>0</v>
      </c>
      <c r="L489" t="n">
        <v>0</v>
      </c>
      <c r="M489" t="n">
        <v>0</v>
      </c>
      <c r="N489" t="n">
        <v>0</v>
      </c>
      <c r="O489" t="n">
        <v>0</v>
      </c>
      <c r="P489" t="n">
        <v>0</v>
      </c>
      <c r="Q489" t="n">
        <v>0</v>
      </c>
      <c r="R489" s="2" t="inlineStr"/>
    </row>
    <row r="490" ht="15" customHeight="1">
      <c r="A490" t="inlineStr">
        <is>
          <t>A 37478-2022</t>
        </is>
      </c>
      <c r="B490" s="1" t="n">
        <v>44809</v>
      </c>
      <c r="C490" s="1" t="n">
        <v>45828</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37389-2022</t>
        </is>
      </c>
      <c r="B491" s="1" t="n">
        <v>44809</v>
      </c>
      <c r="C491" s="1" t="n">
        <v>45828</v>
      </c>
      <c r="D491" t="inlineStr">
        <is>
          <t>DALARNAS LÄN</t>
        </is>
      </c>
      <c r="E491" t="inlineStr">
        <is>
          <t>MALUNG-SÄLEN</t>
        </is>
      </c>
      <c r="G491" t="n">
        <v>14.8</v>
      </c>
      <c r="H491" t="n">
        <v>0</v>
      </c>
      <c r="I491" t="n">
        <v>0</v>
      </c>
      <c r="J491" t="n">
        <v>0</v>
      </c>
      <c r="K491" t="n">
        <v>0</v>
      </c>
      <c r="L491" t="n">
        <v>0</v>
      </c>
      <c r="M491" t="n">
        <v>0</v>
      </c>
      <c r="N491" t="n">
        <v>0</v>
      </c>
      <c r="O491" t="n">
        <v>0</v>
      </c>
      <c r="P491" t="n">
        <v>0</v>
      </c>
      <c r="Q491" t="n">
        <v>0</v>
      </c>
      <c r="R491" s="2" t="inlineStr"/>
    </row>
    <row r="492" ht="15" customHeight="1">
      <c r="A492" t="inlineStr">
        <is>
          <t>A 37770-2022</t>
        </is>
      </c>
      <c r="B492" s="1" t="n">
        <v>44810</v>
      </c>
      <c r="C492" s="1" t="n">
        <v>45828</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37887-2022</t>
        </is>
      </c>
      <c r="B493" s="1" t="n">
        <v>44811</v>
      </c>
      <c r="C493" s="1" t="n">
        <v>45828</v>
      </c>
      <c r="D493" t="inlineStr">
        <is>
          <t>DALARNAS LÄN</t>
        </is>
      </c>
      <c r="E493" t="inlineStr">
        <is>
          <t>MALUNG-SÄLEN</t>
        </is>
      </c>
      <c r="G493" t="n">
        <v>1</v>
      </c>
      <c r="H493" t="n">
        <v>0</v>
      </c>
      <c r="I493" t="n">
        <v>0</v>
      </c>
      <c r="J493" t="n">
        <v>0</v>
      </c>
      <c r="K493" t="n">
        <v>0</v>
      </c>
      <c r="L493" t="n">
        <v>0</v>
      </c>
      <c r="M493" t="n">
        <v>0</v>
      </c>
      <c r="N493" t="n">
        <v>0</v>
      </c>
      <c r="O493" t="n">
        <v>0</v>
      </c>
      <c r="P493" t="n">
        <v>0</v>
      </c>
      <c r="Q493" t="n">
        <v>0</v>
      </c>
      <c r="R493" s="2" t="inlineStr"/>
    </row>
    <row r="494" ht="15" customHeight="1">
      <c r="A494" t="inlineStr">
        <is>
          <t>A 38008-2022</t>
        </is>
      </c>
      <c r="B494" s="1" t="n">
        <v>44811</v>
      </c>
      <c r="C494" s="1" t="n">
        <v>45828</v>
      </c>
      <c r="D494" t="inlineStr">
        <is>
          <t>DALARNAS LÄN</t>
        </is>
      </c>
      <c r="E494" t="inlineStr">
        <is>
          <t>MALUNG-SÄLEN</t>
        </is>
      </c>
      <c r="F494" t="inlineStr">
        <is>
          <t>Bergvik skog väst AB</t>
        </is>
      </c>
      <c r="G494" t="n">
        <v>5.5</v>
      </c>
      <c r="H494" t="n">
        <v>0</v>
      </c>
      <c r="I494" t="n">
        <v>0</v>
      </c>
      <c r="J494" t="n">
        <v>0</v>
      </c>
      <c r="K494" t="n">
        <v>0</v>
      </c>
      <c r="L494" t="n">
        <v>0</v>
      </c>
      <c r="M494" t="n">
        <v>0</v>
      </c>
      <c r="N494" t="n">
        <v>0</v>
      </c>
      <c r="O494" t="n">
        <v>0</v>
      </c>
      <c r="P494" t="n">
        <v>0</v>
      </c>
      <c r="Q494" t="n">
        <v>0</v>
      </c>
      <c r="R494" s="2" t="inlineStr"/>
    </row>
    <row r="495" ht="15" customHeight="1">
      <c r="A495" t="inlineStr">
        <is>
          <t>A 38054-2022</t>
        </is>
      </c>
      <c r="B495" s="1" t="n">
        <v>44811</v>
      </c>
      <c r="C495" s="1" t="n">
        <v>45828</v>
      </c>
      <c r="D495" t="inlineStr">
        <is>
          <t>DALARNAS LÄN</t>
        </is>
      </c>
      <c r="E495" t="inlineStr">
        <is>
          <t>MALUNG-SÄLEN</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38026-2022</t>
        </is>
      </c>
      <c r="B496" s="1" t="n">
        <v>44811</v>
      </c>
      <c r="C496" s="1" t="n">
        <v>45828</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38050-2022</t>
        </is>
      </c>
      <c r="B497" s="1" t="n">
        <v>44811</v>
      </c>
      <c r="C497" s="1" t="n">
        <v>45828</v>
      </c>
      <c r="D497" t="inlineStr">
        <is>
          <t>DALARNAS LÄN</t>
        </is>
      </c>
      <c r="E497" t="inlineStr">
        <is>
          <t>MALUNG-SÄLEN</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38041-2022</t>
        </is>
      </c>
      <c r="B498" s="1" t="n">
        <v>44811</v>
      </c>
      <c r="C498" s="1" t="n">
        <v>45828</v>
      </c>
      <c r="D498" t="inlineStr">
        <is>
          <t>DALARNAS LÄN</t>
        </is>
      </c>
      <c r="E498" t="inlineStr">
        <is>
          <t>MALUNG-SÄLEN</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38516-2022</t>
        </is>
      </c>
      <c r="B499" s="1" t="n">
        <v>44813</v>
      </c>
      <c r="C499" s="1" t="n">
        <v>45828</v>
      </c>
      <c r="D499" t="inlineStr">
        <is>
          <t>DALARNAS LÄN</t>
        </is>
      </c>
      <c r="E499" t="inlineStr">
        <is>
          <t>MALUNG-SÄLEN</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39210-2022</t>
        </is>
      </c>
      <c r="B500" s="1" t="n">
        <v>44817</v>
      </c>
      <c r="C500" s="1" t="n">
        <v>45828</v>
      </c>
      <c r="D500" t="inlineStr">
        <is>
          <t>DALARNAS LÄN</t>
        </is>
      </c>
      <c r="E500" t="inlineStr">
        <is>
          <t>MALUNG-SÄLEN</t>
        </is>
      </c>
      <c r="F500" t="inlineStr">
        <is>
          <t>Bergvik skog väst AB</t>
        </is>
      </c>
      <c r="G500" t="n">
        <v>20.5</v>
      </c>
      <c r="H500" t="n">
        <v>0</v>
      </c>
      <c r="I500" t="n">
        <v>0</v>
      </c>
      <c r="J500" t="n">
        <v>0</v>
      </c>
      <c r="K500" t="n">
        <v>0</v>
      </c>
      <c r="L500" t="n">
        <v>0</v>
      </c>
      <c r="M500" t="n">
        <v>0</v>
      </c>
      <c r="N500" t="n">
        <v>0</v>
      </c>
      <c r="O500" t="n">
        <v>0</v>
      </c>
      <c r="P500" t="n">
        <v>0</v>
      </c>
      <c r="Q500" t="n">
        <v>0</v>
      </c>
      <c r="R500" s="2" t="inlineStr"/>
    </row>
    <row r="501" ht="15" customHeight="1">
      <c r="A501" t="inlineStr">
        <is>
          <t>A 39852-2022</t>
        </is>
      </c>
      <c r="B501" s="1" t="n">
        <v>44819</v>
      </c>
      <c r="C501" s="1" t="n">
        <v>45828</v>
      </c>
      <c r="D501" t="inlineStr">
        <is>
          <t>DALARNAS LÄN</t>
        </is>
      </c>
      <c r="E501" t="inlineStr">
        <is>
          <t>MALUNG-SÄLEN</t>
        </is>
      </c>
      <c r="F501" t="inlineStr">
        <is>
          <t>Bergvik skog väst AB</t>
        </is>
      </c>
      <c r="G501" t="n">
        <v>6.1</v>
      </c>
      <c r="H501" t="n">
        <v>0</v>
      </c>
      <c r="I501" t="n">
        <v>0</v>
      </c>
      <c r="J501" t="n">
        <v>0</v>
      </c>
      <c r="K501" t="n">
        <v>0</v>
      </c>
      <c r="L501" t="n">
        <v>0</v>
      </c>
      <c r="M501" t="n">
        <v>0</v>
      </c>
      <c r="N501" t="n">
        <v>0</v>
      </c>
      <c r="O501" t="n">
        <v>0</v>
      </c>
      <c r="P501" t="n">
        <v>0</v>
      </c>
      <c r="Q501" t="n">
        <v>0</v>
      </c>
      <c r="R501" s="2" t="inlineStr"/>
    </row>
    <row r="502" ht="15" customHeight="1">
      <c r="A502" t="inlineStr">
        <is>
          <t>A 41333-2022</t>
        </is>
      </c>
      <c r="B502" s="1" t="n">
        <v>44826</v>
      </c>
      <c r="C502" s="1" t="n">
        <v>45828</v>
      </c>
      <c r="D502" t="inlineStr">
        <is>
          <t>DALARNAS LÄN</t>
        </is>
      </c>
      <c r="E502" t="inlineStr">
        <is>
          <t>MALUNG-SÄLEN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42672-2022</t>
        </is>
      </c>
      <c r="B503" s="1" t="n">
        <v>44832</v>
      </c>
      <c r="C503" s="1" t="n">
        <v>45828</v>
      </c>
      <c r="D503" t="inlineStr">
        <is>
          <t>DALARNAS LÄN</t>
        </is>
      </c>
      <c r="E503" t="inlineStr">
        <is>
          <t>MALUNG-SÄLEN</t>
        </is>
      </c>
      <c r="G503" t="n">
        <v>2.6</v>
      </c>
      <c r="H503" t="n">
        <v>0</v>
      </c>
      <c r="I503" t="n">
        <v>0</v>
      </c>
      <c r="J503" t="n">
        <v>0</v>
      </c>
      <c r="K503" t="n">
        <v>0</v>
      </c>
      <c r="L503" t="n">
        <v>0</v>
      </c>
      <c r="M503" t="n">
        <v>0</v>
      </c>
      <c r="N503" t="n">
        <v>0</v>
      </c>
      <c r="O503" t="n">
        <v>0</v>
      </c>
      <c r="P503" t="n">
        <v>0</v>
      </c>
      <c r="Q503" t="n">
        <v>0</v>
      </c>
      <c r="R503" s="2" t="inlineStr"/>
    </row>
    <row r="504" ht="15" customHeight="1">
      <c r="A504" t="inlineStr">
        <is>
          <t>A 42825-2022</t>
        </is>
      </c>
      <c r="B504" s="1" t="n">
        <v>44832</v>
      </c>
      <c r="C504" s="1" t="n">
        <v>45828</v>
      </c>
      <c r="D504" t="inlineStr">
        <is>
          <t>DALARNAS LÄN</t>
        </is>
      </c>
      <c r="E504" t="inlineStr">
        <is>
          <t>MALUNG-SÄLEN</t>
        </is>
      </c>
      <c r="F504" t="inlineStr">
        <is>
          <t>Bergvik skog väst AB</t>
        </is>
      </c>
      <c r="G504" t="n">
        <v>19.5</v>
      </c>
      <c r="H504" t="n">
        <v>0</v>
      </c>
      <c r="I504" t="n">
        <v>0</v>
      </c>
      <c r="J504" t="n">
        <v>0</v>
      </c>
      <c r="K504" t="n">
        <v>0</v>
      </c>
      <c r="L504" t="n">
        <v>0</v>
      </c>
      <c r="M504" t="n">
        <v>0</v>
      </c>
      <c r="N504" t="n">
        <v>0</v>
      </c>
      <c r="O504" t="n">
        <v>0</v>
      </c>
      <c r="P504" t="n">
        <v>0</v>
      </c>
      <c r="Q504" t="n">
        <v>0</v>
      </c>
      <c r="R504" s="2" t="inlineStr"/>
    </row>
    <row r="505" ht="15" customHeight="1">
      <c r="A505" t="inlineStr">
        <is>
          <t>A 43040-2022</t>
        </is>
      </c>
      <c r="B505" s="1" t="n">
        <v>44833</v>
      </c>
      <c r="C505" s="1" t="n">
        <v>45828</v>
      </c>
      <c r="D505" t="inlineStr">
        <is>
          <t>DALARNAS LÄN</t>
        </is>
      </c>
      <c r="E505" t="inlineStr">
        <is>
          <t>MALUNG-SÄLEN</t>
        </is>
      </c>
      <c r="G505" t="n">
        <v>6.9</v>
      </c>
      <c r="H505" t="n">
        <v>0</v>
      </c>
      <c r="I505" t="n">
        <v>0</v>
      </c>
      <c r="J505" t="n">
        <v>0</v>
      </c>
      <c r="K505" t="n">
        <v>0</v>
      </c>
      <c r="L505" t="n">
        <v>0</v>
      </c>
      <c r="M505" t="n">
        <v>0</v>
      </c>
      <c r="N505" t="n">
        <v>0</v>
      </c>
      <c r="O505" t="n">
        <v>0</v>
      </c>
      <c r="P505" t="n">
        <v>0</v>
      </c>
      <c r="Q505" t="n">
        <v>0</v>
      </c>
      <c r="R505" s="2" t="inlineStr"/>
    </row>
    <row r="506" ht="15" customHeight="1">
      <c r="A506" t="inlineStr">
        <is>
          <t>A 42913-2022</t>
        </is>
      </c>
      <c r="B506" s="1" t="n">
        <v>44833</v>
      </c>
      <c r="C506" s="1" t="n">
        <v>45828</v>
      </c>
      <c r="D506" t="inlineStr">
        <is>
          <t>DALARNAS LÄN</t>
        </is>
      </c>
      <c r="E506" t="inlineStr">
        <is>
          <t>MALUNG-SÄLEN</t>
        </is>
      </c>
      <c r="G506" t="n">
        <v>6.1</v>
      </c>
      <c r="H506" t="n">
        <v>0</v>
      </c>
      <c r="I506" t="n">
        <v>0</v>
      </c>
      <c r="J506" t="n">
        <v>0</v>
      </c>
      <c r="K506" t="n">
        <v>0</v>
      </c>
      <c r="L506" t="n">
        <v>0</v>
      </c>
      <c r="M506" t="n">
        <v>0</v>
      </c>
      <c r="N506" t="n">
        <v>0</v>
      </c>
      <c r="O506" t="n">
        <v>0</v>
      </c>
      <c r="P506" t="n">
        <v>0</v>
      </c>
      <c r="Q506" t="n">
        <v>0</v>
      </c>
      <c r="R506" s="2" t="inlineStr"/>
    </row>
    <row r="507" ht="15" customHeight="1">
      <c r="A507" t="inlineStr">
        <is>
          <t>A 43189-2022</t>
        </is>
      </c>
      <c r="B507" s="1" t="n">
        <v>44834</v>
      </c>
      <c r="C507" s="1" t="n">
        <v>45828</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43265-2022</t>
        </is>
      </c>
      <c r="B508" s="1" t="n">
        <v>44834</v>
      </c>
      <c r="C508" s="1" t="n">
        <v>45828</v>
      </c>
      <c r="D508" t="inlineStr">
        <is>
          <t>DALARNAS LÄN</t>
        </is>
      </c>
      <c r="E508" t="inlineStr">
        <is>
          <t>MALUNG-SÄLEN</t>
        </is>
      </c>
      <c r="F508" t="inlineStr">
        <is>
          <t>Bergvik skog väst AB</t>
        </is>
      </c>
      <c r="G508" t="n">
        <v>30.5</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45828</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44296-2022</t>
        </is>
      </c>
      <c r="B510" s="1" t="n">
        <v>44839</v>
      </c>
      <c r="C510" s="1" t="n">
        <v>45828</v>
      </c>
      <c r="D510" t="inlineStr">
        <is>
          <t>DALARNAS LÄN</t>
        </is>
      </c>
      <c r="E510" t="inlineStr">
        <is>
          <t>MALUNG-SÄLEN</t>
        </is>
      </c>
      <c r="G510" t="n">
        <v>1.4</v>
      </c>
      <c r="H510" t="n">
        <v>0</v>
      </c>
      <c r="I510" t="n">
        <v>0</v>
      </c>
      <c r="J510" t="n">
        <v>0</v>
      </c>
      <c r="K510" t="n">
        <v>0</v>
      </c>
      <c r="L510" t="n">
        <v>0</v>
      </c>
      <c r="M510" t="n">
        <v>0</v>
      </c>
      <c r="N510" t="n">
        <v>0</v>
      </c>
      <c r="O510" t="n">
        <v>0</v>
      </c>
      <c r="P510" t="n">
        <v>0</v>
      </c>
      <c r="Q510" t="n">
        <v>0</v>
      </c>
      <c r="R510" s="2" t="inlineStr"/>
    </row>
    <row r="511" ht="15" customHeight="1">
      <c r="A511" t="inlineStr">
        <is>
          <t>A 44300-2022</t>
        </is>
      </c>
      <c r="B511" s="1" t="n">
        <v>44839</v>
      </c>
      <c r="C511" s="1" t="n">
        <v>45828</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44614-2022</t>
        </is>
      </c>
      <c r="B512" s="1" t="n">
        <v>44840</v>
      </c>
      <c r="C512" s="1" t="n">
        <v>45828</v>
      </c>
      <c r="D512" t="inlineStr">
        <is>
          <t>DALARNAS LÄN</t>
        </is>
      </c>
      <c r="E512" t="inlineStr">
        <is>
          <t>MALUNG-SÄLEN</t>
        </is>
      </c>
      <c r="G512" t="n">
        <v>2.1</v>
      </c>
      <c r="H512" t="n">
        <v>0</v>
      </c>
      <c r="I512" t="n">
        <v>0</v>
      </c>
      <c r="J512" t="n">
        <v>0</v>
      </c>
      <c r="K512" t="n">
        <v>0</v>
      </c>
      <c r="L512" t="n">
        <v>0</v>
      </c>
      <c r="M512" t="n">
        <v>0</v>
      </c>
      <c r="N512" t="n">
        <v>0</v>
      </c>
      <c r="O512" t="n">
        <v>0</v>
      </c>
      <c r="P512" t="n">
        <v>0</v>
      </c>
      <c r="Q512" t="n">
        <v>0</v>
      </c>
      <c r="R512" s="2" t="inlineStr"/>
    </row>
    <row r="513" ht="15" customHeight="1">
      <c r="A513" t="inlineStr">
        <is>
          <t>A 44612-2022</t>
        </is>
      </c>
      <c r="B513" s="1" t="n">
        <v>44840</v>
      </c>
      <c r="C513" s="1" t="n">
        <v>45828</v>
      </c>
      <c r="D513" t="inlineStr">
        <is>
          <t>DALARNAS LÄN</t>
        </is>
      </c>
      <c r="E513" t="inlineStr">
        <is>
          <t>MALUNG-SÄLEN</t>
        </is>
      </c>
      <c r="G513" t="n">
        <v>12.4</v>
      </c>
      <c r="H513" t="n">
        <v>0</v>
      </c>
      <c r="I513" t="n">
        <v>0</v>
      </c>
      <c r="J513" t="n">
        <v>0</v>
      </c>
      <c r="K513" t="n">
        <v>0</v>
      </c>
      <c r="L513" t="n">
        <v>0</v>
      </c>
      <c r="M513" t="n">
        <v>0</v>
      </c>
      <c r="N513" t="n">
        <v>0</v>
      </c>
      <c r="O513" t="n">
        <v>0</v>
      </c>
      <c r="P513" t="n">
        <v>0</v>
      </c>
      <c r="Q513" t="n">
        <v>0</v>
      </c>
      <c r="R513" s="2" t="inlineStr"/>
    </row>
    <row r="514" ht="15" customHeight="1">
      <c r="A514" t="inlineStr">
        <is>
          <t>A 44825-2022</t>
        </is>
      </c>
      <c r="B514" s="1" t="n">
        <v>44841</v>
      </c>
      <c r="C514" s="1" t="n">
        <v>45828</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44904-2022</t>
        </is>
      </c>
      <c r="B515" s="1" t="n">
        <v>44841</v>
      </c>
      <c r="C515" s="1" t="n">
        <v>45828</v>
      </c>
      <c r="D515" t="inlineStr">
        <is>
          <t>DALARNAS LÄN</t>
        </is>
      </c>
      <c r="E515" t="inlineStr">
        <is>
          <t>MALUNG-SÄLEN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45511-2022</t>
        </is>
      </c>
      <c r="B516" s="1" t="n">
        <v>44841</v>
      </c>
      <c r="C516" s="1" t="n">
        <v>45828</v>
      </c>
      <c r="D516" t="inlineStr">
        <is>
          <t>DALARNAS LÄN</t>
        </is>
      </c>
      <c r="E516" t="inlineStr">
        <is>
          <t>MALUNG-SÄLEN</t>
        </is>
      </c>
      <c r="F516" t="inlineStr">
        <is>
          <t>Allmännings- och besparingsskogar</t>
        </is>
      </c>
      <c r="G516" t="n">
        <v>17.3</v>
      </c>
      <c r="H516" t="n">
        <v>0</v>
      </c>
      <c r="I516" t="n">
        <v>0</v>
      </c>
      <c r="J516" t="n">
        <v>0</v>
      </c>
      <c r="K516" t="n">
        <v>0</v>
      </c>
      <c r="L516" t="n">
        <v>0</v>
      </c>
      <c r="M516" t="n">
        <v>0</v>
      </c>
      <c r="N516" t="n">
        <v>0</v>
      </c>
      <c r="O516" t="n">
        <v>0</v>
      </c>
      <c r="P516" t="n">
        <v>0</v>
      </c>
      <c r="Q516" t="n">
        <v>0</v>
      </c>
      <c r="R516" s="2" t="inlineStr"/>
    </row>
    <row r="517" ht="15" customHeight="1">
      <c r="A517" t="inlineStr">
        <is>
          <t>A 45150-2022</t>
        </is>
      </c>
      <c r="B517" s="1" t="n">
        <v>44844</v>
      </c>
      <c r="C517" s="1" t="n">
        <v>45828</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46169-2022</t>
        </is>
      </c>
      <c r="B518" s="1" t="n">
        <v>44847</v>
      </c>
      <c r="C518" s="1" t="n">
        <v>45828</v>
      </c>
      <c r="D518" t="inlineStr">
        <is>
          <t>DALARNAS LÄN</t>
        </is>
      </c>
      <c r="E518" t="inlineStr">
        <is>
          <t>MALUNG-SÄLEN</t>
        </is>
      </c>
      <c r="F518" t="inlineStr">
        <is>
          <t>Allmännings- och besparingsskogar</t>
        </is>
      </c>
      <c r="G518" t="n">
        <v>6</v>
      </c>
      <c r="H518" t="n">
        <v>0</v>
      </c>
      <c r="I518" t="n">
        <v>0</v>
      </c>
      <c r="J518" t="n">
        <v>0</v>
      </c>
      <c r="K518" t="n">
        <v>0</v>
      </c>
      <c r="L518" t="n">
        <v>0</v>
      </c>
      <c r="M518" t="n">
        <v>0</v>
      </c>
      <c r="N518" t="n">
        <v>0</v>
      </c>
      <c r="O518" t="n">
        <v>0</v>
      </c>
      <c r="P518" t="n">
        <v>0</v>
      </c>
      <c r="Q518" t="n">
        <v>0</v>
      </c>
      <c r="R518" s="2" t="inlineStr"/>
    </row>
    <row r="519" ht="15" customHeight="1">
      <c r="A519" t="inlineStr">
        <is>
          <t>A 46910-2022</t>
        </is>
      </c>
      <c r="B519" s="1" t="n">
        <v>44851</v>
      </c>
      <c r="C519" s="1" t="n">
        <v>45828</v>
      </c>
      <c r="D519" t="inlineStr">
        <is>
          <t>DALARNAS LÄN</t>
        </is>
      </c>
      <c r="E519" t="inlineStr">
        <is>
          <t>MALUNG-SÄLEN</t>
        </is>
      </c>
      <c r="G519" t="n">
        <v>3.2</v>
      </c>
      <c r="H519" t="n">
        <v>0</v>
      </c>
      <c r="I519" t="n">
        <v>0</v>
      </c>
      <c r="J519" t="n">
        <v>0</v>
      </c>
      <c r="K519" t="n">
        <v>0</v>
      </c>
      <c r="L519" t="n">
        <v>0</v>
      </c>
      <c r="M519" t="n">
        <v>0</v>
      </c>
      <c r="N519" t="n">
        <v>0</v>
      </c>
      <c r="O519" t="n">
        <v>0</v>
      </c>
      <c r="P519" t="n">
        <v>0</v>
      </c>
      <c r="Q519" t="n">
        <v>0</v>
      </c>
      <c r="R519" s="2" t="inlineStr"/>
    </row>
    <row r="520" ht="15" customHeight="1">
      <c r="A520" t="inlineStr">
        <is>
          <t>A 47216-2022</t>
        </is>
      </c>
      <c r="B520" s="1" t="n">
        <v>44852</v>
      </c>
      <c r="C520" s="1" t="n">
        <v>45828</v>
      </c>
      <c r="D520" t="inlineStr">
        <is>
          <t>DALARNAS LÄN</t>
        </is>
      </c>
      <c r="E520" t="inlineStr">
        <is>
          <t>MALUNG-SÄLEN</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47007-2022</t>
        </is>
      </c>
      <c r="B521" s="1" t="n">
        <v>44852</v>
      </c>
      <c r="C521" s="1" t="n">
        <v>45828</v>
      </c>
      <c r="D521" t="inlineStr">
        <is>
          <t>DALARNAS LÄN</t>
        </is>
      </c>
      <c r="E521" t="inlineStr">
        <is>
          <t>MALUNG-SÄLEN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47353-2022</t>
        </is>
      </c>
      <c r="B522" s="1" t="n">
        <v>44853</v>
      </c>
      <c r="C522" s="1" t="n">
        <v>45828</v>
      </c>
      <c r="D522" t="inlineStr">
        <is>
          <t>DALARNAS LÄN</t>
        </is>
      </c>
      <c r="E522" t="inlineStr">
        <is>
          <t>MALUNG-SÄLEN</t>
        </is>
      </c>
      <c r="G522" t="n">
        <v>26.8</v>
      </c>
      <c r="H522" t="n">
        <v>0</v>
      </c>
      <c r="I522" t="n">
        <v>0</v>
      </c>
      <c r="J522" t="n">
        <v>0</v>
      </c>
      <c r="K522" t="n">
        <v>0</v>
      </c>
      <c r="L522" t="n">
        <v>0</v>
      </c>
      <c r="M522" t="n">
        <v>0</v>
      </c>
      <c r="N522" t="n">
        <v>0</v>
      </c>
      <c r="O522" t="n">
        <v>0</v>
      </c>
      <c r="P522" t="n">
        <v>0</v>
      </c>
      <c r="Q522" t="n">
        <v>0</v>
      </c>
      <c r="R522" s="2" t="inlineStr"/>
    </row>
    <row r="523" ht="15" customHeight="1">
      <c r="A523" t="inlineStr">
        <is>
          <t>A 47474-2022</t>
        </is>
      </c>
      <c r="B523" s="1" t="n">
        <v>44853</v>
      </c>
      <c r="C523" s="1" t="n">
        <v>45828</v>
      </c>
      <c r="D523" t="inlineStr">
        <is>
          <t>DALARNAS LÄN</t>
        </is>
      </c>
      <c r="E523" t="inlineStr">
        <is>
          <t>MALUNG-SÄLEN</t>
        </is>
      </c>
      <c r="G523" t="n">
        <v>5.8</v>
      </c>
      <c r="H523" t="n">
        <v>0</v>
      </c>
      <c r="I523" t="n">
        <v>0</v>
      </c>
      <c r="J523" t="n">
        <v>0</v>
      </c>
      <c r="K523" t="n">
        <v>0</v>
      </c>
      <c r="L523" t="n">
        <v>0</v>
      </c>
      <c r="M523" t="n">
        <v>0</v>
      </c>
      <c r="N523" t="n">
        <v>0</v>
      </c>
      <c r="O523" t="n">
        <v>0</v>
      </c>
      <c r="P523" t="n">
        <v>0</v>
      </c>
      <c r="Q523" t="n">
        <v>0</v>
      </c>
      <c r="R523" s="2" t="inlineStr"/>
    </row>
    <row r="524" ht="15" customHeight="1">
      <c r="A524" t="inlineStr">
        <is>
          <t>A 47888-2022</t>
        </is>
      </c>
      <c r="B524" s="1" t="n">
        <v>44855</v>
      </c>
      <c r="C524" s="1" t="n">
        <v>45828</v>
      </c>
      <c r="D524" t="inlineStr">
        <is>
          <t>DALARNAS LÄN</t>
        </is>
      </c>
      <c r="E524" t="inlineStr">
        <is>
          <t>MALUNG-SÄLEN</t>
        </is>
      </c>
      <c r="F524" t="inlineStr">
        <is>
          <t>Allmännings- och besparingsskogar</t>
        </is>
      </c>
      <c r="G524" t="n">
        <v>39.6</v>
      </c>
      <c r="H524" t="n">
        <v>0</v>
      </c>
      <c r="I524" t="n">
        <v>0</v>
      </c>
      <c r="J524" t="n">
        <v>0</v>
      </c>
      <c r="K524" t="n">
        <v>0</v>
      </c>
      <c r="L524" t="n">
        <v>0</v>
      </c>
      <c r="M524" t="n">
        <v>0</v>
      </c>
      <c r="N524" t="n">
        <v>0</v>
      </c>
      <c r="O524" t="n">
        <v>0</v>
      </c>
      <c r="P524" t="n">
        <v>0</v>
      </c>
      <c r="Q524" t="n">
        <v>0</v>
      </c>
      <c r="R524" s="2" t="inlineStr"/>
    </row>
    <row r="525" ht="15" customHeight="1">
      <c r="A525" t="inlineStr">
        <is>
          <t>A 48338-2022</t>
        </is>
      </c>
      <c r="B525" s="1" t="n">
        <v>44858</v>
      </c>
      <c r="C525" s="1" t="n">
        <v>45828</v>
      </c>
      <c r="D525" t="inlineStr">
        <is>
          <t>DALARNAS LÄN</t>
        </is>
      </c>
      <c r="E525" t="inlineStr">
        <is>
          <t>MALUNG-SÄLEN</t>
        </is>
      </c>
      <c r="F525" t="inlineStr">
        <is>
          <t>Allmännings- och besparingsskogar</t>
        </is>
      </c>
      <c r="G525" t="n">
        <v>29.5</v>
      </c>
      <c r="H525" t="n">
        <v>0</v>
      </c>
      <c r="I525" t="n">
        <v>0</v>
      </c>
      <c r="J525" t="n">
        <v>0</v>
      </c>
      <c r="K525" t="n">
        <v>0</v>
      </c>
      <c r="L525" t="n">
        <v>0</v>
      </c>
      <c r="M525" t="n">
        <v>0</v>
      </c>
      <c r="N525" t="n">
        <v>0</v>
      </c>
      <c r="O525" t="n">
        <v>0</v>
      </c>
      <c r="P525" t="n">
        <v>0</v>
      </c>
      <c r="Q525" t="n">
        <v>0</v>
      </c>
      <c r="R525" s="2" t="inlineStr"/>
    </row>
    <row r="526" ht="15" customHeight="1">
      <c r="A526" t="inlineStr">
        <is>
          <t>A 48481-2022</t>
        </is>
      </c>
      <c r="B526" s="1" t="n">
        <v>44858</v>
      </c>
      <c r="C526" s="1" t="n">
        <v>45828</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48982-2022</t>
        </is>
      </c>
      <c r="B527" s="1" t="n">
        <v>44860</v>
      </c>
      <c r="C527" s="1" t="n">
        <v>45828</v>
      </c>
      <c r="D527" t="inlineStr">
        <is>
          <t>DALARNAS LÄN</t>
        </is>
      </c>
      <c r="E527" t="inlineStr">
        <is>
          <t>MALUNG-SÄLEN</t>
        </is>
      </c>
      <c r="G527" t="n">
        <v>1.5</v>
      </c>
      <c r="H527" t="n">
        <v>0</v>
      </c>
      <c r="I527" t="n">
        <v>0</v>
      </c>
      <c r="J527" t="n">
        <v>0</v>
      </c>
      <c r="K527" t="n">
        <v>0</v>
      </c>
      <c r="L527" t="n">
        <v>0</v>
      </c>
      <c r="M527" t="n">
        <v>0</v>
      </c>
      <c r="N527" t="n">
        <v>0</v>
      </c>
      <c r="O527" t="n">
        <v>0</v>
      </c>
      <c r="P527" t="n">
        <v>0</v>
      </c>
      <c r="Q527" t="n">
        <v>0</v>
      </c>
      <c r="R527" s="2" t="inlineStr"/>
    </row>
    <row r="528" ht="15" customHeight="1">
      <c r="A528" t="inlineStr">
        <is>
          <t>A 49575-2022</t>
        </is>
      </c>
      <c r="B528" s="1" t="n">
        <v>44862</v>
      </c>
      <c r="C528" s="1" t="n">
        <v>45828</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49595-2022</t>
        </is>
      </c>
      <c r="B529" s="1" t="n">
        <v>44862</v>
      </c>
      <c r="C529" s="1" t="n">
        <v>45828</v>
      </c>
      <c r="D529" t="inlineStr">
        <is>
          <t>DALARNAS LÄN</t>
        </is>
      </c>
      <c r="E529" t="inlineStr">
        <is>
          <t>MALUNG-SÄLEN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49573-2022</t>
        </is>
      </c>
      <c r="B530" s="1" t="n">
        <v>44862</v>
      </c>
      <c r="C530" s="1" t="n">
        <v>45828</v>
      </c>
      <c r="D530" t="inlineStr">
        <is>
          <t>DALARNAS LÄN</t>
        </is>
      </c>
      <c r="E530" t="inlineStr">
        <is>
          <t>MALUNG-SÄLEN</t>
        </is>
      </c>
      <c r="G530" t="n">
        <v>5</v>
      </c>
      <c r="H530" t="n">
        <v>0</v>
      </c>
      <c r="I530" t="n">
        <v>0</v>
      </c>
      <c r="J530" t="n">
        <v>0</v>
      </c>
      <c r="K530" t="n">
        <v>0</v>
      </c>
      <c r="L530" t="n">
        <v>0</v>
      </c>
      <c r="M530" t="n">
        <v>0</v>
      </c>
      <c r="N530" t="n">
        <v>0</v>
      </c>
      <c r="O530" t="n">
        <v>0</v>
      </c>
      <c r="P530" t="n">
        <v>0</v>
      </c>
      <c r="Q530" t="n">
        <v>0</v>
      </c>
      <c r="R530" s="2" t="inlineStr"/>
    </row>
    <row r="531" ht="15" customHeight="1">
      <c r="A531" t="inlineStr">
        <is>
          <t>A 50763-2022</t>
        </is>
      </c>
      <c r="B531" s="1" t="n">
        <v>44862</v>
      </c>
      <c r="C531" s="1" t="n">
        <v>45828</v>
      </c>
      <c r="D531" t="inlineStr">
        <is>
          <t>DALARNAS LÄN</t>
        </is>
      </c>
      <c r="E531" t="inlineStr">
        <is>
          <t>MALUNG-SÄLEN</t>
        </is>
      </c>
      <c r="G531" t="n">
        <v>12.6</v>
      </c>
      <c r="H531" t="n">
        <v>0</v>
      </c>
      <c r="I531" t="n">
        <v>0</v>
      </c>
      <c r="J531" t="n">
        <v>0</v>
      </c>
      <c r="K531" t="n">
        <v>0</v>
      </c>
      <c r="L531" t="n">
        <v>0</v>
      </c>
      <c r="M531" t="n">
        <v>0</v>
      </c>
      <c r="N531" t="n">
        <v>0</v>
      </c>
      <c r="O531" t="n">
        <v>0</v>
      </c>
      <c r="P531" t="n">
        <v>0</v>
      </c>
      <c r="Q531" t="n">
        <v>0</v>
      </c>
      <c r="R531" s="2" t="inlineStr"/>
    </row>
    <row r="532" ht="15" customHeight="1">
      <c r="A532" t="inlineStr">
        <is>
          <t>A 50761-2022</t>
        </is>
      </c>
      <c r="B532" s="1" t="n">
        <v>44862</v>
      </c>
      <c r="C532" s="1" t="n">
        <v>45828</v>
      </c>
      <c r="D532" t="inlineStr">
        <is>
          <t>DALARNAS LÄN</t>
        </is>
      </c>
      <c r="E532" t="inlineStr">
        <is>
          <t>MALUNG-SÄLEN</t>
        </is>
      </c>
      <c r="G532" t="n">
        <v>0.4</v>
      </c>
      <c r="H532" t="n">
        <v>0</v>
      </c>
      <c r="I532" t="n">
        <v>0</v>
      </c>
      <c r="J532" t="n">
        <v>0</v>
      </c>
      <c r="K532" t="n">
        <v>0</v>
      </c>
      <c r="L532" t="n">
        <v>0</v>
      </c>
      <c r="M532" t="n">
        <v>0</v>
      </c>
      <c r="N532" t="n">
        <v>0</v>
      </c>
      <c r="O532" t="n">
        <v>0</v>
      </c>
      <c r="P532" t="n">
        <v>0</v>
      </c>
      <c r="Q532" t="n">
        <v>0</v>
      </c>
      <c r="R532" s="2" t="inlineStr"/>
    </row>
    <row r="533" ht="15" customHeight="1">
      <c r="A533" t="inlineStr">
        <is>
          <t>A 50232-2022</t>
        </is>
      </c>
      <c r="B533" s="1" t="n">
        <v>44865</v>
      </c>
      <c r="C533" s="1" t="n">
        <v>45828</v>
      </c>
      <c r="D533" t="inlineStr">
        <is>
          <t>DALARNAS LÄN</t>
        </is>
      </c>
      <c r="E533" t="inlineStr">
        <is>
          <t>MALUNG-SÄLEN</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51623-2022</t>
        </is>
      </c>
      <c r="B534" s="1" t="n">
        <v>44867</v>
      </c>
      <c r="C534" s="1" t="n">
        <v>45828</v>
      </c>
      <c r="D534" t="inlineStr">
        <is>
          <t>DALARNAS LÄN</t>
        </is>
      </c>
      <c r="E534" t="inlineStr">
        <is>
          <t>MALUNG-SÄLEN</t>
        </is>
      </c>
      <c r="G534" t="n">
        <v>5.1</v>
      </c>
      <c r="H534" t="n">
        <v>0</v>
      </c>
      <c r="I534" t="n">
        <v>0</v>
      </c>
      <c r="J534" t="n">
        <v>0</v>
      </c>
      <c r="K534" t="n">
        <v>0</v>
      </c>
      <c r="L534" t="n">
        <v>0</v>
      </c>
      <c r="M534" t="n">
        <v>0</v>
      </c>
      <c r="N534" t="n">
        <v>0</v>
      </c>
      <c r="O534" t="n">
        <v>0</v>
      </c>
      <c r="P534" t="n">
        <v>0</v>
      </c>
      <c r="Q534" t="n">
        <v>0</v>
      </c>
      <c r="R534" s="2" t="inlineStr"/>
    </row>
    <row r="535" ht="15" customHeight="1">
      <c r="A535" t="inlineStr">
        <is>
          <t>A 51675-2022</t>
        </is>
      </c>
      <c r="B535" s="1" t="n">
        <v>44867</v>
      </c>
      <c r="C535" s="1" t="n">
        <v>45828</v>
      </c>
      <c r="D535" t="inlineStr">
        <is>
          <t>DALARNAS LÄN</t>
        </is>
      </c>
      <c r="E535" t="inlineStr">
        <is>
          <t>MALUNG-SÄLEN</t>
        </is>
      </c>
      <c r="G535" t="n">
        <v>0.1</v>
      </c>
      <c r="H535" t="n">
        <v>0</v>
      </c>
      <c r="I535" t="n">
        <v>0</v>
      </c>
      <c r="J535" t="n">
        <v>0</v>
      </c>
      <c r="K535" t="n">
        <v>0</v>
      </c>
      <c r="L535" t="n">
        <v>0</v>
      </c>
      <c r="M535" t="n">
        <v>0</v>
      </c>
      <c r="N535" t="n">
        <v>0</v>
      </c>
      <c r="O535" t="n">
        <v>0</v>
      </c>
      <c r="P535" t="n">
        <v>0</v>
      </c>
      <c r="Q535" t="n">
        <v>0</v>
      </c>
      <c r="R535" s="2" t="inlineStr"/>
    </row>
    <row r="536" ht="15" customHeight="1">
      <c r="A536" t="inlineStr">
        <is>
          <t>A 51284-2022</t>
        </is>
      </c>
      <c r="B536" s="1" t="n">
        <v>44868</v>
      </c>
      <c r="C536" s="1" t="n">
        <v>45828</v>
      </c>
      <c r="D536" t="inlineStr">
        <is>
          <t>DALARNAS LÄN</t>
        </is>
      </c>
      <c r="E536" t="inlineStr">
        <is>
          <t>MALUNG-SÄLEN</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51441-2022</t>
        </is>
      </c>
      <c r="B537" s="1" t="n">
        <v>44869</v>
      </c>
      <c r="C537" s="1" t="n">
        <v>45828</v>
      </c>
      <c r="D537" t="inlineStr">
        <is>
          <t>DALARNAS LÄN</t>
        </is>
      </c>
      <c r="E537" t="inlineStr">
        <is>
          <t>MALUNG-SÄLEN</t>
        </is>
      </c>
      <c r="G537" t="n">
        <v>3.6</v>
      </c>
      <c r="H537" t="n">
        <v>0</v>
      </c>
      <c r="I537" t="n">
        <v>0</v>
      </c>
      <c r="J537" t="n">
        <v>0</v>
      </c>
      <c r="K537" t="n">
        <v>0</v>
      </c>
      <c r="L537" t="n">
        <v>0</v>
      </c>
      <c r="M537" t="n">
        <v>0</v>
      </c>
      <c r="N537" t="n">
        <v>0</v>
      </c>
      <c r="O537" t="n">
        <v>0</v>
      </c>
      <c r="P537" t="n">
        <v>0</v>
      </c>
      <c r="Q537" t="n">
        <v>0</v>
      </c>
      <c r="R537" s="2" t="inlineStr"/>
    </row>
    <row r="538" ht="15" customHeight="1">
      <c r="A538" t="inlineStr">
        <is>
          <t>A 52964-2022</t>
        </is>
      </c>
      <c r="B538" s="1" t="n">
        <v>44875</v>
      </c>
      <c r="C538" s="1" t="n">
        <v>45828</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54199-2022</t>
        </is>
      </c>
      <c r="B539" s="1" t="n">
        <v>44881</v>
      </c>
      <c r="C539" s="1" t="n">
        <v>45828</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54241-2022</t>
        </is>
      </c>
      <c r="B540" s="1" t="n">
        <v>44881</v>
      </c>
      <c r="C540" s="1" t="n">
        <v>45828</v>
      </c>
      <c r="D540" t="inlineStr">
        <is>
          <t>DALARNAS LÄN</t>
        </is>
      </c>
      <c r="E540" t="inlineStr">
        <is>
          <t>MALUNG-SÄLEN</t>
        </is>
      </c>
      <c r="G540" t="n">
        <v>7.6</v>
      </c>
      <c r="H540" t="n">
        <v>0</v>
      </c>
      <c r="I540" t="n">
        <v>0</v>
      </c>
      <c r="J540" t="n">
        <v>0</v>
      </c>
      <c r="K540" t="n">
        <v>0</v>
      </c>
      <c r="L540" t="n">
        <v>0</v>
      </c>
      <c r="M540" t="n">
        <v>0</v>
      </c>
      <c r="N540" t="n">
        <v>0</v>
      </c>
      <c r="O540" t="n">
        <v>0</v>
      </c>
      <c r="P540" t="n">
        <v>0</v>
      </c>
      <c r="Q540" t="n">
        <v>0</v>
      </c>
      <c r="R540" s="2" t="inlineStr"/>
    </row>
    <row r="541" ht="15" customHeight="1">
      <c r="A541" t="inlineStr">
        <is>
          <t>A 54253-2022</t>
        </is>
      </c>
      <c r="B541" s="1" t="n">
        <v>44881</v>
      </c>
      <c r="C541" s="1" t="n">
        <v>45828</v>
      </c>
      <c r="D541" t="inlineStr">
        <is>
          <t>DALARNAS LÄN</t>
        </is>
      </c>
      <c r="E541" t="inlineStr">
        <is>
          <t>MALUNG-SÄLEN</t>
        </is>
      </c>
      <c r="G541" t="n">
        <v>0.9</v>
      </c>
      <c r="H541" t="n">
        <v>0</v>
      </c>
      <c r="I541" t="n">
        <v>0</v>
      </c>
      <c r="J541" t="n">
        <v>0</v>
      </c>
      <c r="K541" t="n">
        <v>0</v>
      </c>
      <c r="L541" t="n">
        <v>0</v>
      </c>
      <c r="M541" t="n">
        <v>0</v>
      </c>
      <c r="N541" t="n">
        <v>0</v>
      </c>
      <c r="O541" t="n">
        <v>0</v>
      </c>
      <c r="P541" t="n">
        <v>0</v>
      </c>
      <c r="Q541" t="n">
        <v>0</v>
      </c>
      <c r="R541" s="2" t="inlineStr"/>
    </row>
    <row r="542" ht="15" customHeight="1">
      <c r="A542" t="inlineStr">
        <is>
          <t>A 54932-2022</t>
        </is>
      </c>
      <c r="B542" s="1" t="n">
        <v>44881</v>
      </c>
      <c r="C542" s="1" t="n">
        <v>45828</v>
      </c>
      <c r="D542" t="inlineStr">
        <is>
          <t>DALARNAS LÄN</t>
        </is>
      </c>
      <c r="E542" t="inlineStr">
        <is>
          <t>MALUNG-SÄLEN</t>
        </is>
      </c>
      <c r="G542" t="n">
        <v>11.9</v>
      </c>
      <c r="H542" t="n">
        <v>0</v>
      </c>
      <c r="I542" t="n">
        <v>0</v>
      </c>
      <c r="J542" t="n">
        <v>0</v>
      </c>
      <c r="K542" t="n">
        <v>0</v>
      </c>
      <c r="L542" t="n">
        <v>0</v>
      </c>
      <c r="M542" t="n">
        <v>0</v>
      </c>
      <c r="N542" t="n">
        <v>0</v>
      </c>
      <c r="O542" t="n">
        <v>0</v>
      </c>
      <c r="P542" t="n">
        <v>0</v>
      </c>
      <c r="Q542" t="n">
        <v>0</v>
      </c>
      <c r="R542" s="2" t="inlineStr"/>
    </row>
    <row r="543" ht="15" customHeight="1">
      <c r="A543" t="inlineStr">
        <is>
          <t>A 54464-2022</t>
        </is>
      </c>
      <c r="B543" s="1" t="n">
        <v>44882</v>
      </c>
      <c r="C543" s="1" t="n">
        <v>45828</v>
      </c>
      <c r="D543" t="inlineStr">
        <is>
          <t>DALARNAS LÄN</t>
        </is>
      </c>
      <c r="E543" t="inlineStr">
        <is>
          <t>MALUNG-SÄLEN</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54928-2022</t>
        </is>
      </c>
      <c r="B544" s="1" t="n">
        <v>44886</v>
      </c>
      <c r="C544" s="1" t="n">
        <v>45828</v>
      </c>
      <c r="D544" t="inlineStr">
        <is>
          <t>DALARNAS LÄN</t>
        </is>
      </c>
      <c r="E544" t="inlineStr">
        <is>
          <t>MALUNG-SÄLEN</t>
        </is>
      </c>
      <c r="G544" t="n">
        <v>2.7</v>
      </c>
      <c r="H544" t="n">
        <v>0</v>
      </c>
      <c r="I544" t="n">
        <v>0</v>
      </c>
      <c r="J544" t="n">
        <v>0</v>
      </c>
      <c r="K544" t="n">
        <v>0</v>
      </c>
      <c r="L544" t="n">
        <v>0</v>
      </c>
      <c r="M544" t="n">
        <v>0</v>
      </c>
      <c r="N544" t="n">
        <v>0</v>
      </c>
      <c r="O544" t="n">
        <v>0</v>
      </c>
      <c r="P544" t="n">
        <v>0</v>
      </c>
      <c r="Q544" t="n">
        <v>0</v>
      </c>
      <c r="R544" s="2" t="inlineStr"/>
    </row>
    <row r="545" ht="15" customHeight="1">
      <c r="A545" t="inlineStr">
        <is>
          <t>A 54939-2022</t>
        </is>
      </c>
      <c r="B545" s="1" t="n">
        <v>44886</v>
      </c>
      <c r="C545" s="1" t="n">
        <v>45828</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54933-2022</t>
        </is>
      </c>
      <c r="B546" s="1" t="n">
        <v>44886</v>
      </c>
      <c r="C546" s="1" t="n">
        <v>45828</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55276-2022</t>
        </is>
      </c>
      <c r="B547" s="1" t="n">
        <v>44887</v>
      </c>
      <c r="C547" s="1" t="n">
        <v>45828</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55308-2022</t>
        </is>
      </c>
      <c r="B548" s="1" t="n">
        <v>44887</v>
      </c>
      <c r="C548" s="1" t="n">
        <v>45828</v>
      </c>
      <c r="D548" t="inlineStr">
        <is>
          <t>DALARNAS LÄN</t>
        </is>
      </c>
      <c r="E548" t="inlineStr">
        <is>
          <t>MALUNG-SÄLEN</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55555-2022</t>
        </is>
      </c>
      <c r="B549" s="1" t="n">
        <v>44888</v>
      </c>
      <c r="C549" s="1" t="n">
        <v>45828</v>
      </c>
      <c r="D549" t="inlineStr">
        <is>
          <t>DALARNAS LÄN</t>
        </is>
      </c>
      <c r="E549" t="inlineStr">
        <is>
          <t>MALUNG-SÄLEN</t>
        </is>
      </c>
      <c r="G549" t="n">
        <v>1.2</v>
      </c>
      <c r="H549" t="n">
        <v>0</v>
      </c>
      <c r="I549" t="n">
        <v>0</v>
      </c>
      <c r="J549" t="n">
        <v>0</v>
      </c>
      <c r="K549" t="n">
        <v>0</v>
      </c>
      <c r="L549" t="n">
        <v>0</v>
      </c>
      <c r="M549" t="n">
        <v>0</v>
      </c>
      <c r="N549" t="n">
        <v>0</v>
      </c>
      <c r="O549" t="n">
        <v>0</v>
      </c>
      <c r="P549" t="n">
        <v>0</v>
      </c>
      <c r="Q549" t="n">
        <v>0</v>
      </c>
      <c r="R549" s="2" t="inlineStr"/>
    </row>
    <row r="550" ht="15" customHeight="1">
      <c r="A550" t="inlineStr">
        <is>
          <t>A 55847-2022</t>
        </is>
      </c>
      <c r="B550" s="1" t="n">
        <v>44888</v>
      </c>
      <c r="C550" s="1" t="n">
        <v>45828</v>
      </c>
      <c r="D550" t="inlineStr">
        <is>
          <t>DALARNAS LÄN</t>
        </is>
      </c>
      <c r="E550" t="inlineStr">
        <is>
          <t>MALUNG-SÄLEN</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56274-2022</t>
        </is>
      </c>
      <c r="B551" s="1" t="n">
        <v>44890</v>
      </c>
      <c r="C551" s="1" t="n">
        <v>45828</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56613-2022</t>
        </is>
      </c>
      <c r="B552" s="1" t="n">
        <v>44893</v>
      </c>
      <c r="C552" s="1" t="n">
        <v>45828</v>
      </c>
      <c r="D552" t="inlineStr">
        <is>
          <t>DALARNAS LÄN</t>
        </is>
      </c>
      <c r="E552" t="inlineStr">
        <is>
          <t>MALUNG-SÄLEN</t>
        </is>
      </c>
      <c r="F552" t="inlineStr">
        <is>
          <t>Bergvik skog väst AB</t>
        </is>
      </c>
      <c r="G552" t="n">
        <v>13.2</v>
      </c>
      <c r="H552" t="n">
        <v>0</v>
      </c>
      <c r="I552" t="n">
        <v>0</v>
      </c>
      <c r="J552" t="n">
        <v>0</v>
      </c>
      <c r="K552" t="n">
        <v>0</v>
      </c>
      <c r="L552" t="n">
        <v>0</v>
      </c>
      <c r="M552" t="n">
        <v>0</v>
      </c>
      <c r="N552" t="n">
        <v>0</v>
      </c>
      <c r="O552" t="n">
        <v>0</v>
      </c>
      <c r="P552" t="n">
        <v>0</v>
      </c>
      <c r="Q552" t="n">
        <v>0</v>
      </c>
      <c r="R552" s="2" t="inlineStr"/>
    </row>
    <row r="553" ht="15" customHeight="1">
      <c r="A553" t="inlineStr">
        <is>
          <t>A 56573-2022</t>
        </is>
      </c>
      <c r="B553" s="1" t="n">
        <v>44893</v>
      </c>
      <c r="C553" s="1" t="n">
        <v>45828</v>
      </c>
      <c r="D553" t="inlineStr">
        <is>
          <t>DALARNAS LÄN</t>
        </is>
      </c>
      <c r="E553" t="inlineStr">
        <is>
          <t>MALUNG-SÄLEN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56848-2022</t>
        </is>
      </c>
      <c r="B554" s="1" t="n">
        <v>44894</v>
      </c>
      <c r="C554" s="1" t="n">
        <v>45828</v>
      </c>
      <c r="D554" t="inlineStr">
        <is>
          <t>DALARNAS LÄN</t>
        </is>
      </c>
      <c r="E554" t="inlineStr">
        <is>
          <t>MALUNG-SÄLEN</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57388-2022</t>
        </is>
      </c>
      <c r="B555" s="1" t="n">
        <v>44896</v>
      </c>
      <c r="C555" s="1" t="n">
        <v>45828</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57744-2022</t>
        </is>
      </c>
      <c r="B556" s="1" t="n">
        <v>44897</v>
      </c>
      <c r="C556" s="1" t="n">
        <v>45828</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57645-2022</t>
        </is>
      </c>
      <c r="B557" s="1" t="n">
        <v>44897</v>
      </c>
      <c r="C557" s="1" t="n">
        <v>45828</v>
      </c>
      <c r="D557" t="inlineStr">
        <is>
          <t>DALARNAS LÄN</t>
        </is>
      </c>
      <c r="E557" t="inlineStr">
        <is>
          <t>MALUNG-SÄLEN</t>
        </is>
      </c>
      <c r="G557" t="n">
        <v>4.8</v>
      </c>
      <c r="H557" t="n">
        <v>0</v>
      </c>
      <c r="I557" t="n">
        <v>0</v>
      </c>
      <c r="J557" t="n">
        <v>0</v>
      </c>
      <c r="K557" t="n">
        <v>0</v>
      </c>
      <c r="L557" t="n">
        <v>0</v>
      </c>
      <c r="M557" t="n">
        <v>0</v>
      </c>
      <c r="N557" t="n">
        <v>0</v>
      </c>
      <c r="O557" t="n">
        <v>0</v>
      </c>
      <c r="P557" t="n">
        <v>0</v>
      </c>
      <c r="Q557" t="n">
        <v>0</v>
      </c>
      <c r="R557" s="2" t="inlineStr"/>
    </row>
    <row r="558" ht="15" customHeight="1">
      <c r="A558" t="inlineStr">
        <is>
          <t>A 57746-2022</t>
        </is>
      </c>
      <c r="B558" s="1" t="n">
        <v>44897</v>
      </c>
      <c r="C558" s="1" t="n">
        <v>45828</v>
      </c>
      <c r="D558" t="inlineStr">
        <is>
          <t>DALARNAS LÄN</t>
        </is>
      </c>
      <c r="E558" t="inlineStr">
        <is>
          <t>MALUNG-SÄLEN</t>
        </is>
      </c>
      <c r="G558" t="n">
        <v>3</v>
      </c>
      <c r="H558" t="n">
        <v>0</v>
      </c>
      <c r="I558" t="n">
        <v>0</v>
      </c>
      <c r="J558" t="n">
        <v>0</v>
      </c>
      <c r="K558" t="n">
        <v>0</v>
      </c>
      <c r="L558" t="n">
        <v>0</v>
      </c>
      <c r="M558" t="n">
        <v>0</v>
      </c>
      <c r="N558" t="n">
        <v>0</v>
      </c>
      <c r="O558" t="n">
        <v>0</v>
      </c>
      <c r="P558" t="n">
        <v>0</v>
      </c>
      <c r="Q558" t="n">
        <v>0</v>
      </c>
      <c r="R558" s="2" t="inlineStr"/>
    </row>
    <row r="559" ht="15" customHeight="1">
      <c r="A559" t="inlineStr">
        <is>
          <t>A 57742-2022</t>
        </is>
      </c>
      <c r="B559" s="1" t="n">
        <v>44897</v>
      </c>
      <c r="C559" s="1" t="n">
        <v>45828</v>
      </c>
      <c r="D559" t="inlineStr">
        <is>
          <t>DALARNAS LÄN</t>
        </is>
      </c>
      <c r="E559" t="inlineStr">
        <is>
          <t>MALUNG-SÄLEN</t>
        </is>
      </c>
      <c r="G559" t="n">
        <v>1.4</v>
      </c>
      <c r="H559" t="n">
        <v>0</v>
      </c>
      <c r="I559" t="n">
        <v>0</v>
      </c>
      <c r="J559" t="n">
        <v>0</v>
      </c>
      <c r="K559" t="n">
        <v>0</v>
      </c>
      <c r="L559" t="n">
        <v>0</v>
      </c>
      <c r="M559" t="n">
        <v>0</v>
      </c>
      <c r="N559" t="n">
        <v>0</v>
      </c>
      <c r="O559" t="n">
        <v>0</v>
      </c>
      <c r="P559" t="n">
        <v>0</v>
      </c>
      <c r="Q559" t="n">
        <v>0</v>
      </c>
      <c r="R559" s="2" t="inlineStr"/>
    </row>
    <row r="560" ht="15" customHeight="1">
      <c r="A560" t="inlineStr">
        <is>
          <t>A 57895-2022</t>
        </is>
      </c>
      <c r="B560" s="1" t="n">
        <v>44900</v>
      </c>
      <c r="C560" s="1" t="n">
        <v>45828</v>
      </c>
      <c r="D560" t="inlineStr">
        <is>
          <t>DALARNAS LÄN</t>
        </is>
      </c>
      <c r="E560" t="inlineStr">
        <is>
          <t>MALUNG-SÄLEN</t>
        </is>
      </c>
      <c r="F560" t="inlineStr">
        <is>
          <t>Allmännings- och besparingsskogar</t>
        </is>
      </c>
      <c r="G560" t="n">
        <v>6</v>
      </c>
      <c r="H560" t="n">
        <v>0</v>
      </c>
      <c r="I560" t="n">
        <v>0</v>
      </c>
      <c r="J560" t="n">
        <v>0</v>
      </c>
      <c r="K560" t="n">
        <v>0</v>
      </c>
      <c r="L560" t="n">
        <v>0</v>
      </c>
      <c r="M560" t="n">
        <v>0</v>
      </c>
      <c r="N560" t="n">
        <v>0</v>
      </c>
      <c r="O560" t="n">
        <v>0</v>
      </c>
      <c r="P560" t="n">
        <v>0</v>
      </c>
      <c r="Q560" t="n">
        <v>0</v>
      </c>
      <c r="R560" s="2" t="inlineStr"/>
    </row>
    <row r="561" ht="15" customHeight="1">
      <c r="A561" t="inlineStr">
        <is>
          <t>A 57909-2022</t>
        </is>
      </c>
      <c r="B561" s="1" t="n">
        <v>44900</v>
      </c>
      <c r="C561" s="1" t="n">
        <v>45828</v>
      </c>
      <c r="D561" t="inlineStr">
        <is>
          <t>DALARNAS LÄN</t>
        </is>
      </c>
      <c r="E561" t="inlineStr">
        <is>
          <t>MALUNG-SÄLEN</t>
        </is>
      </c>
      <c r="F561" t="inlineStr">
        <is>
          <t>Allmännings- och besparingsskogar</t>
        </is>
      </c>
      <c r="G561" t="n">
        <v>16.2</v>
      </c>
      <c r="H561" t="n">
        <v>0</v>
      </c>
      <c r="I561" t="n">
        <v>0</v>
      </c>
      <c r="J561" t="n">
        <v>0</v>
      </c>
      <c r="K561" t="n">
        <v>0</v>
      </c>
      <c r="L561" t="n">
        <v>0</v>
      </c>
      <c r="M561" t="n">
        <v>0</v>
      </c>
      <c r="N561" t="n">
        <v>0</v>
      </c>
      <c r="O561" t="n">
        <v>0</v>
      </c>
      <c r="P561" t="n">
        <v>0</v>
      </c>
      <c r="Q561" t="n">
        <v>0</v>
      </c>
      <c r="R561" s="2" t="inlineStr"/>
    </row>
    <row r="562" ht="15" customHeight="1">
      <c r="A562" t="inlineStr">
        <is>
          <t>A 57928-2022</t>
        </is>
      </c>
      <c r="B562" s="1" t="n">
        <v>44900</v>
      </c>
      <c r="C562" s="1" t="n">
        <v>45828</v>
      </c>
      <c r="D562" t="inlineStr">
        <is>
          <t>DALARNAS LÄN</t>
        </is>
      </c>
      <c r="E562" t="inlineStr">
        <is>
          <t>MALUNG-SÄLEN</t>
        </is>
      </c>
      <c r="G562" t="n">
        <v>4.5</v>
      </c>
      <c r="H562" t="n">
        <v>0</v>
      </c>
      <c r="I562" t="n">
        <v>0</v>
      </c>
      <c r="J562" t="n">
        <v>0</v>
      </c>
      <c r="K562" t="n">
        <v>0</v>
      </c>
      <c r="L562" t="n">
        <v>0</v>
      </c>
      <c r="M562" t="n">
        <v>0</v>
      </c>
      <c r="N562" t="n">
        <v>0</v>
      </c>
      <c r="O562" t="n">
        <v>0</v>
      </c>
      <c r="P562" t="n">
        <v>0</v>
      </c>
      <c r="Q562" t="n">
        <v>0</v>
      </c>
      <c r="R562" s="2" t="inlineStr"/>
    </row>
    <row r="563" ht="15" customHeight="1">
      <c r="A563" t="inlineStr">
        <is>
          <t>A 58772-2022</t>
        </is>
      </c>
      <c r="B563" s="1" t="n">
        <v>44903</v>
      </c>
      <c r="C563" s="1" t="n">
        <v>45828</v>
      </c>
      <c r="D563" t="inlineStr">
        <is>
          <t>DALARNAS LÄN</t>
        </is>
      </c>
      <c r="E563" t="inlineStr">
        <is>
          <t>MALUNG-SÄLEN</t>
        </is>
      </c>
      <c r="G563" t="n">
        <v>5.2</v>
      </c>
      <c r="H563" t="n">
        <v>0</v>
      </c>
      <c r="I563" t="n">
        <v>0</v>
      </c>
      <c r="J563" t="n">
        <v>0</v>
      </c>
      <c r="K563" t="n">
        <v>0</v>
      </c>
      <c r="L563" t="n">
        <v>0</v>
      </c>
      <c r="M563" t="n">
        <v>0</v>
      </c>
      <c r="N563" t="n">
        <v>0</v>
      </c>
      <c r="O563" t="n">
        <v>0</v>
      </c>
      <c r="P563" t="n">
        <v>0</v>
      </c>
      <c r="Q563" t="n">
        <v>0</v>
      </c>
      <c r="R563" s="2" t="inlineStr"/>
    </row>
    <row r="564" ht="15" customHeight="1">
      <c r="A564" t="inlineStr">
        <is>
          <t>A 58832-2022</t>
        </is>
      </c>
      <c r="B564" s="1" t="n">
        <v>44903</v>
      </c>
      <c r="C564" s="1" t="n">
        <v>45828</v>
      </c>
      <c r="D564" t="inlineStr">
        <is>
          <t>DALARNAS LÄN</t>
        </is>
      </c>
      <c r="E564" t="inlineStr">
        <is>
          <t>MALUNG-SÄLEN</t>
        </is>
      </c>
      <c r="G564" t="n">
        <v>1.7</v>
      </c>
      <c r="H564" t="n">
        <v>0</v>
      </c>
      <c r="I564" t="n">
        <v>0</v>
      </c>
      <c r="J564" t="n">
        <v>0</v>
      </c>
      <c r="K564" t="n">
        <v>0</v>
      </c>
      <c r="L564" t="n">
        <v>0</v>
      </c>
      <c r="M564" t="n">
        <v>0</v>
      </c>
      <c r="N564" t="n">
        <v>0</v>
      </c>
      <c r="O564" t="n">
        <v>0</v>
      </c>
      <c r="P564" t="n">
        <v>0</v>
      </c>
      <c r="Q564" t="n">
        <v>0</v>
      </c>
      <c r="R564" s="2" t="inlineStr"/>
    </row>
    <row r="565" ht="15" customHeight="1">
      <c r="A565" t="inlineStr">
        <is>
          <t>A 58840-2022</t>
        </is>
      </c>
      <c r="B565" s="1" t="n">
        <v>44903</v>
      </c>
      <c r="C565" s="1" t="n">
        <v>45828</v>
      </c>
      <c r="D565" t="inlineStr">
        <is>
          <t>DALARNAS LÄN</t>
        </is>
      </c>
      <c r="E565" t="inlineStr">
        <is>
          <t>MALUNG-SÄLEN</t>
        </is>
      </c>
      <c r="G565" t="n">
        <v>4</v>
      </c>
      <c r="H565" t="n">
        <v>0</v>
      </c>
      <c r="I565" t="n">
        <v>0</v>
      </c>
      <c r="J565" t="n">
        <v>0</v>
      </c>
      <c r="K565" t="n">
        <v>0</v>
      </c>
      <c r="L565" t="n">
        <v>0</v>
      </c>
      <c r="M565" t="n">
        <v>0</v>
      </c>
      <c r="N565" t="n">
        <v>0</v>
      </c>
      <c r="O565" t="n">
        <v>0</v>
      </c>
      <c r="P565" t="n">
        <v>0</v>
      </c>
      <c r="Q565" t="n">
        <v>0</v>
      </c>
      <c r="R565" s="2" t="inlineStr"/>
    </row>
    <row r="566" ht="15" customHeight="1">
      <c r="A566" t="inlineStr">
        <is>
          <t>A 59452-2022</t>
        </is>
      </c>
      <c r="B566" s="1" t="n">
        <v>44907</v>
      </c>
      <c r="C566" s="1" t="n">
        <v>45828</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59603-2022</t>
        </is>
      </c>
      <c r="B567" s="1" t="n">
        <v>44907</v>
      </c>
      <c r="C567" s="1" t="n">
        <v>45828</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59753-2022</t>
        </is>
      </c>
      <c r="B568" s="1" t="n">
        <v>44908</v>
      </c>
      <c r="C568" s="1" t="n">
        <v>45828</v>
      </c>
      <c r="D568" t="inlineStr">
        <is>
          <t>DALARNAS LÄN</t>
        </is>
      </c>
      <c r="E568" t="inlineStr">
        <is>
          <t>MALUNG-SÄLEN</t>
        </is>
      </c>
      <c r="G568" t="n">
        <v>2.1</v>
      </c>
      <c r="H568" t="n">
        <v>0</v>
      </c>
      <c r="I568" t="n">
        <v>0</v>
      </c>
      <c r="J568" t="n">
        <v>0</v>
      </c>
      <c r="K568" t="n">
        <v>0</v>
      </c>
      <c r="L568" t="n">
        <v>0</v>
      </c>
      <c r="M568" t="n">
        <v>0</v>
      </c>
      <c r="N568" t="n">
        <v>0</v>
      </c>
      <c r="O568" t="n">
        <v>0</v>
      </c>
      <c r="P568" t="n">
        <v>0</v>
      </c>
      <c r="Q568" t="n">
        <v>0</v>
      </c>
      <c r="R568" s="2" t="inlineStr"/>
    </row>
    <row r="569" ht="15" customHeight="1">
      <c r="A569" t="inlineStr">
        <is>
          <t>A 59773-2022</t>
        </is>
      </c>
      <c r="B569" s="1" t="n">
        <v>44908</v>
      </c>
      <c r="C569" s="1" t="n">
        <v>45828</v>
      </c>
      <c r="D569" t="inlineStr">
        <is>
          <t>DALARNAS LÄN</t>
        </is>
      </c>
      <c r="E569" t="inlineStr">
        <is>
          <t>MALUNG-SÄLEN</t>
        </is>
      </c>
      <c r="G569" t="n">
        <v>1.8</v>
      </c>
      <c r="H569" t="n">
        <v>0</v>
      </c>
      <c r="I569" t="n">
        <v>0</v>
      </c>
      <c r="J569" t="n">
        <v>0</v>
      </c>
      <c r="K569" t="n">
        <v>0</v>
      </c>
      <c r="L569" t="n">
        <v>0</v>
      </c>
      <c r="M569" t="n">
        <v>0</v>
      </c>
      <c r="N569" t="n">
        <v>0</v>
      </c>
      <c r="O569" t="n">
        <v>0</v>
      </c>
      <c r="P569" t="n">
        <v>0</v>
      </c>
      <c r="Q569" t="n">
        <v>0</v>
      </c>
      <c r="R569" s="2" t="inlineStr"/>
    </row>
    <row r="570" ht="15" customHeight="1">
      <c r="A570" t="inlineStr">
        <is>
          <t>A 59875-2022</t>
        </is>
      </c>
      <c r="B570" s="1" t="n">
        <v>44908</v>
      </c>
      <c r="C570" s="1" t="n">
        <v>45828</v>
      </c>
      <c r="D570" t="inlineStr">
        <is>
          <t>DALARNAS LÄN</t>
        </is>
      </c>
      <c r="E570" t="inlineStr">
        <is>
          <t>MALUNG-SÄLEN</t>
        </is>
      </c>
      <c r="F570" t="inlineStr">
        <is>
          <t>Kommuner</t>
        </is>
      </c>
      <c r="G570" t="n">
        <v>17.8</v>
      </c>
      <c r="H570" t="n">
        <v>0</v>
      </c>
      <c r="I570" t="n">
        <v>0</v>
      </c>
      <c r="J570" t="n">
        <v>0</v>
      </c>
      <c r="K570" t="n">
        <v>0</v>
      </c>
      <c r="L570" t="n">
        <v>0</v>
      </c>
      <c r="M570" t="n">
        <v>0</v>
      </c>
      <c r="N570" t="n">
        <v>0</v>
      </c>
      <c r="O570" t="n">
        <v>0</v>
      </c>
      <c r="P570" t="n">
        <v>0</v>
      </c>
      <c r="Q570" t="n">
        <v>0</v>
      </c>
      <c r="R570" s="2" t="inlineStr"/>
    </row>
    <row r="571" ht="15" customHeight="1">
      <c r="A571" t="inlineStr">
        <is>
          <t>A 60246-2022</t>
        </is>
      </c>
      <c r="B571" s="1" t="n">
        <v>44910</v>
      </c>
      <c r="C571" s="1" t="n">
        <v>45828</v>
      </c>
      <c r="D571" t="inlineStr">
        <is>
          <t>DALARNAS LÄN</t>
        </is>
      </c>
      <c r="E571" t="inlineStr">
        <is>
          <t>MALUNG-SÄLEN</t>
        </is>
      </c>
      <c r="G571" t="n">
        <v>2</v>
      </c>
      <c r="H571" t="n">
        <v>0</v>
      </c>
      <c r="I571" t="n">
        <v>0</v>
      </c>
      <c r="J571" t="n">
        <v>0</v>
      </c>
      <c r="K571" t="n">
        <v>0</v>
      </c>
      <c r="L571" t="n">
        <v>0</v>
      </c>
      <c r="M571" t="n">
        <v>0</v>
      </c>
      <c r="N571" t="n">
        <v>0</v>
      </c>
      <c r="O571" t="n">
        <v>0</v>
      </c>
      <c r="P571" t="n">
        <v>0</v>
      </c>
      <c r="Q571" t="n">
        <v>0</v>
      </c>
      <c r="R571" s="2" t="inlineStr"/>
    </row>
    <row r="572" ht="15" customHeight="1">
      <c r="A572" t="inlineStr">
        <is>
          <t>A 60448-2022</t>
        </is>
      </c>
      <c r="B572" s="1" t="n">
        <v>44911</v>
      </c>
      <c r="C572" s="1" t="n">
        <v>45828</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60439-2022</t>
        </is>
      </c>
      <c r="B573" s="1" t="n">
        <v>44911</v>
      </c>
      <c r="C573" s="1" t="n">
        <v>45828</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60940-2022</t>
        </is>
      </c>
      <c r="B574" s="1" t="n">
        <v>44914</v>
      </c>
      <c r="C574" s="1" t="n">
        <v>45828</v>
      </c>
      <c r="D574" t="inlineStr">
        <is>
          <t>DALARNAS LÄN</t>
        </is>
      </c>
      <c r="E574" t="inlineStr">
        <is>
          <t>MALUNG-SÄLEN</t>
        </is>
      </c>
      <c r="G574" t="n">
        <v>3.3</v>
      </c>
      <c r="H574" t="n">
        <v>0</v>
      </c>
      <c r="I574" t="n">
        <v>0</v>
      </c>
      <c r="J574" t="n">
        <v>0</v>
      </c>
      <c r="K574" t="n">
        <v>0</v>
      </c>
      <c r="L574" t="n">
        <v>0</v>
      </c>
      <c r="M574" t="n">
        <v>0</v>
      </c>
      <c r="N574" t="n">
        <v>0</v>
      </c>
      <c r="O574" t="n">
        <v>0</v>
      </c>
      <c r="P574" t="n">
        <v>0</v>
      </c>
      <c r="Q574" t="n">
        <v>0</v>
      </c>
      <c r="R574" s="2" t="inlineStr"/>
    </row>
    <row r="575" ht="15" customHeight="1">
      <c r="A575" t="inlineStr">
        <is>
          <t>A 61502-2022</t>
        </is>
      </c>
      <c r="B575" s="1" t="n">
        <v>44916</v>
      </c>
      <c r="C575" s="1" t="n">
        <v>45828</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62289-2022</t>
        </is>
      </c>
      <c r="B576" s="1" t="n">
        <v>44923</v>
      </c>
      <c r="C576" s="1" t="n">
        <v>45828</v>
      </c>
      <c r="D576" t="inlineStr">
        <is>
          <t>DALARNAS LÄN</t>
        </is>
      </c>
      <c r="E576" t="inlineStr">
        <is>
          <t>MALUNG-SÄLEN</t>
        </is>
      </c>
      <c r="G576" t="n">
        <v>2.9</v>
      </c>
      <c r="H576" t="n">
        <v>0</v>
      </c>
      <c r="I576" t="n">
        <v>0</v>
      </c>
      <c r="J576" t="n">
        <v>0</v>
      </c>
      <c r="K576" t="n">
        <v>0</v>
      </c>
      <c r="L576" t="n">
        <v>0</v>
      </c>
      <c r="M576" t="n">
        <v>0</v>
      </c>
      <c r="N576" t="n">
        <v>0</v>
      </c>
      <c r="O576" t="n">
        <v>0</v>
      </c>
      <c r="P576" t="n">
        <v>0</v>
      </c>
      <c r="Q576" t="n">
        <v>0</v>
      </c>
      <c r="R576" s="2" t="inlineStr"/>
    </row>
    <row r="577" ht="15" customHeight="1">
      <c r="A577" t="inlineStr">
        <is>
          <t>A 62281-2022</t>
        </is>
      </c>
      <c r="B577" s="1" t="n">
        <v>44923</v>
      </c>
      <c r="C577" s="1" t="n">
        <v>45828</v>
      </c>
      <c r="D577" t="inlineStr">
        <is>
          <t>DALARNAS LÄN</t>
        </is>
      </c>
      <c r="E577" t="inlineStr">
        <is>
          <t>MALUNG-SÄLEN</t>
        </is>
      </c>
      <c r="G577" t="n">
        <v>12.4</v>
      </c>
      <c r="H577" t="n">
        <v>0</v>
      </c>
      <c r="I577" t="n">
        <v>0</v>
      </c>
      <c r="J577" t="n">
        <v>0</v>
      </c>
      <c r="K577" t="n">
        <v>0</v>
      </c>
      <c r="L577" t="n">
        <v>0</v>
      </c>
      <c r="M577" t="n">
        <v>0</v>
      </c>
      <c r="N577" t="n">
        <v>0</v>
      </c>
      <c r="O577" t="n">
        <v>0</v>
      </c>
      <c r="P577" t="n">
        <v>0</v>
      </c>
      <c r="Q577" t="n">
        <v>0</v>
      </c>
      <c r="R577" s="2" t="inlineStr"/>
    </row>
    <row r="578" ht="15" customHeight="1">
      <c r="A578" t="inlineStr">
        <is>
          <t>A 62287-2022</t>
        </is>
      </c>
      <c r="B578" s="1" t="n">
        <v>44923</v>
      </c>
      <c r="C578" s="1" t="n">
        <v>45828</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62371-2022</t>
        </is>
      </c>
      <c r="B579" s="1" t="n">
        <v>44923</v>
      </c>
      <c r="C579" s="1" t="n">
        <v>45828</v>
      </c>
      <c r="D579" t="inlineStr">
        <is>
          <t>DALARNAS LÄN</t>
        </is>
      </c>
      <c r="E579" t="inlineStr">
        <is>
          <t>MALUNG-SÄLEN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62288-2022</t>
        </is>
      </c>
      <c r="B580" s="1" t="n">
        <v>44923</v>
      </c>
      <c r="C580" s="1" t="n">
        <v>45828</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62369-2022</t>
        </is>
      </c>
      <c r="B581" s="1" t="n">
        <v>44923</v>
      </c>
      <c r="C581" s="1" t="n">
        <v>45828</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62336-2022</t>
        </is>
      </c>
      <c r="B582" s="1" t="n">
        <v>44923</v>
      </c>
      <c r="C582" s="1" t="n">
        <v>45828</v>
      </c>
      <c r="D582" t="inlineStr">
        <is>
          <t>DALARNAS LÄN</t>
        </is>
      </c>
      <c r="E582" t="inlineStr">
        <is>
          <t>MALUNG-SÄLEN</t>
        </is>
      </c>
      <c r="G582" t="n">
        <v>10.6</v>
      </c>
      <c r="H582" t="n">
        <v>0</v>
      </c>
      <c r="I582" t="n">
        <v>0</v>
      </c>
      <c r="J582" t="n">
        <v>0</v>
      </c>
      <c r="K582" t="n">
        <v>0</v>
      </c>
      <c r="L582" t="n">
        <v>0</v>
      </c>
      <c r="M582" t="n">
        <v>0</v>
      </c>
      <c r="N582" t="n">
        <v>0</v>
      </c>
      <c r="O582" t="n">
        <v>0</v>
      </c>
      <c r="P582" t="n">
        <v>0</v>
      </c>
      <c r="Q582" t="n">
        <v>0</v>
      </c>
      <c r="R582" s="2" t="inlineStr"/>
    </row>
    <row r="583" ht="15" customHeight="1">
      <c r="A583" t="inlineStr">
        <is>
          <t>A 68-2023</t>
        </is>
      </c>
      <c r="B583" s="1" t="n">
        <v>44928</v>
      </c>
      <c r="C583" s="1" t="n">
        <v>45828</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194-2023</t>
        </is>
      </c>
      <c r="B584" s="1" t="n">
        <v>44928</v>
      </c>
      <c r="C584" s="1" t="n">
        <v>45828</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206-2023</t>
        </is>
      </c>
      <c r="B585" s="1" t="n">
        <v>44928</v>
      </c>
      <c r="C585" s="1" t="n">
        <v>45828</v>
      </c>
      <c r="D585" t="inlineStr">
        <is>
          <t>DALARNAS LÄN</t>
        </is>
      </c>
      <c r="E585" t="inlineStr">
        <is>
          <t>MALUNG-SÄLEN</t>
        </is>
      </c>
      <c r="G585" t="n">
        <v>7.6</v>
      </c>
      <c r="H585" t="n">
        <v>0</v>
      </c>
      <c r="I585" t="n">
        <v>0</v>
      </c>
      <c r="J585" t="n">
        <v>0</v>
      </c>
      <c r="K585" t="n">
        <v>0</v>
      </c>
      <c r="L585" t="n">
        <v>0</v>
      </c>
      <c r="M585" t="n">
        <v>0</v>
      </c>
      <c r="N585" t="n">
        <v>0</v>
      </c>
      <c r="O585" t="n">
        <v>0</v>
      </c>
      <c r="P585" t="n">
        <v>0</v>
      </c>
      <c r="Q585" t="n">
        <v>0</v>
      </c>
      <c r="R585" s="2" t="inlineStr"/>
    </row>
    <row r="586" ht="15" customHeight="1">
      <c r="A586" t="inlineStr">
        <is>
          <t>A 752-2023</t>
        </is>
      </c>
      <c r="B586" s="1" t="n">
        <v>44931</v>
      </c>
      <c r="C586" s="1" t="n">
        <v>45828</v>
      </c>
      <c r="D586" t="inlineStr">
        <is>
          <t>DALARNAS LÄN</t>
        </is>
      </c>
      <c r="E586" t="inlineStr">
        <is>
          <t>MALUNG-SÄLEN</t>
        </is>
      </c>
      <c r="G586" t="n">
        <v>2.3</v>
      </c>
      <c r="H586" t="n">
        <v>0</v>
      </c>
      <c r="I586" t="n">
        <v>0</v>
      </c>
      <c r="J586" t="n">
        <v>0</v>
      </c>
      <c r="K586" t="n">
        <v>0</v>
      </c>
      <c r="L586" t="n">
        <v>0</v>
      </c>
      <c r="M586" t="n">
        <v>0</v>
      </c>
      <c r="N586" t="n">
        <v>0</v>
      </c>
      <c r="O586" t="n">
        <v>0</v>
      </c>
      <c r="P586" t="n">
        <v>0</v>
      </c>
      <c r="Q586" t="n">
        <v>0</v>
      </c>
      <c r="R586" s="2" t="inlineStr"/>
    </row>
    <row r="587" ht="15" customHeight="1">
      <c r="A587" t="inlineStr">
        <is>
          <t>A 1252-2023</t>
        </is>
      </c>
      <c r="B587" s="1" t="n">
        <v>44936</v>
      </c>
      <c r="C587" s="1" t="n">
        <v>45828</v>
      </c>
      <c r="D587" t="inlineStr">
        <is>
          <t>DALARNAS LÄN</t>
        </is>
      </c>
      <c r="E587" t="inlineStr">
        <is>
          <t>MALUNG-SÄLEN</t>
        </is>
      </c>
      <c r="G587" t="n">
        <v>3.7</v>
      </c>
      <c r="H587" t="n">
        <v>0</v>
      </c>
      <c r="I587" t="n">
        <v>0</v>
      </c>
      <c r="J587" t="n">
        <v>0</v>
      </c>
      <c r="K587" t="n">
        <v>0</v>
      </c>
      <c r="L587" t="n">
        <v>0</v>
      </c>
      <c r="M587" t="n">
        <v>0</v>
      </c>
      <c r="N587" t="n">
        <v>0</v>
      </c>
      <c r="O587" t="n">
        <v>0</v>
      </c>
      <c r="P587" t="n">
        <v>0</v>
      </c>
      <c r="Q587" t="n">
        <v>0</v>
      </c>
      <c r="R587" s="2" t="inlineStr"/>
    </row>
    <row r="588" ht="15" customHeight="1">
      <c r="A588" t="inlineStr">
        <is>
          <t>A 1257-2023</t>
        </is>
      </c>
      <c r="B588" s="1" t="n">
        <v>44936</v>
      </c>
      <c r="C588" s="1" t="n">
        <v>45828</v>
      </c>
      <c r="D588" t="inlineStr">
        <is>
          <t>DALARNAS LÄN</t>
        </is>
      </c>
      <c r="E588" t="inlineStr">
        <is>
          <t>MALUNG-SÄLEN</t>
        </is>
      </c>
      <c r="G588" t="n">
        <v>3.1</v>
      </c>
      <c r="H588" t="n">
        <v>0</v>
      </c>
      <c r="I588" t="n">
        <v>0</v>
      </c>
      <c r="J588" t="n">
        <v>0</v>
      </c>
      <c r="K588" t="n">
        <v>0</v>
      </c>
      <c r="L588" t="n">
        <v>0</v>
      </c>
      <c r="M588" t="n">
        <v>0</v>
      </c>
      <c r="N588" t="n">
        <v>0</v>
      </c>
      <c r="O588" t="n">
        <v>0</v>
      </c>
      <c r="P588" t="n">
        <v>0</v>
      </c>
      <c r="Q588" t="n">
        <v>0</v>
      </c>
      <c r="R588" s="2" t="inlineStr"/>
    </row>
    <row r="589" ht="15" customHeight="1">
      <c r="A589" t="inlineStr">
        <is>
          <t>A 1590-2023</t>
        </is>
      </c>
      <c r="B589" s="1" t="n">
        <v>44937</v>
      </c>
      <c r="C589" s="1" t="n">
        <v>45828</v>
      </c>
      <c r="D589" t="inlineStr">
        <is>
          <t>DALARNAS LÄN</t>
        </is>
      </c>
      <c r="E589" t="inlineStr">
        <is>
          <t>MALUNG-SÄLEN</t>
        </is>
      </c>
      <c r="G589" t="n">
        <v>5.1</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45828</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1723-2023</t>
        </is>
      </c>
      <c r="B591" s="1" t="n">
        <v>44938</v>
      </c>
      <c r="C591" s="1" t="n">
        <v>45828</v>
      </c>
      <c r="D591" t="inlineStr">
        <is>
          <t>DALARNAS LÄN</t>
        </is>
      </c>
      <c r="E591" t="inlineStr">
        <is>
          <t>MALUNG-SÄLEN</t>
        </is>
      </c>
      <c r="G591" t="n">
        <v>0.9</v>
      </c>
      <c r="H591" t="n">
        <v>0</v>
      </c>
      <c r="I591" t="n">
        <v>0</v>
      </c>
      <c r="J591" t="n">
        <v>0</v>
      </c>
      <c r="K591" t="n">
        <v>0</v>
      </c>
      <c r="L591" t="n">
        <v>0</v>
      </c>
      <c r="M591" t="n">
        <v>0</v>
      </c>
      <c r="N591" t="n">
        <v>0</v>
      </c>
      <c r="O591" t="n">
        <v>0</v>
      </c>
      <c r="P591" t="n">
        <v>0</v>
      </c>
      <c r="Q591" t="n">
        <v>0</v>
      </c>
      <c r="R591" s="2" t="inlineStr"/>
    </row>
    <row r="592" ht="15" customHeight="1">
      <c r="A592" t="inlineStr">
        <is>
          <t>A 1704-2023</t>
        </is>
      </c>
      <c r="B592" s="1" t="n">
        <v>44938</v>
      </c>
      <c r="C592" s="1" t="n">
        <v>45828</v>
      </c>
      <c r="D592" t="inlineStr">
        <is>
          <t>DALARNAS LÄN</t>
        </is>
      </c>
      <c r="E592" t="inlineStr">
        <is>
          <t>MALUNG-SÄLEN</t>
        </is>
      </c>
      <c r="G592" t="n">
        <v>4.7</v>
      </c>
      <c r="H592" t="n">
        <v>0</v>
      </c>
      <c r="I592" t="n">
        <v>0</v>
      </c>
      <c r="J592" t="n">
        <v>0</v>
      </c>
      <c r="K592" t="n">
        <v>0</v>
      </c>
      <c r="L592" t="n">
        <v>0</v>
      </c>
      <c r="M592" t="n">
        <v>0</v>
      </c>
      <c r="N592" t="n">
        <v>0</v>
      </c>
      <c r="O592" t="n">
        <v>0</v>
      </c>
      <c r="P592" t="n">
        <v>0</v>
      </c>
      <c r="Q592" t="n">
        <v>0</v>
      </c>
      <c r="R592" s="2" t="inlineStr"/>
    </row>
    <row r="593" ht="15" customHeight="1">
      <c r="A593" t="inlineStr">
        <is>
          <t>A 2612-2023</t>
        </is>
      </c>
      <c r="B593" s="1" t="n">
        <v>44944</v>
      </c>
      <c r="C593" s="1" t="n">
        <v>45828</v>
      </c>
      <c r="D593" t="inlineStr">
        <is>
          <t>DALARNAS LÄN</t>
        </is>
      </c>
      <c r="E593" t="inlineStr">
        <is>
          <t>MALUNG-SÄLEN</t>
        </is>
      </c>
      <c r="G593" t="n">
        <v>3.5</v>
      </c>
      <c r="H593" t="n">
        <v>0</v>
      </c>
      <c r="I593" t="n">
        <v>0</v>
      </c>
      <c r="J593" t="n">
        <v>0</v>
      </c>
      <c r="K593" t="n">
        <v>0</v>
      </c>
      <c r="L593" t="n">
        <v>0</v>
      </c>
      <c r="M593" t="n">
        <v>0</v>
      </c>
      <c r="N593" t="n">
        <v>0</v>
      </c>
      <c r="O593" t="n">
        <v>0</v>
      </c>
      <c r="P593" t="n">
        <v>0</v>
      </c>
      <c r="Q593" t="n">
        <v>0</v>
      </c>
      <c r="R593" s="2" t="inlineStr"/>
    </row>
    <row r="594" ht="15" customHeight="1">
      <c r="A594" t="inlineStr">
        <is>
          <t>A 2677-2023</t>
        </is>
      </c>
      <c r="B594" s="1" t="n">
        <v>44944</v>
      </c>
      <c r="C594" s="1" t="n">
        <v>45828</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2673-2023</t>
        </is>
      </c>
      <c r="B595" s="1" t="n">
        <v>44944</v>
      </c>
      <c r="C595" s="1" t="n">
        <v>45828</v>
      </c>
      <c r="D595" t="inlineStr">
        <is>
          <t>DALARNAS LÄN</t>
        </is>
      </c>
      <c r="E595" t="inlineStr">
        <is>
          <t>MALUNG-SÄLEN</t>
        </is>
      </c>
      <c r="G595" t="n">
        <v>1</v>
      </c>
      <c r="H595" t="n">
        <v>0</v>
      </c>
      <c r="I595" t="n">
        <v>0</v>
      </c>
      <c r="J595" t="n">
        <v>0</v>
      </c>
      <c r="K595" t="n">
        <v>0</v>
      </c>
      <c r="L595" t="n">
        <v>0</v>
      </c>
      <c r="M595" t="n">
        <v>0</v>
      </c>
      <c r="N595" t="n">
        <v>0</v>
      </c>
      <c r="O595" t="n">
        <v>0</v>
      </c>
      <c r="P595" t="n">
        <v>0</v>
      </c>
      <c r="Q595" t="n">
        <v>0</v>
      </c>
      <c r="R595" s="2" t="inlineStr"/>
    </row>
    <row r="596" ht="15" customHeight="1">
      <c r="A596" t="inlineStr">
        <is>
          <t>A 3179-2023</t>
        </is>
      </c>
      <c r="B596" s="1" t="n">
        <v>44946</v>
      </c>
      <c r="C596" s="1" t="n">
        <v>45828</v>
      </c>
      <c r="D596" t="inlineStr">
        <is>
          <t>DALARNAS LÄN</t>
        </is>
      </c>
      <c r="E596" t="inlineStr">
        <is>
          <t>MALUNG-SÄLEN</t>
        </is>
      </c>
      <c r="G596" t="n">
        <v>0.7</v>
      </c>
      <c r="H596" t="n">
        <v>0</v>
      </c>
      <c r="I596" t="n">
        <v>0</v>
      </c>
      <c r="J596" t="n">
        <v>0</v>
      </c>
      <c r="K596" t="n">
        <v>0</v>
      </c>
      <c r="L596" t="n">
        <v>0</v>
      </c>
      <c r="M596" t="n">
        <v>0</v>
      </c>
      <c r="N596" t="n">
        <v>0</v>
      </c>
      <c r="O596" t="n">
        <v>0</v>
      </c>
      <c r="P596" t="n">
        <v>0</v>
      </c>
      <c r="Q596" t="n">
        <v>0</v>
      </c>
      <c r="R596" s="2" t="inlineStr"/>
    </row>
    <row r="597" ht="15" customHeight="1">
      <c r="A597" t="inlineStr">
        <is>
          <t>A 3186-2023</t>
        </is>
      </c>
      <c r="B597" s="1" t="n">
        <v>44946</v>
      </c>
      <c r="C597" s="1" t="n">
        <v>45828</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3583-2023</t>
        </is>
      </c>
      <c r="B598" s="1" t="n">
        <v>44950</v>
      </c>
      <c r="C598" s="1" t="n">
        <v>45828</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3543-2023</t>
        </is>
      </c>
      <c r="B599" s="1" t="n">
        <v>44950</v>
      </c>
      <c r="C599" s="1" t="n">
        <v>45828</v>
      </c>
      <c r="D599" t="inlineStr">
        <is>
          <t>DALARNAS LÄN</t>
        </is>
      </c>
      <c r="E599" t="inlineStr">
        <is>
          <t>MALUNG-SÄLEN</t>
        </is>
      </c>
      <c r="G599" t="n">
        <v>2.9</v>
      </c>
      <c r="H599" t="n">
        <v>0</v>
      </c>
      <c r="I599" t="n">
        <v>0</v>
      </c>
      <c r="J599" t="n">
        <v>0</v>
      </c>
      <c r="K599" t="n">
        <v>0</v>
      </c>
      <c r="L599" t="n">
        <v>0</v>
      </c>
      <c r="M599" t="n">
        <v>0</v>
      </c>
      <c r="N599" t="n">
        <v>0</v>
      </c>
      <c r="O599" t="n">
        <v>0</v>
      </c>
      <c r="P599" t="n">
        <v>0</v>
      </c>
      <c r="Q599" t="n">
        <v>0</v>
      </c>
      <c r="R599" s="2" t="inlineStr"/>
    </row>
    <row r="600" ht="15" customHeight="1">
      <c r="A600" t="inlineStr">
        <is>
          <t>A 4811-2023</t>
        </is>
      </c>
      <c r="B600" s="1" t="n">
        <v>44957</v>
      </c>
      <c r="C600" s="1" t="n">
        <v>45828</v>
      </c>
      <c r="D600" t="inlineStr">
        <is>
          <t>DALARNAS LÄN</t>
        </is>
      </c>
      <c r="E600" t="inlineStr">
        <is>
          <t>MALUNG-SÄLEN</t>
        </is>
      </c>
      <c r="G600" t="n">
        <v>5.3</v>
      </c>
      <c r="H600" t="n">
        <v>0</v>
      </c>
      <c r="I600" t="n">
        <v>0</v>
      </c>
      <c r="J600" t="n">
        <v>0</v>
      </c>
      <c r="K600" t="n">
        <v>0</v>
      </c>
      <c r="L600" t="n">
        <v>0</v>
      </c>
      <c r="M600" t="n">
        <v>0</v>
      </c>
      <c r="N600" t="n">
        <v>0</v>
      </c>
      <c r="O600" t="n">
        <v>0</v>
      </c>
      <c r="P600" t="n">
        <v>0</v>
      </c>
      <c r="Q600" t="n">
        <v>0</v>
      </c>
      <c r="R600" s="2" t="inlineStr"/>
    </row>
    <row r="601" ht="15" customHeight="1">
      <c r="A601" t="inlineStr">
        <is>
          <t>A 5870-2023</t>
        </is>
      </c>
      <c r="B601" s="1" t="n">
        <v>44963</v>
      </c>
      <c r="C601" s="1" t="n">
        <v>45828</v>
      </c>
      <c r="D601" t="inlineStr">
        <is>
          <t>DALARNAS LÄN</t>
        </is>
      </c>
      <c r="E601" t="inlineStr">
        <is>
          <t>MALUNG-SÄLEN</t>
        </is>
      </c>
      <c r="G601" t="n">
        <v>1.8</v>
      </c>
      <c r="H601" t="n">
        <v>0</v>
      </c>
      <c r="I601" t="n">
        <v>0</v>
      </c>
      <c r="J601" t="n">
        <v>0</v>
      </c>
      <c r="K601" t="n">
        <v>0</v>
      </c>
      <c r="L601" t="n">
        <v>0</v>
      </c>
      <c r="M601" t="n">
        <v>0</v>
      </c>
      <c r="N601" t="n">
        <v>0</v>
      </c>
      <c r="O601" t="n">
        <v>0</v>
      </c>
      <c r="P601" t="n">
        <v>0</v>
      </c>
      <c r="Q601" t="n">
        <v>0</v>
      </c>
      <c r="R601" s="2" t="inlineStr"/>
    </row>
    <row r="602" ht="15" customHeight="1">
      <c r="A602" t="inlineStr">
        <is>
          <t>A 5858-2023</t>
        </is>
      </c>
      <c r="B602" s="1" t="n">
        <v>44963</v>
      </c>
      <c r="C602" s="1" t="n">
        <v>45828</v>
      </c>
      <c r="D602" t="inlineStr">
        <is>
          <t>DALARNAS LÄN</t>
        </is>
      </c>
      <c r="E602" t="inlineStr">
        <is>
          <t>MALUNG-SÄLEN</t>
        </is>
      </c>
      <c r="G602" t="n">
        <v>11.7</v>
      </c>
      <c r="H602" t="n">
        <v>0</v>
      </c>
      <c r="I602" t="n">
        <v>0</v>
      </c>
      <c r="J602" t="n">
        <v>0</v>
      </c>
      <c r="K602" t="n">
        <v>0</v>
      </c>
      <c r="L602" t="n">
        <v>0</v>
      </c>
      <c r="M602" t="n">
        <v>0</v>
      </c>
      <c r="N602" t="n">
        <v>0</v>
      </c>
      <c r="O602" t="n">
        <v>0</v>
      </c>
      <c r="P602" t="n">
        <v>0</v>
      </c>
      <c r="Q602" t="n">
        <v>0</v>
      </c>
      <c r="R602" s="2" t="inlineStr"/>
    </row>
    <row r="603" ht="15" customHeight="1">
      <c r="A603" t="inlineStr">
        <is>
          <t>A 5900-2023</t>
        </is>
      </c>
      <c r="B603" s="1" t="n">
        <v>44963</v>
      </c>
      <c r="C603" s="1" t="n">
        <v>45828</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7137-2023</t>
        </is>
      </c>
      <c r="B604" s="1" t="n">
        <v>44970</v>
      </c>
      <c r="C604" s="1" t="n">
        <v>45828</v>
      </c>
      <c r="D604" t="inlineStr">
        <is>
          <t>DALARNAS LÄN</t>
        </is>
      </c>
      <c r="E604" t="inlineStr">
        <is>
          <t>MALUNG-SÄLEN</t>
        </is>
      </c>
      <c r="G604" t="n">
        <v>3.4</v>
      </c>
      <c r="H604" t="n">
        <v>0</v>
      </c>
      <c r="I604" t="n">
        <v>0</v>
      </c>
      <c r="J604" t="n">
        <v>0</v>
      </c>
      <c r="K604" t="n">
        <v>0</v>
      </c>
      <c r="L604" t="n">
        <v>0</v>
      </c>
      <c r="M604" t="n">
        <v>0</v>
      </c>
      <c r="N604" t="n">
        <v>0</v>
      </c>
      <c r="O604" t="n">
        <v>0</v>
      </c>
      <c r="P604" t="n">
        <v>0</v>
      </c>
      <c r="Q604" t="n">
        <v>0</v>
      </c>
      <c r="R604" s="2" t="inlineStr"/>
    </row>
    <row r="605" ht="15" customHeight="1">
      <c r="A605" t="inlineStr">
        <is>
          <t>A 8821-2023</t>
        </is>
      </c>
      <c r="B605" s="1" t="n">
        <v>44978</v>
      </c>
      <c r="C605" s="1" t="n">
        <v>45828</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8707-2023</t>
        </is>
      </c>
      <c r="B606" s="1" t="n">
        <v>44978</v>
      </c>
      <c r="C606" s="1" t="n">
        <v>45828</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8779-2023</t>
        </is>
      </c>
      <c r="B607" s="1" t="n">
        <v>44978</v>
      </c>
      <c r="C607" s="1" t="n">
        <v>45828</v>
      </c>
      <c r="D607" t="inlineStr">
        <is>
          <t>DALARNAS LÄN</t>
        </is>
      </c>
      <c r="E607" t="inlineStr">
        <is>
          <t>MALUNG-SÄLEN</t>
        </is>
      </c>
      <c r="G607" t="n">
        <v>1.3</v>
      </c>
      <c r="H607" t="n">
        <v>0</v>
      </c>
      <c r="I607" t="n">
        <v>0</v>
      </c>
      <c r="J607" t="n">
        <v>0</v>
      </c>
      <c r="K607" t="n">
        <v>0</v>
      </c>
      <c r="L607" t="n">
        <v>0</v>
      </c>
      <c r="M607" t="n">
        <v>0</v>
      </c>
      <c r="N607" t="n">
        <v>0</v>
      </c>
      <c r="O607" t="n">
        <v>0</v>
      </c>
      <c r="P607" t="n">
        <v>0</v>
      </c>
      <c r="Q607" t="n">
        <v>0</v>
      </c>
      <c r="R607" s="2" t="inlineStr"/>
    </row>
    <row r="608" ht="15" customHeight="1">
      <c r="A608" t="inlineStr">
        <is>
          <t>A 8827-2023</t>
        </is>
      </c>
      <c r="B608" s="1" t="n">
        <v>44978</v>
      </c>
      <c r="C608" s="1" t="n">
        <v>45828</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9977-2023</t>
        </is>
      </c>
      <c r="B609" s="1" t="n">
        <v>44979</v>
      </c>
      <c r="C609" s="1" t="n">
        <v>45828</v>
      </c>
      <c r="D609" t="inlineStr">
        <is>
          <t>DALARNAS LÄN</t>
        </is>
      </c>
      <c r="E609" t="inlineStr">
        <is>
          <t>MALUNG-SÄLEN</t>
        </is>
      </c>
      <c r="G609" t="n">
        <v>1.1</v>
      </c>
      <c r="H609" t="n">
        <v>0</v>
      </c>
      <c r="I609" t="n">
        <v>0</v>
      </c>
      <c r="J609" t="n">
        <v>0</v>
      </c>
      <c r="K609" t="n">
        <v>0</v>
      </c>
      <c r="L609" t="n">
        <v>0</v>
      </c>
      <c r="M609" t="n">
        <v>0</v>
      </c>
      <c r="N609" t="n">
        <v>0</v>
      </c>
      <c r="O609" t="n">
        <v>0</v>
      </c>
      <c r="P609" t="n">
        <v>0</v>
      </c>
      <c r="Q609" t="n">
        <v>0</v>
      </c>
      <c r="R609" s="2" t="inlineStr"/>
    </row>
    <row r="610" ht="15" customHeight="1">
      <c r="A610" t="inlineStr">
        <is>
          <t>A 9380-2023</t>
        </is>
      </c>
      <c r="B610" s="1" t="n">
        <v>44981</v>
      </c>
      <c r="C610" s="1" t="n">
        <v>45828</v>
      </c>
      <c r="D610" t="inlineStr">
        <is>
          <t>DALARNAS LÄN</t>
        </is>
      </c>
      <c r="E610" t="inlineStr">
        <is>
          <t>MALUNG-SÄLEN</t>
        </is>
      </c>
      <c r="F610" t="inlineStr">
        <is>
          <t>Bergvik skog öst AB</t>
        </is>
      </c>
      <c r="G610" t="n">
        <v>5.1</v>
      </c>
      <c r="H610" t="n">
        <v>0</v>
      </c>
      <c r="I610" t="n">
        <v>0</v>
      </c>
      <c r="J610" t="n">
        <v>0</v>
      </c>
      <c r="K610" t="n">
        <v>0</v>
      </c>
      <c r="L610" t="n">
        <v>0</v>
      </c>
      <c r="M610" t="n">
        <v>0</v>
      </c>
      <c r="N610" t="n">
        <v>0</v>
      </c>
      <c r="O610" t="n">
        <v>0</v>
      </c>
      <c r="P610" t="n">
        <v>0</v>
      </c>
      <c r="Q610" t="n">
        <v>0</v>
      </c>
      <c r="R610" s="2" t="inlineStr"/>
    </row>
    <row r="611" ht="15" customHeight="1">
      <c r="A611" t="inlineStr">
        <is>
          <t>A 10839-2023</t>
        </is>
      </c>
      <c r="B611" s="1" t="n">
        <v>44991</v>
      </c>
      <c r="C611" s="1" t="n">
        <v>45828</v>
      </c>
      <c r="D611" t="inlineStr">
        <is>
          <t>DALARNAS LÄN</t>
        </is>
      </c>
      <c r="E611" t="inlineStr">
        <is>
          <t>MALUNG-SÄLEN</t>
        </is>
      </c>
      <c r="G611" t="n">
        <v>1.7</v>
      </c>
      <c r="H611" t="n">
        <v>0</v>
      </c>
      <c r="I611" t="n">
        <v>0</v>
      </c>
      <c r="J611" t="n">
        <v>0</v>
      </c>
      <c r="K611" t="n">
        <v>0</v>
      </c>
      <c r="L611" t="n">
        <v>0</v>
      </c>
      <c r="M611" t="n">
        <v>0</v>
      </c>
      <c r="N611" t="n">
        <v>0</v>
      </c>
      <c r="O611" t="n">
        <v>0</v>
      </c>
      <c r="P611" t="n">
        <v>0</v>
      </c>
      <c r="Q611" t="n">
        <v>0</v>
      </c>
      <c r="R611" s="2" t="inlineStr"/>
    </row>
    <row r="612" ht="15" customHeight="1">
      <c r="A612" t="inlineStr">
        <is>
          <t>A 11594-2023</t>
        </is>
      </c>
      <c r="B612" s="1" t="n">
        <v>44994</v>
      </c>
      <c r="C612" s="1" t="n">
        <v>45828</v>
      </c>
      <c r="D612" t="inlineStr">
        <is>
          <t>DALARNAS LÄN</t>
        </is>
      </c>
      <c r="E612" t="inlineStr">
        <is>
          <t>MALUNG-SÄLEN</t>
        </is>
      </c>
      <c r="G612" t="n">
        <v>3</v>
      </c>
      <c r="H612" t="n">
        <v>0</v>
      </c>
      <c r="I612" t="n">
        <v>0</v>
      </c>
      <c r="J612" t="n">
        <v>0</v>
      </c>
      <c r="K612" t="n">
        <v>0</v>
      </c>
      <c r="L612" t="n">
        <v>0</v>
      </c>
      <c r="M612" t="n">
        <v>0</v>
      </c>
      <c r="N612" t="n">
        <v>0</v>
      </c>
      <c r="O612" t="n">
        <v>0</v>
      </c>
      <c r="P612" t="n">
        <v>0</v>
      </c>
      <c r="Q612" t="n">
        <v>0</v>
      </c>
      <c r="R612" s="2" t="inlineStr"/>
    </row>
    <row r="613" ht="15" customHeight="1">
      <c r="A613" t="inlineStr">
        <is>
          <t>A 12786-2023</t>
        </is>
      </c>
      <c r="B613" s="1" t="n">
        <v>45001</v>
      </c>
      <c r="C613" s="1" t="n">
        <v>45828</v>
      </c>
      <c r="D613" t="inlineStr">
        <is>
          <t>DALARNAS LÄN</t>
        </is>
      </c>
      <c r="E613" t="inlineStr">
        <is>
          <t>MALUNG-SÄLEN</t>
        </is>
      </c>
      <c r="G613" t="n">
        <v>3.1</v>
      </c>
      <c r="H613" t="n">
        <v>0</v>
      </c>
      <c r="I613" t="n">
        <v>0</v>
      </c>
      <c r="J613" t="n">
        <v>0</v>
      </c>
      <c r="K613" t="n">
        <v>0</v>
      </c>
      <c r="L613" t="n">
        <v>0</v>
      </c>
      <c r="M613" t="n">
        <v>0</v>
      </c>
      <c r="N613" t="n">
        <v>0</v>
      </c>
      <c r="O613" t="n">
        <v>0</v>
      </c>
      <c r="P613" t="n">
        <v>0</v>
      </c>
      <c r="Q613" t="n">
        <v>0</v>
      </c>
      <c r="R613" s="2" t="inlineStr"/>
    </row>
    <row r="614" ht="15" customHeight="1">
      <c r="A614" t="inlineStr">
        <is>
          <t>A 13043-2023</t>
        </is>
      </c>
      <c r="B614" s="1" t="n">
        <v>45002</v>
      </c>
      <c r="C614" s="1" t="n">
        <v>45828</v>
      </c>
      <c r="D614" t="inlineStr">
        <is>
          <t>DALARNAS LÄN</t>
        </is>
      </c>
      <c r="E614" t="inlineStr">
        <is>
          <t>MALUNG-SÄLEN</t>
        </is>
      </c>
      <c r="G614" t="n">
        <v>1</v>
      </c>
      <c r="H614" t="n">
        <v>0</v>
      </c>
      <c r="I614" t="n">
        <v>0</v>
      </c>
      <c r="J614" t="n">
        <v>0</v>
      </c>
      <c r="K614" t="n">
        <v>0</v>
      </c>
      <c r="L614" t="n">
        <v>0</v>
      </c>
      <c r="M614" t="n">
        <v>0</v>
      </c>
      <c r="N614" t="n">
        <v>0</v>
      </c>
      <c r="O614" t="n">
        <v>0</v>
      </c>
      <c r="P614" t="n">
        <v>0</v>
      </c>
      <c r="Q614" t="n">
        <v>0</v>
      </c>
      <c r="R614" s="2" t="inlineStr"/>
    </row>
    <row r="615" ht="15" customHeight="1">
      <c r="A615" t="inlineStr">
        <is>
          <t>A 13812-2023</t>
        </is>
      </c>
      <c r="B615" s="1" t="n">
        <v>45007</v>
      </c>
      <c r="C615" s="1" t="n">
        <v>45828</v>
      </c>
      <c r="D615" t="inlineStr">
        <is>
          <t>DALARNAS LÄN</t>
        </is>
      </c>
      <c r="E615" t="inlineStr">
        <is>
          <t>MALUNG-SÄLEN</t>
        </is>
      </c>
      <c r="G615" t="n">
        <v>18.7</v>
      </c>
      <c r="H615" t="n">
        <v>0</v>
      </c>
      <c r="I615" t="n">
        <v>0</v>
      </c>
      <c r="J615" t="n">
        <v>0</v>
      </c>
      <c r="K615" t="n">
        <v>0</v>
      </c>
      <c r="L615" t="n">
        <v>0</v>
      </c>
      <c r="M615" t="n">
        <v>0</v>
      </c>
      <c r="N615" t="n">
        <v>0</v>
      </c>
      <c r="O615" t="n">
        <v>0</v>
      </c>
      <c r="P615" t="n">
        <v>0</v>
      </c>
      <c r="Q615" t="n">
        <v>0</v>
      </c>
      <c r="R615" s="2" t="inlineStr"/>
    </row>
    <row r="616" ht="15" customHeight="1">
      <c r="A616" t="inlineStr">
        <is>
          <t>A 13823-2023</t>
        </is>
      </c>
      <c r="B616" s="1" t="n">
        <v>45007</v>
      </c>
      <c r="C616" s="1" t="n">
        <v>45828</v>
      </c>
      <c r="D616" t="inlineStr">
        <is>
          <t>DALARNAS LÄN</t>
        </is>
      </c>
      <c r="E616" t="inlineStr">
        <is>
          <t>MALUNG-SÄLEN</t>
        </is>
      </c>
      <c r="G616" t="n">
        <v>19.5</v>
      </c>
      <c r="H616" t="n">
        <v>0</v>
      </c>
      <c r="I616" t="n">
        <v>0</v>
      </c>
      <c r="J616" t="n">
        <v>0</v>
      </c>
      <c r="K616" t="n">
        <v>0</v>
      </c>
      <c r="L616" t="n">
        <v>0</v>
      </c>
      <c r="M616" t="n">
        <v>0</v>
      </c>
      <c r="N616" t="n">
        <v>0</v>
      </c>
      <c r="O616" t="n">
        <v>0</v>
      </c>
      <c r="P616" t="n">
        <v>0</v>
      </c>
      <c r="Q616" t="n">
        <v>0</v>
      </c>
      <c r="R616" s="2" t="inlineStr"/>
    </row>
    <row r="617" ht="15" customHeight="1">
      <c r="A617" t="inlineStr">
        <is>
          <t>A 13827-2023</t>
        </is>
      </c>
      <c r="B617" s="1" t="n">
        <v>45007</v>
      </c>
      <c r="C617" s="1" t="n">
        <v>45828</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14893-2023</t>
        </is>
      </c>
      <c r="B618" s="1" t="n">
        <v>45015</v>
      </c>
      <c r="C618" s="1" t="n">
        <v>45828</v>
      </c>
      <c r="D618" t="inlineStr">
        <is>
          <t>DALARNAS LÄN</t>
        </is>
      </c>
      <c r="E618" t="inlineStr">
        <is>
          <t>MALUNG-SÄLEN</t>
        </is>
      </c>
      <c r="G618" t="n">
        <v>5.4</v>
      </c>
      <c r="H618" t="n">
        <v>0</v>
      </c>
      <c r="I618" t="n">
        <v>0</v>
      </c>
      <c r="J618" t="n">
        <v>0</v>
      </c>
      <c r="K618" t="n">
        <v>0</v>
      </c>
      <c r="L618" t="n">
        <v>0</v>
      </c>
      <c r="M618" t="n">
        <v>0</v>
      </c>
      <c r="N618" t="n">
        <v>0</v>
      </c>
      <c r="O618" t="n">
        <v>0</v>
      </c>
      <c r="P618" t="n">
        <v>0</v>
      </c>
      <c r="Q618" t="n">
        <v>0</v>
      </c>
      <c r="R618" s="2" t="inlineStr"/>
    </row>
    <row r="619" ht="15" customHeight="1">
      <c r="A619" t="inlineStr">
        <is>
          <t>A 14905-2023</t>
        </is>
      </c>
      <c r="B619" s="1" t="n">
        <v>45015</v>
      </c>
      <c r="C619" s="1" t="n">
        <v>45828</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15388-2023</t>
        </is>
      </c>
      <c r="B620" s="1" t="n">
        <v>45019</v>
      </c>
      <c r="C620" s="1" t="n">
        <v>45828</v>
      </c>
      <c r="D620" t="inlineStr">
        <is>
          <t>DALARNAS LÄN</t>
        </is>
      </c>
      <c r="E620" t="inlineStr">
        <is>
          <t>MALUNG-SÄLEN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15598-2023</t>
        </is>
      </c>
      <c r="B621" s="1" t="n">
        <v>45020</v>
      </c>
      <c r="C621" s="1" t="n">
        <v>45828</v>
      </c>
      <c r="D621" t="inlineStr">
        <is>
          <t>DALARNAS LÄN</t>
        </is>
      </c>
      <c r="E621" t="inlineStr">
        <is>
          <t>MALUNG-SÄLEN</t>
        </is>
      </c>
      <c r="G621" t="n">
        <v>22.5</v>
      </c>
      <c r="H621" t="n">
        <v>0</v>
      </c>
      <c r="I621" t="n">
        <v>0</v>
      </c>
      <c r="J621" t="n">
        <v>0</v>
      </c>
      <c r="K621" t="n">
        <v>0</v>
      </c>
      <c r="L621" t="n">
        <v>0</v>
      </c>
      <c r="M621" t="n">
        <v>0</v>
      </c>
      <c r="N621" t="n">
        <v>0</v>
      </c>
      <c r="O621" t="n">
        <v>0</v>
      </c>
      <c r="P621" t="n">
        <v>0</v>
      </c>
      <c r="Q621" t="n">
        <v>0</v>
      </c>
      <c r="R621" s="2" t="inlineStr"/>
    </row>
    <row r="622" ht="15" customHeight="1">
      <c r="A622" t="inlineStr">
        <is>
          <t>A 15602-2023</t>
        </is>
      </c>
      <c r="B622" s="1" t="n">
        <v>45020</v>
      </c>
      <c r="C622" s="1" t="n">
        <v>45828</v>
      </c>
      <c r="D622" t="inlineStr">
        <is>
          <t>DALARNAS LÄN</t>
        </is>
      </c>
      <c r="E622" t="inlineStr">
        <is>
          <t>MALUNG-SÄLEN</t>
        </is>
      </c>
      <c r="G622" t="n">
        <v>15.5</v>
      </c>
      <c r="H622" t="n">
        <v>0</v>
      </c>
      <c r="I622" t="n">
        <v>0</v>
      </c>
      <c r="J622" t="n">
        <v>0</v>
      </c>
      <c r="K622" t="n">
        <v>0</v>
      </c>
      <c r="L622" t="n">
        <v>0</v>
      </c>
      <c r="M622" t="n">
        <v>0</v>
      </c>
      <c r="N622" t="n">
        <v>0</v>
      </c>
      <c r="O622" t="n">
        <v>0</v>
      </c>
      <c r="P622" t="n">
        <v>0</v>
      </c>
      <c r="Q622" t="n">
        <v>0</v>
      </c>
      <c r="R622" s="2" t="inlineStr"/>
    </row>
    <row r="623" ht="15" customHeight="1">
      <c r="A623" t="inlineStr">
        <is>
          <t>A 16034-2023</t>
        </is>
      </c>
      <c r="B623" s="1" t="n">
        <v>45027</v>
      </c>
      <c r="C623" s="1" t="n">
        <v>45828</v>
      </c>
      <c r="D623" t="inlineStr">
        <is>
          <t>DALARNAS LÄN</t>
        </is>
      </c>
      <c r="E623" t="inlineStr">
        <is>
          <t>MALUNG-SÄLEN</t>
        </is>
      </c>
      <c r="G623" t="n">
        <v>9</v>
      </c>
      <c r="H623" t="n">
        <v>0</v>
      </c>
      <c r="I623" t="n">
        <v>0</v>
      </c>
      <c r="J623" t="n">
        <v>0</v>
      </c>
      <c r="K623" t="n">
        <v>0</v>
      </c>
      <c r="L623" t="n">
        <v>0</v>
      </c>
      <c r="M623" t="n">
        <v>0</v>
      </c>
      <c r="N623" t="n">
        <v>0</v>
      </c>
      <c r="O623" t="n">
        <v>0</v>
      </c>
      <c r="P623" t="n">
        <v>0</v>
      </c>
      <c r="Q623" t="n">
        <v>0</v>
      </c>
      <c r="R623" s="2" t="inlineStr"/>
    </row>
    <row r="624" ht="15" customHeight="1">
      <c r="A624" t="inlineStr">
        <is>
          <t>A 17167-2023</t>
        </is>
      </c>
      <c r="B624" s="1" t="n">
        <v>45034</v>
      </c>
      <c r="C624" s="1" t="n">
        <v>45828</v>
      </c>
      <c r="D624" t="inlineStr">
        <is>
          <t>DALARNAS LÄN</t>
        </is>
      </c>
      <c r="E624" t="inlineStr">
        <is>
          <t>MALUNG-SÄLEN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17165-2023</t>
        </is>
      </c>
      <c r="B625" s="1" t="n">
        <v>45034</v>
      </c>
      <c r="C625" s="1" t="n">
        <v>45828</v>
      </c>
      <c r="D625" t="inlineStr">
        <is>
          <t>DALARNAS LÄN</t>
        </is>
      </c>
      <c r="E625" t="inlineStr">
        <is>
          <t>MALUNG-SÄLEN</t>
        </is>
      </c>
      <c r="G625" t="n">
        <v>5.1</v>
      </c>
      <c r="H625" t="n">
        <v>0</v>
      </c>
      <c r="I625" t="n">
        <v>0</v>
      </c>
      <c r="J625" t="n">
        <v>0</v>
      </c>
      <c r="K625" t="n">
        <v>0</v>
      </c>
      <c r="L625" t="n">
        <v>0</v>
      </c>
      <c r="M625" t="n">
        <v>0</v>
      </c>
      <c r="N625" t="n">
        <v>0</v>
      </c>
      <c r="O625" t="n">
        <v>0</v>
      </c>
      <c r="P625" t="n">
        <v>0</v>
      </c>
      <c r="Q625" t="n">
        <v>0</v>
      </c>
      <c r="R625" s="2" t="inlineStr"/>
    </row>
    <row r="626" ht="15" customHeight="1">
      <c r="A626" t="inlineStr">
        <is>
          <t>A 17469-2023</t>
        </is>
      </c>
      <c r="B626" s="1" t="n">
        <v>45036</v>
      </c>
      <c r="C626" s="1" t="n">
        <v>45828</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17608-2023</t>
        </is>
      </c>
      <c r="B627" s="1" t="n">
        <v>45036</v>
      </c>
      <c r="C627" s="1" t="n">
        <v>45828</v>
      </c>
      <c r="D627" t="inlineStr">
        <is>
          <t>DALARNAS LÄN</t>
        </is>
      </c>
      <c r="E627" t="inlineStr">
        <is>
          <t>MALUNG-SÄLEN</t>
        </is>
      </c>
      <c r="G627" t="n">
        <v>3.9</v>
      </c>
      <c r="H627" t="n">
        <v>0</v>
      </c>
      <c r="I627" t="n">
        <v>0</v>
      </c>
      <c r="J627" t="n">
        <v>0</v>
      </c>
      <c r="K627" t="n">
        <v>0</v>
      </c>
      <c r="L627" t="n">
        <v>0</v>
      </c>
      <c r="M627" t="n">
        <v>0</v>
      </c>
      <c r="N627" t="n">
        <v>0</v>
      </c>
      <c r="O627" t="n">
        <v>0</v>
      </c>
      <c r="P627" t="n">
        <v>0</v>
      </c>
      <c r="Q627" t="n">
        <v>0</v>
      </c>
      <c r="R627" s="2" t="inlineStr"/>
    </row>
    <row r="628" ht="15" customHeight="1">
      <c r="A628" t="inlineStr">
        <is>
          <t>A 17615-2023</t>
        </is>
      </c>
      <c r="B628" s="1" t="n">
        <v>45036</v>
      </c>
      <c r="C628" s="1" t="n">
        <v>45828</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17583-2023</t>
        </is>
      </c>
      <c r="B629" s="1" t="n">
        <v>45036</v>
      </c>
      <c r="C629" s="1" t="n">
        <v>45828</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17828-2023</t>
        </is>
      </c>
      <c r="B630" s="1" t="n">
        <v>45037</v>
      </c>
      <c r="C630" s="1" t="n">
        <v>45828</v>
      </c>
      <c r="D630" t="inlineStr">
        <is>
          <t>DALARNAS LÄN</t>
        </is>
      </c>
      <c r="E630" t="inlineStr">
        <is>
          <t>MALUNG-SÄLEN</t>
        </is>
      </c>
      <c r="G630" t="n">
        <v>3</v>
      </c>
      <c r="H630" t="n">
        <v>0</v>
      </c>
      <c r="I630" t="n">
        <v>0</v>
      </c>
      <c r="J630" t="n">
        <v>0</v>
      </c>
      <c r="K630" t="n">
        <v>0</v>
      </c>
      <c r="L630" t="n">
        <v>0</v>
      </c>
      <c r="M630" t="n">
        <v>0</v>
      </c>
      <c r="N630" t="n">
        <v>0</v>
      </c>
      <c r="O630" t="n">
        <v>0</v>
      </c>
      <c r="P630" t="n">
        <v>0</v>
      </c>
      <c r="Q630" t="n">
        <v>0</v>
      </c>
      <c r="R630" s="2" t="inlineStr"/>
    </row>
    <row r="631" ht="15" customHeight="1">
      <c r="A631" t="inlineStr">
        <is>
          <t>A 18233-2023</t>
        </is>
      </c>
      <c r="B631" s="1" t="n">
        <v>45041</v>
      </c>
      <c r="C631" s="1" t="n">
        <v>45828</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18239-2023</t>
        </is>
      </c>
      <c r="B632" s="1" t="n">
        <v>45041</v>
      </c>
      <c r="C632" s="1" t="n">
        <v>45828</v>
      </c>
      <c r="D632" t="inlineStr">
        <is>
          <t>DALARNAS LÄN</t>
        </is>
      </c>
      <c r="E632" t="inlineStr">
        <is>
          <t>MALUNG-SÄLEN</t>
        </is>
      </c>
      <c r="F632" t="inlineStr">
        <is>
          <t>Bergvik skog öst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18584-2023</t>
        </is>
      </c>
      <c r="B633" s="1" t="n">
        <v>45041</v>
      </c>
      <c r="C633" s="1" t="n">
        <v>45828</v>
      </c>
      <c r="D633" t="inlineStr">
        <is>
          <t>DALARNAS LÄN</t>
        </is>
      </c>
      <c r="E633" t="inlineStr">
        <is>
          <t>MALUNG-SÄLEN</t>
        </is>
      </c>
      <c r="G633" t="n">
        <v>1.3</v>
      </c>
      <c r="H633" t="n">
        <v>0</v>
      </c>
      <c r="I633" t="n">
        <v>0</v>
      </c>
      <c r="J633" t="n">
        <v>0</v>
      </c>
      <c r="K633" t="n">
        <v>0</v>
      </c>
      <c r="L633" t="n">
        <v>0</v>
      </c>
      <c r="M633" t="n">
        <v>0</v>
      </c>
      <c r="N633" t="n">
        <v>0</v>
      </c>
      <c r="O633" t="n">
        <v>0</v>
      </c>
      <c r="P633" t="n">
        <v>0</v>
      </c>
      <c r="Q633" t="n">
        <v>0</v>
      </c>
      <c r="R633" s="2" t="inlineStr"/>
    </row>
    <row r="634" ht="15" customHeight="1">
      <c r="A634" t="inlineStr">
        <is>
          <t>A 19056-2023</t>
        </is>
      </c>
      <c r="B634" s="1" t="n">
        <v>45048</v>
      </c>
      <c r="C634" s="1" t="n">
        <v>45828</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45828</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19856-2023</t>
        </is>
      </c>
      <c r="B636" s="1" t="n">
        <v>45053</v>
      </c>
      <c r="C636" s="1" t="n">
        <v>45828</v>
      </c>
      <c r="D636" t="inlineStr">
        <is>
          <t>DALARNAS LÄN</t>
        </is>
      </c>
      <c r="E636" t="inlineStr">
        <is>
          <t>MALUNG-SÄLEN</t>
        </is>
      </c>
      <c r="G636" t="n">
        <v>4.6</v>
      </c>
      <c r="H636" t="n">
        <v>0</v>
      </c>
      <c r="I636" t="n">
        <v>0</v>
      </c>
      <c r="J636" t="n">
        <v>0</v>
      </c>
      <c r="K636" t="n">
        <v>0</v>
      </c>
      <c r="L636" t="n">
        <v>0</v>
      </c>
      <c r="M636" t="n">
        <v>0</v>
      </c>
      <c r="N636" t="n">
        <v>0</v>
      </c>
      <c r="O636" t="n">
        <v>0</v>
      </c>
      <c r="P636" t="n">
        <v>0</v>
      </c>
      <c r="Q636" t="n">
        <v>0</v>
      </c>
      <c r="R636" s="2" t="inlineStr"/>
    </row>
    <row r="637" ht="15" customHeight="1">
      <c r="A637" t="inlineStr">
        <is>
          <t>A 19857-2023</t>
        </is>
      </c>
      <c r="B637" s="1" t="n">
        <v>45053</v>
      </c>
      <c r="C637" s="1" t="n">
        <v>45828</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20010-2023</t>
        </is>
      </c>
      <c r="B638" s="1" t="n">
        <v>45054</v>
      </c>
      <c r="C638" s="1" t="n">
        <v>45828</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20025-2023</t>
        </is>
      </c>
      <c r="B639" s="1" t="n">
        <v>45054</v>
      </c>
      <c r="C639" s="1" t="n">
        <v>45828</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20002-2023</t>
        </is>
      </c>
      <c r="B640" s="1" t="n">
        <v>45054</v>
      </c>
      <c r="C640" s="1" t="n">
        <v>45828</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20021-2023</t>
        </is>
      </c>
      <c r="B641" s="1" t="n">
        <v>45054</v>
      </c>
      <c r="C641" s="1" t="n">
        <v>45828</v>
      </c>
      <c r="D641" t="inlineStr">
        <is>
          <t>DALARNAS LÄN</t>
        </is>
      </c>
      <c r="E641" t="inlineStr">
        <is>
          <t>MALUNG-SÄLEN</t>
        </is>
      </c>
      <c r="G641" t="n">
        <v>2.5</v>
      </c>
      <c r="H641" t="n">
        <v>0</v>
      </c>
      <c r="I641" t="n">
        <v>0</v>
      </c>
      <c r="J641" t="n">
        <v>0</v>
      </c>
      <c r="K641" t="n">
        <v>0</v>
      </c>
      <c r="L641" t="n">
        <v>0</v>
      </c>
      <c r="M641" t="n">
        <v>0</v>
      </c>
      <c r="N641" t="n">
        <v>0</v>
      </c>
      <c r="O641" t="n">
        <v>0</v>
      </c>
      <c r="P641" t="n">
        <v>0</v>
      </c>
      <c r="Q641" t="n">
        <v>0</v>
      </c>
      <c r="R641" s="2" t="inlineStr"/>
    </row>
    <row r="642" ht="15" customHeight="1">
      <c r="A642" t="inlineStr">
        <is>
          <t>A 20026-2023</t>
        </is>
      </c>
      <c r="B642" s="1" t="n">
        <v>45054</v>
      </c>
      <c r="C642" s="1" t="n">
        <v>45828</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19974-2023</t>
        </is>
      </c>
      <c r="B643" s="1" t="n">
        <v>45054</v>
      </c>
      <c r="C643" s="1" t="n">
        <v>45828</v>
      </c>
      <c r="D643" t="inlineStr">
        <is>
          <t>DALARNAS LÄN</t>
        </is>
      </c>
      <c r="E643" t="inlineStr">
        <is>
          <t>MALUNG-SÄLEN</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20292-2023</t>
        </is>
      </c>
      <c r="B644" s="1" t="n">
        <v>45056</v>
      </c>
      <c r="C644" s="1" t="n">
        <v>45828</v>
      </c>
      <c r="D644" t="inlineStr">
        <is>
          <t>DALARNAS LÄN</t>
        </is>
      </c>
      <c r="E644" t="inlineStr">
        <is>
          <t>MALUNG-SÄLEN</t>
        </is>
      </c>
      <c r="G644" t="n">
        <v>1.6</v>
      </c>
      <c r="H644" t="n">
        <v>0</v>
      </c>
      <c r="I644" t="n">
        <v>0</v>
      </c>
      <c r="J644" t="n">
        <v>0</v>
      </c>
      <c r="K644" t="n">
        <v>0</v>
      </c>
      <c r="L644" t="n">
        <v>0</v>
      </c>
      <c r="M644" t="n">
        <v>0</v>
      </c>
      <c r="N644" t="n">
        <v>0</v>
      </c>
      <c r="O644" t="n">
        <v>0</v>
      </c>
      <c r="P644" t="n">
        <v>0</v>
      </c>
      <c r="Q644" t="n">
        <v>0</v>
      </c>
      <c r="R644" s="2" t="inlineStr"/>
    </row>
    <row r="645" ht="15" customHeight="1">
      <c r="A645" t="inlineStr">
        <is>
          <t>A 20931-2023</t>
        </is>
      </c>
      <c r="B645" s="1" t="n">
        <v>45056</v>
      </c>
      <c r="C645" s="1" t="n">
        <v>45828</v>
      </c>
      <c r="D645" t="inlineStr">
        <is>
          <t>DALARNAS LÄN</t>
        </is>
      </c>
      <c r="E645" t="inlineStr">
        <is>
          <t>MALUNG-SÄLEN</t>
        </is>
      </c>
      <c r="G645" t="n">
        <v>1.2</v>
      </c>
      <c r="H645" t="n">
        <v>0</v>
      </c>
      <c r="I645" t="n">
        <v>0</v>
      </c>
      <c r="J645" t="n">
        <v>0</v>
      </c>
      <c r="K645" t="n">
        <v>0</v>
      </c>
      <c r="L645" t="n">
        <v>0</v>
      </c>
      <c r="M645" t="n">
        <v>0</v>
      </c>
      <c r="N645" t="n">
        <v>0</v>
      </c>
      <c r="O645" t="n">
        <v>0</v>
      </c>
      <c r="P645" t="n">
        <v>0</v>
      </c>
      <c r="Q645" t="n">
        <v>0</v>
      </c>
      <c r="R645" s="2" t="inlineStr"/>
    </row>
    <row r="646" ht="15" customHeight="1">
      <c r="A646" t="inlineStr">
        <is>
          <t>A 20507-2023</t>
        </is>
      </c>
      <c r="B646" s="1" t="n">
        <v>45057</v>
      </c>
      <c r="C646" s="1" t="n">
        <v>45828</v>
      </c>
      <c r="D646" t="inlineStr">
        <is>
          <t>DALARNAS LÄN</t>
        </is>
      </c>
      <c r="E646" t="inlineStr">
        <is>
          <t>MALUNG-SÄLEN</t>
        </is>
      </c>
      <c r="F646" t="inlineStr">
        <is>
          <t>Bergvik skog öst AB</t>
        </is>
      </c>
      <c r="G646" t="n">
        <v>11.8</v>
      </c>
      <c r="H646" t="n">
        <v>0</v>
      </c>
      <c r="I646" t="n">
        <v>0</v>
      </c>
      <c r="J646" t="n">
        <v>0</v>
      </c>
      <c r="K646" t="n">
        <v>0</v>
      </c>
      <c r="L646" t="n">
        <v>0</v>
      </c>
      <c r="M646" t="n">
        <v>0</v>
      </c>
      <c r="N646" t="n">
        <v>0</v>
      </c>
      <c r="O646" t="n">
        <v>0</v>
      </c>
      <c r="P646" t="n">
        <v>0</v>
      </c>
      <c r="Q646" t="n">
        <v>0</v>
      </c>
      <c r="R646" s="2" t="inlineStr"/>
    </row>
    <row r="647" ht="15" customHeight="1">
      <c r="A647" t="inlineStr">
        <is>
          <t>A 20553-2023</t>
        </is>
      </c>
      <c r="B647" s="1" t="n">
        <v>45057</v>
      </c>
      <c r="C647" s="1" t="n">
        <v>45828</v>
      </c>
      <c r="D647" t="inlineStr">
        <is>
          <t>DALARNAS LÄN</t>
        </is>
      </c>
      <c r="E647" t="inlineStr">
        <is>
          <t>MALUNG-SÄLEN</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20706-2023</t>
        </is>
      </c>
      <c r="B648" s="1" t="n">
        <v>45058</v>
      </c>
      <c r="C648" s="1" t="n">
        <v>45828</v>
      </c>
      <c r="D648" t="inlineStr">
        <is>
          <t>DALARNAS LÄN</t>
        </is>
      </c>
      <c r="E648" t="inlineStr">
        <is>
          <t>MALUNG-SÄLEN</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20715-2023</t>
        </is>
      </c>
      <c r="B649" s="1" t="n">
        <v>45058</v>
      </c>
      <c r="C649" s="1" t="n">
        <v>45828</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21568-2023</t>
        </is>
      </c>
      <c r="B650" s="1" t="n">
        <v>45061</v>
      </c>
      <c r="C650" s="1" t="n">
        <v>45828</v>
      </c>
      <c r="D650" t="inlineStr">
        <is>
          <t>DALARNAS LÄN</t>
        </is>
      </c>
      <c r="E650" t="inlineStr">
        <is>
          <t>MALUNG-SÄLEN</t>
        </is>
      </c>
      <c r="G650" t="n">
        <v>6.6</v>
      </c>
      <c r="H650" t="n">
        <v>0</v>
      </c>
      <c r="I650" t="n">
        <v>0</v>
      </c>
      <c r="J650" t="n">
        <v>0</v>
      </c>
      <c r="K650" t="n">
        <v>0</v>
      </c>
      <c r="L650" t="n">
        <v>0</v>
      </c>
      <c r="M650" t="n">
        <v>0</v>
      </c>
      <c r="N650" t="n">
        <v>0</v>
      </c>
      <c r="O650" t="n">
        <v>0</v>
      </c>
      <c r="P650" t="n">
        <v>0</v>
      </c>
      <c r="Q650" t="n">
        <v>0</v>
      </c>
      <c r="R650" s="2" t="inlineStr"/>
    </row>
    <row r="651" ht="15" customHeight="1">
      <c r="A651" t="inlineStr">
        <is>
          <t>A 21279-2023</t>
        </is>
      </c>
      <c r="B651" s="1" t="n">
        <v>45062</v>
      </c>
      <c r="C651" s="1" t="n">
        <v>45828</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21486-2023</t>
        </is>
      </c>
      <c r="B652" s="1" t="n">
        <v>45063</v>
      </c>
      <c r="C652" s="1" t="n">
        <v>45828</v>
      </c>
      <c r="D652" t="inlineStr">
        <is>
          <t>DALARNAS LÄN</t>
        </is>
      </c>
      <c r="E652" t="inlineStr">
        <is>
          <t>MALUNG-SÄLEN</t>
        </is>
      </c>
      <c r="G652" t="n">
        <v>1</v>
      </c>
      <c r="H652" t="n">
        <v>0</v>
      </c>
      <c r="I652" t="n">
        <v>0</v>
      </c>
      <c r="J652" t="n">
        <v>0</v>
      </c>
      <c r="K652" t="n">
        <v>0</v>
      </c>
      <c r="L652" t="n">
        <v>0</v>
      </c>
      <c r="M652" t="n">
        <v>0</v>
      </c>
      <c r="N652" t="n">
        <v>0</v>
      </c>
      <c r="O652" t="n">
        <v>0</v>
      </c>
      <c r="P652" t="n">
        <v>0</v>
      </c>
      <c r="Q652" t="n">
        <v>0</v>
      </c>
      <c r="R652" s="2" t="inlineStr"/>
    </row>
    <row r="653" ht="15" customHeight="1">
      <c r="A653" t="inlineStr">
        <is>
          <t>A 21460-2023</t>
        </is>
      </c>
      <c r="B653" s="1" t="n">
        <v>45063</v>
      </c>
      <c r="C653" s="1" t="n">
        <v>45828</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22107-2023</t>
        </is>
      </c>
      <c r="B654" s="1" t="n">
        <v>45068</v>
      </c>
      <c r="C654" s="1" t="n">
        <v>45828</v>
      </c>
      <c r="D654" t="inlineStr">
        <is>
          <t>DALARNAS LÄN</t>
        </is>
      </c>
      <c r="E654" t="inlineStr">
        <is>
          <t>MALUNG-SÄLEN</t>
        </is>
      </c>
      <c r="G654" t="n">
        <v>8</v>
      </c>
      <c r="H654" t="n">
        <v>0</v>
      </c>
      <c r="I654" t="n">
        <v>0</v>
      </c>
      <c r="J654" t="n">
        <v>0</v>
      </c>
      <c r="K654" t="n">
        <v>0</v>
      </c>
      <c r="L654" t="n">
        <v>0</v>
      </c>
      <c r="M654" t="n">
        <v>0</v>
      </c>
      <c r="N654" t="n">
        <v>0</v>
      </c>
      <c r="O654" t="n">
        <v>0</v>
      </c>
      <c r="P654" t="n">
        <v>0</v>
      </c>
      <c r="Q654" t="n">
        <v>0</v>
      </c>
      <c r="R654" s="2" t="inlineStr"/>
    </row>
    <row r="655" ht="15" customHeight="1">
      <c r="A655" t="inlineStr">
        <is>
          <t>A 22131-2023</t>
        </is>
      </c>
      <c r="B655" s="1" t="n">
        <v>45068</v>
      </c>
      <c r="C655" s="1" t="n">
        <v>45828</v>
      </c>
      <c r="D655" t="inlineStr">
        <is>
          <t>DALARNAS LÄN</t>
        </is>
      </c>
      <c r="E655" t="inlineStr">
        <is>
          <t>MALUNG-SÄLEN</t>
        </is>
      </c>
      <c r="G655" t="n">
        <v>5.6</v>
      </c>
      <c r="H655" t="n">
        <v>0</v>
      </c>
      <c r="I655" t="n">
        <v>0</v>
      </c>
      <c r="J655" t="n">
        <v>0</v>
      </c>
      <c r="K655" t="n">
        <v>0</v>
      </c>
      <c r="L655" t="n">
        <v>0</v>
      </c>
      <c r="M655" t="n">
        <v>0</v>
      </c>
      <c r="N655" t="n">
        <v>0</v>
      </c>
      <c r="O655" t="n">
        <v>0</v>
      </c>
      <c r="P655" t="n">
        <v>0</v>
      </c>
      <c r="Q655" t="n">
        <v>0</v>
      </c>
      <c r="R655" s="2" t="inlineStr"/>
    </row>
    <row r="656" ht="15" customHeight="1">
      <c r="A656" t="inlineStr">
        <is>
          <t>A 22622-2023</t>
        </is>
      </c>
      <c r="B656" s="1" t="n">
        <v>45071</v>
      </c>
      <c r="C656" s="1" t="n">
        <v>45828</v>
      </c>
      <c r="D656" t="inlineStr">
        <is>
          <t>DALARNAS LÄN</t>
        </is>
      </c>
      <c r="E656" t="inlineStr">
        <is>
          <t>MALUNG-SÄLEN</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22640-2023</t>
        </is>
      </c>
      <c r="B657" s="1" t="n">
        <v>45071</v>
      </c>
      <c r="C657" s="1" t="n">
        <v>45828</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22772-2023</t>
        </is>
      </c>
      <c r="B658" s="1" t="n">
        <v>45072</v>
      </c>
      <c r="C658" s="1" t="n">
        <v>45828</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22780-2023</t>
        </is>
      </c>
      <c r="B659" s="1" t="n">
        <v>45072</v>
      </c>
      <c r="C659" s="1" t="n">
        <v>45828</v>
      </c>
      <c r="D659" t="inlineStr">
        <is>
          <t>DALARNAS LÄN</t>
        </is>
      </c>
      <c r="E659" t="inlineStr">
        <is>
          <t>MALUNG-SÄLEN</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22770-2023</t>
        </is>
      </c>
      <c r="B660" s="1" t="n">
        <v>45072</v>
      </c>
      <c r="C660" s="1" t="n">
        <v>45828</v>
      </c>
      <c r="D660" t="inlineStr">
        <is>
          <t>DALARNAS LÄN</t>
        </is>
      </c>
      <c r="E660" t="inlineStr">
        <is>
          <t>MALUNG-SÄLEN</t>
        </is>
      </c>
      <c r="G660" t="n">
        <v>9.9</v>
      </c>
      <c r="H660" t="n">
        <v>0</v>
      </c>
      <c r="I660" t="n">
        <v>0</v>
      </c>
      <c r="J660" t="n">
        <v>0</v>
      </c>
      <c r="K660" t="n">
        <v>0</v>
      </c>
      <c r="L660" t="n">
        <v>0</v>
      </c>
      <c r="M660" t="n">
        <v>0</v>
      </c>
      <c r="N660" t="n">
        <v>0</v>
      </c>
      <c r="O660" t="n">
        <v>0</v>
      </c>
      <c r="P660" t="n">
        <v>0</v>
      </c>
      <c r="Q660" t="n">
        <v>0</v>
      </c>
      <c r="R660" s="2" t="inlineStr"/>
    </row>
    <row r="661" ht="15" customHeight="1">
      <c r="A661" t="inlineStr">
        <is>
          <t>A 22769-2023</t>
        </is>
      </c>
      <c r="B661" s="1" t="n">
        <v>45072</v>
      </c>
      <c r="C661" s="1" t="n">
        <v>45828</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22773-2023</t>
        </is>
      </c>
      <c r="B662" s="1" t="n">
        <v>45072</v>
      </c>
      <c r="C662" s="1" t="n">
        <v>45828</v>
      </c>
      <c r="D662" t="inlineStr">
        <is>
          <t>DALARNAS LÄN</t>
        </is>
      </c>
      <c r="E662" t="inlineStr">
        <is>
          <t>MALUNG-SÄLEN</t>
        </is>
      </c>
      <c r="G662" t="n">
        <v>4.4</v>
      </c>
      <c r="H662" t="n">
        <v>0</v>
      </c>
      <c r="I662" t="n">
        <v>0</v>
      </c>
      <c r="J662" t="n">
        <v>0</v>
      </c>
      <c r="K662" t="n">
        <v>0</v>
      </c>
      <c r="L662" t="n">
        <v>0</v>
      </c>
      <c r="M662" t="n">
        <v>0</v>
      </c>
      <c r="N662" t="n">
        <v>0</v>
      </c>
      <c r="O662" t="n">
        <v>0</v>
      </c>
      <c r="P662" t="n">
        <v>0</v>
      </c>
      <c r="Q662" t="n">
        <v>0</v>
      </c>
      <c r="R662" s="2" t="inlineStr"/>
    </row>
    <row r="663" ht="15" customHeight="1">
      <c r="A663" t="inlineStr">
        <is>
          <t>A 22811-2023</t>
        </is>
      </c>
      <c r="B663" s="1" t="n">
        <v>45072</v>
      </c>
      <c r="C663" s="1" t="n">
        <v>45828</v>
      </c>
      <c r="D663" t="inlineStr">
        <is>
          <t>DALARNAS LÄN</t>
        </is>
      </c>
      <c r="E663" t="inlineStr">
        <is>
          <t>MALUNG-SÄLEN</t>
        </is>
      </c>
      <c r="F663" t="inlineStr">
        <is>
          <t>Bergvik skog öst AB</t>
        </is>
      </c>
      <c r="G663" t="n">
        <v>5.8</v>
      </c>
      <c r="H663" t="n">
        <v>0</v>
      </c>
      <c r="I663" t="n">
        <v>0</v>
      </c>
      <c r="J663" t="n">
        <v>0</v>
      </c>
      <c r="K663" t="n">
        <v>0</v>
      </c>
      <c r="L663" t="n">
        <v>0</v>
      </c>
      <c r="M663" t="n">
        <v>0</v>
      </c>
      <c r="N663" t="n">
        <v>0</v>
      </c>
      <c r="O663" t="n">
        <v>0</v>
      </c>
      <c r="P663" t="n">
        <v>0</v>
      </c>
      <c r="Q663" t="n">
        <v>0</v>
      </c>
      <c r="R663" s="2" t="inlineStr"/>
    </row>
    <row r="664" ht="15" customHeight="1">
      <c r="A664" t="inlineStr">
        <is>
          <t>A 22771-2023</t>
        </is>
      </c>
      <c r="B664" s="1" t="n">
        <v>45072</v>
      </c>
      <c r="C664" s="1" t="n">
        <v>45828</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23422-2023</t>
        </is>
      </c>
      <c r="B665" s="1" t="n">
        <v>45072</v>
      </c>
      <c r="C665" s="1" t="n">
        <v>45828</v>
      </c>
      <c r="D665" t="inlineStr">
        <is>
          <t>DALARNAS LÄN</t>
        </is>
      </c>
      <c r="E665" t="inlineStr">
        <is>
          <t>MALUNG-SÄLEN</t>
        </is>
      </c>
      <c r="G665" t="n">
        <v>9.4</v>
      </c>
      <c r="H665" t="n">
        <v>0</v>
      </c>
      <c r="I665" t="n">
        <v>0</v>
      </c>
      <c r="J665" t="n">
        <v>0</v>
      </c>
      <c r="K665" t="n">
        <v>0</v>
      </c>
      <c r="L665" t="n">
        <v>0</v>
      </c>
      <c r="M665" t="n">
        <v>0</v>
      </c>
      <c r="N665" t="n">
        <v>0</v>
      </c>
      <c r="O665" t="n">
        <v>0</v>
      </c>
      <c r="P665" t="n">
        <v>0</v>
      </c>
      <c r="Q665" t="n">
        <v>0</v>
      </c>
      <c r="R665" s="2" t="inlineStr"/>
    </row>
    <row r="666" ht="15" customHeight="1">
      <c r="A666" t="inlineStr">
        <is>
          <t>A 23174-2023</t>
        </is>
      </c>
      <c r="B666" s="1" t="n">
        <v>45075</v>
      </c>
      <c r="C666" s="1" t="n">
        <v>45828</v>
      </c>
      <c r="D666" t="inlineStr">
        <is>
          <t>DALARNAS LÄN</t>
        </is>
      </c>
      <c r="E666" t="inlineStr">
        <is>
          <t>MALUNG-SÄLEN</t>
        </is>
      </c>
      <c r="F666" t="inlineStr">
        <is>
          <t>Bergvik skog öst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23320-2023</t>
        </is>
      </c>
      <c r="B667" s="1" t="n">
        <v>45076</v>
      </c>
      <c r="C667" s="1" t="n">
        <v>45828</v>
      </c>
      <c r="D667" t="inlineStr">
        <is>
          <t>DALARNAS LÄN</t>
        </is>
      </c>
      <c r="E667" t="inlineStr">
        <is>
          <t>MALUNG-SÄLEN</t>
        </is>
      </c>
      <c r="G667" t="n">
        <v>1.4</v>
      </c>
      <c r="H667" t="n">
        <v>0</v>
      </c>
      <c r="I667" t="n">
        <v>0</v>
      </c>
      <c r="J667" t="n">
        <v>0</v>
      </c>
      <c r="K667" t="n">
        <v>0</v>
      </c>
      <c r="L667" t="n">
        <v>0</v>
      </c>
      <c r="M667" t="n">
        <v>0</v>
      </c>
      <c r="N667" t="n">
        <v>0</v>
      </c>
      <c r="O667" t="n">
        <v>0</v>
      </c>
      <c r="P667" t="n">
        <v>0</v>
      </c>
      <c r="Q667" t="n">
        <v>0</v>
      </c>
      <c r="R667" s="2" t="inlineStr"/>
    </row>
    <row r="668" ht="15" customHeight="1">
      <c r="A668" t="inlineStr">
        <is>
          <t>A 23452-2023</t>
        </is>
      </c>
      <c r="B668" s="1" t="n">
        <v>45076</v>
      </c>
      <c r="C668" s="1" t="n">
        <v>45828</v>
      </c>
      <c r="D668" t="inlineStr">
        <is>
          <t>DALARNAS LÄN</t>
        </is>
      </c>
      <c r="E668" t="inlineStr">
        <is>
          <t>MALUNG-SÄLEN</t>
        </is>
      </c>
      <c r="F668" t="inlineStr">
        <is>
          <t>Bergvik skog öst AB</t>
        </is>
      </c>
      <c r="G668" t="n">
        <v>6.2</v>
      </c>
      <c r="H668" t="n">
        <v>0</v>
      </c>
      <c r="I668" t="n">
        <v>0</v>
      </c>
      <c r="J668" t="n">
        <v>0</v>
      </c>
      <c r="K668" t="n">
        <v>0</v>
      </c>
      <c r="L668" t="n">
        <v>0</v>
      </c>
      <c r="M668" t="n">
        <v>0</v>
      </c>
      <c r="N668" t="n">
        <v>0</v>
      </c>
      <c r="O668" t="n">
        <v>0</v>
      </c>
      <c r="P668" t="n">
        <v>0</v>
      </c>
      <c r="Q668" t="n">
        <v>0</v>
      </c>
      <c r="R668" s="2" t="inlineStr"/>
    </row>
    <row r="669" ht="15" customHeight="1">
      <c r="A669" t="inlineStr">
        <is>
          <t>A 23663-2023</t>
        </is>
      </c>
      <c r="B669" s="1" t="n">
        <v>45077</v>
      </c>
      <c r="C669" s="1" t="n">
        <v>45828</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24477-2023</t>
        </is>
      </c>
      <c r="B670" s="1" t="n">
        <v>45077</v>
      </c>
      <c r="C670" s="1" t="n">
        <v>45828</v>
      </c>
      <c r="D670" t="inlineStr">
        <is>
          <t>DALARNAS LÄN</t>
        </is>
      </c>
      <c r="E670" t="inlineStr">
        <is>
          <t>MALUNG-SÄLEN</t>
        </is>
      </c>
      <c r="G670" t="n">
        <v>4.7</v>
      </c>
      <c r="H670" t="n">
        <v>0</v>
      </c>
      <c r="I670" t="n">
        <v>0</v>
      </c>
      <c r="J670" t="n">
        <v>0</v>
      </c>
      <c r="K670" t="n">
        <v>0</v>
      </c>
      <c r="L670" t="n">
        <v>0</v>
      </c>
      <c r="M670" t="n">
        <v>0</v>
      </c>
      <c r="N670" t="n">
        <v>0</v>
      </c>
      <c r="O670" t="n">
        <v>0</v>
      </c>
      <c r="P670" t="n">
        <v>0</v>
      </c>
      <c r="Q670" t="n">
        <v>0</v>
      </c>
      <c r="R670" s="2" t="inlineStr"/>
    </row>
    <row r="671" ht="15" customHeight="1">
      <c r="A671" t="inlineStr">
        <is>
          <t>A 23800-2023</t>
        </is>
      </c>
      <c r="B671" s="1" t="n">
        <v>45078</v>
      </c>
      <c r="C671" s="1" t="n">
        <v>45828</v>
      </c>
      <c r="D671" t="inlineStr">
        <is>
          <t>DALARNAS LÄN</t>
        </is>
      </c>
      <c r="E671" t="inlineStr">
        <is>
          <t>MALUNG-SÄLEN</t>
        </is>
      </c>
      <c r="G671" t="n">
        <v>6.3</v>
      </c>
      <c r="H671" t="n">
        <v>0</v>
      </c>
      <c r="I671" t="n">
        <v>0</v>
      </c>
      <c r="J671" t="n">
        <v>0</v>
      </c>
      <c r="K671" t="n">
        <v>0</v>
      </c>
      <c r="L671" t="n">
        <v>0</v>
      </c>
      <c r="M671" t="n">
        <v>0</v>
      </c>
      <c r="N671" t="n">
        <v>0</v>
      </c>
      <c r="O671" t="n">
        <v>0</v>
      </c>
      <c r="P671" t="n">
        <v>0</v>
      </c>
      <c r="Q671" t="n">
        <v>0</v>
      </c>
      <c r="R671" s="2" t="inlineStr"/>
    </row>
    <row r="672" ht="15" customHeight="1">
      <c r="A672" t="inlineStr">
        <is>
          <t>A 23923-2023</t>
        </is>
      </c>
      <c r="B672" s="1" t="n">
        <v>45078</v>
      </c>
      <c r="C672" s="1" t="n">
        <v>45828</v>
      </c>
      <c r="D672" t="inlineStr">
        <is>
          <t>DALARNAS LÄN</t>
        </is>
      </c>
      <c r="E672" t="inlineStr">
        <is>
          <t>MALUNG-SÄLEN</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v>
      </c>
      <c r="C673" s="1" t="n">
        <v>45828</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23941-2023</t>
        </is>
      </c>
      <c r="B674" s="1" t="n">
        <v>45078</v>
      </c>
      <c r="C674" s="1" t="n">
        <v>45828</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23989-2023</t>
        </is>
      </c>
      <c r="B675" s="1" t="n">
        <v>45078</v>
      </c>
      <c r="C675" s="1" t="n">
        <v>45828</v>
      </c>
      <c r="D675" t="inlineStr">
        <is>
          <t>DALARNAS LÄN</t>
        </is>
      </c>
      <c r="E675" t="inlineStr">
        <is>
          <t>MALUNG-SÄLEN</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24108-2023</t>
        </is>
      </c>
      <c r="B676" s="1" t="n">
        <v>45079</v>
      </c>
      <c r="C676" s="1" t="n">
        <v>45828</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24132-2023</t>
        </is>
      </c>
      <c r="B677" s="1" t="n">
        <v>45079</v>
      </c>
      <c r="C677" s="1" t="n">
        <v>45828</v>
      </c>
      <c r="D677" t="inlineStr">
        <is>
          <t>DALARNAS LÄN</t>
        </is>
      </c>
      <c r="E677" t="inlineStr">
        <is>
          <t>MALUNG-SÄLEN</t>
        </is>
      </c>
      <c r="G677" t="n">
        <v>2.3</v>
      </c>
      <c r="H677" t="n">
        <v>0</v>
      </c>
      <c r="I677" t="n">
        <v>0</v>
      </c>
      <c r="J677" t="n">
        <v>0</v>
      </c>
      <c r="K677" t="n">
        <v>0</v>
      </c>
      <c r="L677" t="n">
        <v>0</v>
      </c>
      <c r="M677" t="n">
        <v>0</v>
      </c>
      <c r="N677" t="n">
        <v>0</v>
      </c>
      <c r="O677" t="n">
        <v>0</v>
      </c>
      <c r="P677" t="n">
        <v>0</v>
      </c>
      <c r="Q677" t="n">
        <v>0</v>
      </c>
      <c r="R677" s="2" t="inlineStr"/>
    </row>
    <row r="678" ht="15" customHeight="1">
      <c r="A678" t="inlineStr">
        <is>
          <t>A 24215-2023</t>
        </is>
      </c>
      <c r="B678" s="1" t="n">
        <v>45079</v>
      </c>
      <c r="C678" s="1" t="n">
        <v>45828</v>
      </c>
      <c r="D678" t="inlineStr">
        <is>
          <t>DALARNAS LÄN</t>
        </is>
      </c>
      <c r="E678" t="inlineStr">
        <is>
          <t>MALUNG-SÄLEN</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24114-2023</t>
        </is>
      </c>
      <c r="B679" s="1" t="n">
        <v>45079</v>
      </c>
      <c r="C679" s="1" t="n">
        <v>45828</v>
      </c>
      <c r="D679" t="inlineStr">
        <is>
          <t>DALARNAS LÄN</t>
        </is>
      </c>
      <c r="E679" t="inlineStr">
        <is>
          <t>MALUNG-SÄLEN</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24637-2023</t>
        </is>
      </c>
      <c r="B680" s="1" t="n">
        <v>45084</v>
      </c>
      <c r="C680" s="1" t="n">
        <v>45828</v>
      </c>
      <c r="D680" t="inlineStr">
        <is>
          <t>DALARNAS LÄN</t>
        </is>
      </c>
      <c r="E680" t="inlineStr">
        <is>
          <t>MALUNG-SÄLEN</t>
        </is>
      </c>
      <c r="F680" t="inlineStr">
        <is>
          <t>Bergvik skog öst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24738-2023</t>
        </is>
      </c>
      <c r="B681" s="1" t="n">
        <v>45084</v>
      </c>
      <c r="C681" s="1" t="n">
        <v>45828</v>
      </c>
      <c r="D681" t="inlineStr">
        <is>
          <t>DALARNAS LÄN</t>
        </is>
      </c>
      <c r="E681" t="inlineStr">
        <is>
          <t>MALUNG-SÄLEN</t>
        </is>
      </c>
      <c r="F681" t="inlineStr">
        <is>
          <t>Allmännings- och besparingsskogar</t>
        </is>
      </c>
      <c r="G681" t="n">
        <v>22.5</v>
      </c>
      <c r="H681" t="n">
        <v>0</v>
      </c>
      <c r="I681" t="n">
        <v>0</v>
      </c>
      <c r="J681" t="n">
        <v>0</v>
      </c>
      <c r="K681" t="n">
        <v>0</v>
      </c>
      <c r="L681" t="n">
        <v>0</v>
      </c>
      <c r="M681" t="n">
        <v>0</v>
      </c>
      <c r="N681" t="n">
        <v>0</v>
      </c>
      <c r="O681" t="n">
        <v>0</v>
      </c>
      <c r="P681" t="n">
        <v>0</v>
      </c>
      <c r="Q681" t="n">
        <v>0</v>
      </c>
      <c r="R681" s="2" t="inlineStr"/>
    </row>
    <row r="682" ht="15" customHeight="1">
      <c r="A682" t="inlineStr">
        <is>
          <t>A 24706-2023</t>
        </is>
      </c>
      <c r="B682" s="1" t="n">
        <v>45084</v>
      </c>
      <c r="C682" s="1" t="n">
        <v>45828</v>
      </c>
      <c r="D682" t="inlineStr">
        <is>
          <t>DALARNAS LÄN</t>
        </is>
      </c>
      <c r="E682" t="inlineStr">
        <is>
          <t>MALUNG-SÄLEN</t>
        </is>
      </c>
      <c r="G682" t="n">
        <v>3.6</v>
      </c>
      <c r="H682" t="n">
        <v>0</v>
      </c>
      <c r="I682" t="n">
        <v>0</v>
      </c>
      <c r="J682" t="n">
        <v>0</v>
      </c>
      <c r="K682" t="n">
        <v>0</v>
      </c>
      <c r="L682" t="n">
        <v>0</v>
      </c>
      <c r="M682" t="n">
        <v>0</v>
      </c>
      <c r="N682" t="n">
        <v>0</v>
      </c>
      <c r="O682" t="n">
        <v>0</v>
      </c>
      <c r="P682" t="n">
        <v>0</v>
      </c>
      <c r="Q682" t="n">
        <v>0</v>
      </c>
      <c r="R682" s="2" t="inlineStr"/>
    </row>
    <row r="683" ht="15" customHeight="1">
      <c r="A683" t="inlineStr">
        <is>
          <t>A 25276-2023</t>
        </is>
      </c>
      <c r="B683" s="1" t="n">
        <v>45086</v>
      </c>
      <c r="C683" s="1" t="n">
        <v>45828</v>
      </c>
      <c r="D683" t="inlineStr">
        <is>
          <t>DALARNAS LÄN</t>
        </is>
      </c>
      <c r="E683" t="inlineStr">
        <is>
          <t>MALUNG-SÄLEN</t>
        </is>
      </c>
      <c r="F683" t="inlineStr">
        <is>
          <t>Allmännings- och besparingsskogar</t>
        </is>
      </c>
      <c r="G683" t="n">
        <v>18.2</v>
      </c>
      <c r="H683" t="n">
        <v>0</v>
      </c>
      <c r="I683" t="n">
        <v>0</v>
      </c>
      <c r="J683" t="n">
        <v>0</v>
      </c>
      <c r="K683" t="n">
        <v>0</v>
      </c>
      <c r="L683" t="n">
        <v>0</v>
      </c>
      <c r="M683" t="n">
        <v>0</v>
      </c>
      <c r="N683" t="n">
        <v>0</v>
      </c>
      <c r="O683" t="n">
        <v>0</v>
      </c>
      <c r="P683" t="n">
        <v>0</v>
      </c>
      <c r="Q683" t="n">
        <v>0</v>
      </c>
      <c r="R683" s="2" t="inlineStr"/>
    </row>
    <row r="684" ht="15" customHeight="1">
      <c r="A684" t="inlineStr">
        <is>
          <t>A 25108-2023</t>
        </is>
      </c>
      <c r="B684" s="1" t="n">
        <v>45086</v>
      </c>
      <c r="C684" s="1" t="n">
        <v>45828</v>
      </c>
      <c r="D684" t="inlineStr">
        <is>
          <t>DALARNAS LÄN</t>
        </is>
      </c>
      <c r="E684" t="inlineStr">
        <is>
          <t>MALUNG-SÄLEN</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25438-2023</t>
        </is>
      </c>
      <c r="B685" s="1" t="n">
        <v>45089</v>
      </c>
      <c r="C685" s="1" t="n">
        <v>45828</v>
      </c>
      <c r="D685" t="inlineStr">
        <is>
          <t>DALARNAS LÄN</t>
        </is>
      </c>
      <c r="E685" t="inlineStr">
        <is>
          <t>MALUNG-SÄLEN</t>
        </is>
      </c>
      <c r="G685" t="n">
        <v>3</v>
      </c>
      <c r="H685" t="n">
        <v>0</v>
      </c>
      <c r="I685" t="n">
        <v>0</v>
      </c>
      <c r="J685" t="n">
        <v>0</v>
      </c>
      <c r="K685" t="n">
        <v>0</v>
      </c>
      <c r="L685" t="n">
        <v>0</v>
      </c>
      <c r="M685" t="n">
        <v>0</v>
      </c>
      <c r="N685" t="n">
        <v>0</v>
      </c>
      <c r="O685" t="n">
        <v>0</v>
      </c>
      <c r="P685" t="n">
        <v>0</v>
      </c>
      <c r="Q685" t="n">
        <v>0</v>
      </c>
      <c r="R685" s="2" t="inlineStr"/>
    </row>
    <row r="686" ht="15" customHeight="1">
      <c r="A686" t="inlineStr">
        <is>
          <t>A 25534-2023</t>
        </is>
      </c>
      <c r="B686" s="1" t="n">
        <v>45089</v>
      </c>
      <c r="C686" s="1" t="n">
        <v>45828</v>
      </c>
      <c r="D686" t="inlineStr">
        <is>
          <t>DALARNAS LÄN</t>
        </is>
      </c>
      <c r="E686" t="inlineStr">
        <is>
          <t>MALUNG-SÄLEN</t>
        </is>
      </c>
      <c r="G686" t="n">
        <v>2.6</v>
      </c>
      <c r="H686" t="n">
        <v>0</v>
      </c>
      <c r="I686" t="n">
        <v>0</v>
      </c>
      <c r="J686" t="n">
        <v>0</v>
      </c>
      <c r="K686" t="n">
        <v>0</v>
      </c>
      <c r="L686" t="n">
        <v>0</v>
      </c>
      <c r="M686" t="n">
        <v>0</v>
      </c>
      <c r="N686" t="n">
        <v>0</v>
      </c>
      <c r="O686" t="n">
        <v>0</v>
      </c>
      <c r="P686" t="n">
        <v>0</v>
      </c>
      <c r="Q686" t="n">
        <v>0</v>
      </c>
      <c r="R686" s="2" t="inlineStr"/>
    </row>
    <row r="687" ht="15" customHeight="1">
      <c r="A687" t="inlineStr">
        <is>
          <t>A 25441-2023</t>
        </is>
      </c>
      <c r="B687" s="1" t="n">
        <v>45089</v>
      </c>
      <c r="C687" s="1" t="n">
        <v>45828</v>
      </c>
      <c r="D687" t="inlineStr">
        <is>
          <t>DALARNAS LÄN</t>
        </is>
      </c>
      <c r="E687" t="inlineStr">
        <is>
          <t>MALUNG-SÄLEN</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25527-2023</t>
        </is>
      </c>
      <c r="B688" s="1" t="n">
        <v>45089</v>
      </c>
      <c r="C688" s="1" t="n">
        <v>45828</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25553-2023</t>
        </is>
      </c>
      <c r="B689" s="1" t="n">
        <v>45089</v>
      </c>
      <c r="C689" s="1" t="n">
        <v>45828</v>
      </c>
      <c r="D689" t="inlineStr">
        <is>
          <t>DALARNAS LÄN</t>
        </is>
      </c>
      <c r="E689" t="inlineStr">
        <is>
          <t>MALUNG-SÄLEN</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25835-2023</t>
        </is>
      </c>
      <c r="B690" s="1" t="n">
        <v>45090</v>
      </c>
      <c r="C690" s="1" t="n">
        <v>45828</v>
      </c>
      <c r="D690" t="inlineStr">
        <is>
          <t>DALARNAS LÄN</t>
        </is>
      </c>
      <c r="E690" t="inlineStr">
        <is>
          <t>MALUNG-SÄLEN</t>
        </is>
      </c>
      <c r="F690" t="inlineStr">
        <is>
          <t>Bergvik skog öst AB</t>
        </is>
      </c>
      <c r="G690" t="n">
        <v>6.8</v>
      </c>
      <c r="H690" t="n">
        <v>0</v>
      </c>
      <c r="I690" t="n">
        <v>0</v>
      </c>
      <c r="J690" t="n">
        <v>0</v>
      </c>
      <c r="K690" t="n">
        <v>0</v>
      </c>
      <c r="L690" t="n">
        <v>0</v>
      </c>
      <c r="M690" t="n">
        <v>0</v>
      </c>
      <c r="N690" t="n">
        <v>0</v>
      </c>
      <c r="O690" t="n">
        <v>0</v>
      </c>
      <c r="P690" t="n">
        <v>0</v>
      </c>
      <c r="Q690" t="n">
        <v>0</v>
      </c>
      <c r="R690" s="2" t="inlineStr"/>
    </row>
    <row r="691" ht="15" customHeight="1">
      <c r="A691" t="inlineStr">
        <is>
          <t>A 25778-2023</t>
        </is>
      </c>
      <c r="B691" s="1" t="n">
        <v>45090</v>
      </c>
      <c r="C691" s="1" t="n">
        <v>45828</v>
      </c>
      <c r="D691" t="inlineStr">
        <is>
          <t>DALARNAS LÄN</t>
        </is>
      </c>
      <c r="E691" t="inlineStr">
        <is>
          <t>MALUNG-SÄLEN</t>
        </is>
      </c>
      <c r="G691" t="n">
        <v>8.1</v>
      </c>
      <c r="H691" t="n">
        <v>0</v>
      </c>
      <c r="I691" t="n">
        <v>0</v>
      </c>
      <c r="J691" t="n">
        <v>0</v>
      </c>
      <c r="K691" t="n">
        <v>0</v>
      </c>
      <c r="L691" t="n">
        <v>0</v>
      </c>
      <c r="M691" t="n">
        <v>0</v>
      </c>
      <c r="N691" t="n">
        <v>0</v>
      </c>
      <c r="O691" t="n">
        <v>0</v>
      </c>
      <c r="P691" t="n">
        <v>0</v>
      </c>
      <c r="Q691" t="n">
        <v>0</v>
      </c>
      <c r="R691" s="2" t="inlineStr"/>
    </row>
    <row r="692" ht="15" customHeight="1">
      <c r="A692" t="inlineStr">
        <is>
          <t>A 25900-2023</t>
        </is>
      </c>
      <c r="B692" s="1" t="n">
        <v>45090</v>
      </c>
      <c r="C692" s="1" t="n">
        <v>45828</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25842-2023</t>
        </is>
      </c>
      <c r="B693" s="1" t="n">
        <v>45090</v>
      </c>
      <c r="C693" s="1" t="n">
        <v>45828</v>
      </c>
      <c r="D693" t="inlineStr">
        <is>
          <t>DALARNAS LÄN</t>
        </is>
      </c>
      <c r="E693" t="inlineStr">
        <is>
          <t>MALUNG-SÄLEN</t>
        </is>
      </c>
      <c r="G693" t="n">
        <v>4.2</v>
      </c>
      <c r="H693" t="n">
        <v>0</v>
      </c>
      <c r="I693" t="n">
        <v>0</v>
      </c>
      <c r="J693" t="n">
        <v>0</v>
      </c>
      <c r="K693" t="n">
        <v>0</v>
      </c>
      <c r="L693" t="n">
        <v>0</v>
      </c>
      <c r="M693" t="n">
        <v>0</v>
      </c>
      <c r="N693" t="n">
        <v>0</v>
      </c>
      <c r="O693" t="n">
        <v>0</v>
      </c>
      <c r="P693" t="n">
        <v>0</v>
      </c>
      <c r="Q693" t="n">
        <v>0</v>
      </c>
      <c r="R693" s="2" t="inlineStr"/>
    </row>
    <row r="694" ht="15" customHeight="1">
      <c r="A694" t="inlineStr">
        <is>
          <t>A 25922-2023</t>
        </is>
      </c>
      <c r="B694" s="1" t="n">
        <v>45090</v>
      </c>
      <c r="C694" s="1" t="n">
        <v>45828</v>
      </c>
      <c r="D694" t="inlineStr">
        <is>
          <t>DALARNAS LÄN</t>
        </is>
      </c>
      <c r="E694" t="inlineStr">
        <is>
          <t>MALUNG-SÄLEN</t>
        </is>
      </c>
      <c r="G694" t="n">
        <v>5.2</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45828</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26542-2023</t>
        </is>
      </c>
      <c r="B696" s="1" t="n">
        <v>45092</v>
      </c>
      <c r="C696" s="1" t="n">
        <v>45828</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26528-2023</t>
        </is>
      </c>
      <c r="B697" s="1" t="n">
        <v>45092</v>
      </c>
      <c r="C697" s="1" t="n">
        <v>45828</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26768-2023</t>
        </is>
      </c>
      <c r="B698" s="1" t="n">
        <v>45093</v>
      </c>
      <c r="C698" s="1" t="n">
        <v>45828</v>
      </c>
      <c r="D698" t="inlineStr">
        <is>
          <t>DALARNAS LÄN</t>
        </is>
      </c>
      <c r="E698" t="inlineStr">
        <is>
          <t>MALUNG-SÄLEN</t>
        </is>
      </c>
      <c r="F698" t="inlineStr">
        <is>
          <t>Bergvik skog öst AB</t>
        </is>
      </c>
      <c r="G698" t="n">
        <v>18.9</v>
      </c>
      <c r="H698" t="n">
        <v>0</v>
      </c>
      <c r="I698" t="n">
        <v>0</v>
      </c>
      <c r="J698" t="n">
        <v>0</v>
      </c>
      <c r="K698" t="n">
        <v>0</v>
      </c>
      <c r="L698" t="n">
        <v>0</v>
      </c>
      <c r="M698" t="n">
        <v>0</v>
      </c>
      <c r="N698" t="n">
        <v>0</v>
      </c>
      <c r="O698" t="n">
        <v>0</v>
      </c>
      <c r="P698" t="n">
        <v>0</v>
      </c>
      <c r="Q698" t="n">
        <v>0</v>
      </c>
      <c r="R698" s="2" t="inlineStr"/>
    </row>
    <row r="699" ht="15" customHeight="1">
      <c r="A699" t="inlineStr">
        <is>
          <t>A 26752-2023</t>
        </is>
      </c>
      <c r="B699" s="1" t="n">
        <v>45093</v>
      </c>
      <c r="C699" s="1" t="n">
        <v>45828</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27160-2023</t>
        </is>
      </c>
      <c r="B700" s="1" t="n">
        <v>45096</v>
      </c>
      <c r="C700" s="1" t="n">
        <v>45828</v>
      </c>
      <c r="D700" t="inlineStr">
        <is>
          <t>DALARNAS LÄN</t>
        </is>
      </c>
      <c r="E700" t="inlineStr">
        <is>
          <t>MALUNG-SÄLEN</t>
        </is>
      </c>
      <c r="G700" t="n">
        <v>6.5</v>
      </c>
      <c r="H700" t="n">
        <v>0</v>
      </c>
      <c r="I700" t="n">
        <v>0</v>
      </c>
      <c r="J700" t="n">
        <v>0</v>
      </c>
      <c r="K700" t="n">
        <v>0</v>
      </c>
      <c r="L700" t="n">
        <v>0</v>
      </c>
      <c r="M700" t="n">
        <v>0</v>
      </c>
      <c r="N700" t="n">
        <v>0</v>
      </c>
      <c r="O700" t="n">
        <v>0</v>
      </c>
      <c r="P700" t="n">
        <v>0</v>
      </c>
      <c r="Q700" t="n">
        <v>0</v>
      </c>
      <c r="R700" s="2" t="inlineStr"/>
    </row>
    <row r="701" ht="15" customHeight="1">
      <c r="A701" t="inlineStr">
        <is>
          <t>A 28621-2023</t>
        </is>
      </c>
      <c r="B701" s="1" t="n">
        <v>45096</v>
      </c>
      <c r="C701" s="1" t="n">
        <v>45828</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27561-2023</t>
        </is>
      </c>
      <c r="B702" s="1" t="n">
        <v>45097</v>
      </c>
      <c r="C702" s="1" t="n">
        <v>45828</v>
      </c>
      <c r="D702" t="inlineStr">
        <is>
          <t>DALARNAS LÄN</t>
        </is>
      </c>
      <c r="E702" t="inlineStr">
        <is>
          <t>MALUNG-SÄLEN</t>
        </is>
      </c>
      <c r="G702" t="n">
        <v>3.4</v>
      </c>
      <c r="H702" t="n">
        <v>0</v>
      </c>
      <c r="I702" t="n">
        <v>0</v>
      </c>
      <c r="J702" t="n">
        <v>0</v>
      </c>
      <c r="K702" t="n">
        <v>0</v>
      </c>
      <c r="L702" t="n">
        <v>0</v>
      </c>
      <c r="M702" t="n">
        <v>0</v>
      </c>
      <c r="N702" t="n">
        <v>0</v>
      </c>
      <c r="O702" t="n">
        <v>0</v>
      </c>
      <c r="P702" t="n">
        <v>0</v>
      </c>
      <c r="Q702" t="n">
        <v>0</v>
      </c>
      <c r="R702" s="2" t="inlineStr"/>
    </row>
    <row r="703" ht="15" customHeight="1">
      <c r="A703" t="inlineStr">
        <is>
          <t>A 27500-2023</t>
        </is>
      </c>
      <c r="B703" s="1" t="n">
        <v>45097</v>
      </c>
      <c r="C703" s="1" t="n">
        <v>45828</v>
      </c>
      <c r="D703" t="inlineStr">
        <is>
          <t>DALARNAS LÄN</t>
        </is>
      </c>
      <c r="E703" t="inlineStr">
        <is>
          <t>MALUNG-SÄLEN</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27559-2023</t>
        </is>
      </c>
      <c r="B704" s="1" t="n">
        <v>45097</v>
      </c>
      <c r="C704" s="1" t="n">
        <v>45828</v>
      </c>
      <c r="D704" t="inlineStr">
        <is>
          <t>DALARNAS LÄN</t>
        </is>
      </c>
      <c r="E704" t="inlineStr">
        <is>
          <t>MALUNG-SÄLEN</t>
        </is>
      </c>
      <c r="G704" t="n">
        <v>5.3</v>
      </c>
      <c r="H704" t="n">
        <v>0</v>
      </c>
      <c r="I704" t="n">
        <v>0</v>
      </c>
      <c r="J704" t="n">
        <v>0</v>
      </c>
      <c r="K704" t="n">
        <v>0</v>
      </c>
      <c r="L704" t="n">
        <v>0</v>
      </c>
      <c r="M704" t="n">
        <v>0</v>
      </c>
      <c r="N704" t="n">
        <v>0</v>
      </c>
      <c r="O704" t="n">
        <v>0</v>
      </c>
      <c r="P704" t="n">
        <v>0</v>
      </c>
      <c r="Q704" t="n">
        <v>0</v>
      </c>
      <c r="R704" s="2" t="inlineStr"/>
    </row>
    <row r="705" ht="15" customHeight="1">
      <c r="A705" t="inlineStr">
        <is>
          <t>A 28198-2023</t>
        </is>
      </c>
      <c r="B705" s="1" t="n">
        <v>45099</v>
      </c>
      <c r="C705" s="1" t="n">
        <v>45828</v>
      </c>
      <c r="D705" t="inlineStr">
        <is>
          <t>DALARNAS LÄN</t>
        </is>
      </c>
      <c r="E705" t="inlineStr">
        <is>
          <t>MALUNG-SÄLEN</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28235-2023</t>
        </is>
      </c>
      <c r="B706" s="1" t="n">
        <v>45099</v>
      </c>
      <c r="C706" s="1" t="n">
        <v>45828</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28585-2023</t>
        </is>
      </c>
      <c r="B707" s="1" t="n">
        <v>45103</v>
      </c>
      <c r="C707" s="1" t="n">
        <v>45828</v>
      </c>
      <c r="D707" t="inlineStr">
        <is>
          <t>DALARNAS LÄN</t>
        </is>
      </c>
      <c r="E707" t="inlineStr">
        <is>
          <t>MALUNG-SÄLEN</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28943-2023</t>
        </is>
      </c>
      <c r="B708" s="1" t="n">
        <v>45104</v>
      </c>
      <c r="C708" s="1" t="n">
        <v>45828</v>
      </c>
      <c r="D708" t="inlineStr">
        <is>
          <t>DALARNAS LÄN</t>
        </is>
      </c>
      <c r="E708" t="inlineStr">
        <is>
          <t>MALUNG-SÄLEN</t>
        </is>
      </c>
      <c r="G708" t="n">
        <v>14.4</v>
      </c>
      <c r="H708" t="n">
        <v>0</v>
      </c>
      <c r="I708" t="n">
        <v>0</v>
      </c>
      <c r="J708" t="n">
        <v>0</v>
      </c>
      <c r="K708" t="n">
        <v>0</v>
      </c>
      <c r="L708" t="n">
        <v>0</v>
      </c>
      <c r="M708" t="n">
        <v>0</v>
      </c>
      <c r="N708" t="n">
        <v>0</v>
      </c>
      <c r="O708" t="n">
        <v>0</v>
      </c>
      <c r="P708" t="n">
        <v>0</v>
      </c>
      <c r="Q708" t="n">
        <v>0</v>
      </c>
      <c r="R708" s="2" t="inlineStr"/>
    </row>
    <row r="709" ht="15" customHeight="1">
      <c r="A709" t="inlineStr">
        <is>
          <t>A 28998-2023</t>
        </is>
      </c>
      <c r="B709" s="1" t="n">
        <v>45104</v>
      </c>
      <c r="C709" s="1" t="n">
        <v>45828</v>
      </c>
      <c r="D709" t="inlineStr">
        <is>
          <t>DALARNAS LÄN</t>
        </is>
      </c>
      <c r="E709" t="inlineStr">
        <is>
          <t>MALUNG-SÄLEN</t>
        </is>
      </c>
      <c r="G709" t="n">
        <v>3.2</v>
      </c>
      <c r="H709" t="n">
        <v>0</v>
      </c>
      <c r="I709" t="n">
        <v>0</v>
      </c>
      <c r="J709" t="n">
        <v>0</v>
      </c>
      <c r="K709" t="n">
        <v>0</v>
      </c>
      <c r="L709" t="n">
        <v>0</v>
      </c>
      <c r="M709" t="n">
        <v>0</v>
      </c>
      <c r="N709" t="n">
        <v>0</v>
      </c>
      <c r="O709" t="n">
        <v>0</v>
      </c>
      <c r="P709" t="n">
        <v>0</v>
      </c>
      <c r="Q709" t="n">
        <v>0</v>
      </c>
      <c r="R709" s="2" t="inlineStr"/>
    </row>
    <row r="710" ht="15" customHeight="1">
      <c r="A710" t="inlineStr">
        <is>
          <t>A 29378-2023</t>
        </is>
      </c>
      <c r="B710" s="1" t="n">
        <v>45106</v>
      </c>
      <c r="C710" s="1" t="n">
        <v>45828</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29362-2023</t>
        </is>
      </c>
      <c r="B711" s="1" t="n">
        <v>45106</v>
      </c>
      <c r="C711" s="1" t="n">
        <v>45828</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29381-2023</t>
        </is>
      </c>
      <c r="B712" s="1" t="n">
        <v>45106</v>
      </c>
      <c r="C712" s="1" t="n">
        <v>45828</v>
      </c>
      <c r="D712" t="inlineStr">
        <is>
          <t>DALARNAS LÄN</t>
        </is>
      </c>
      <c r="E712" t="inlineStr">
        <is>
          <t>MALUNG-SÄLEN</t>
        </is>
      </c>
      <c r="G712" t="n">
        <v>1</v>
      </c>
      <c r="H712" t="n">
        <v>0</v>
      </c>
      <c r="I712" t="n">
        <v>0</v>
      </c>
      <c r="J712" t="n">
        <v>0</v>
      </c>
      <c r="K712" t="n">
        <v>0</v>
      </c>
      <c r="L712" t="n">
        <v>0</v>
      </c>
      <c r="M712" t="n">
        <v>0</v>
      </c>
      <c r="N712" t="n">
        <v>0</v>
      </c>
      <c r="O712" t="n">
        <v>0</v>
      </c>
      <c r="P712" t="n">
        <v>0</v>
      </c>
      <c r="Q712" t="n">
        <v>0</v>
      </c>
      <c r="R712" s="2" t="inlineStr"/>
    </row>
    <row r="713" ht="15" customHeight="1">
      <c r="A713" t="inlineStr">
        <is>
          <t>A 29473-2023</t>
        </is>
      </c>
      <c r="B713" s="1" t="n">
        <v>45106</v>
      </c>
      <c r="C713" s="1" t="n">
        <v>45828</v>
      </c>
      <c r="D713" t="inlineStr">
        <is>
          <t>DALARNAS LÄN</t>
        </is>
      </c>
      <c r="E713" t="inlineStr">
        <is>
          <t>MALUNG-SÄLEN</t>
        </is>
      </c>
      <c r="G713" t="n">
        <v>1.2</v>
      </c>
      <c r="H713" t="n">
        <v>0</v>
      </c>
      <c r="I713" t="n">
        <v>0</v>
      </c>
      <c r="J713" t="n">
        <v>0</v>
      </c>
      <c r="K713" t="n">
        <v>0</v>
      </c>
      <c r="L713" t="n">
        <v>0</v>
      </c>
      <c r="M713" t="n">
        <v>0</v>
      </c>
      <c r="N713" t="n">
        <v>0</v>
      </c>
      <c r="O713" t="n">
        <v>0</v>
      </c>
      <c r="P713" t="n">
        <v>0</v>
      </c>
      <c r="Q713" t="n">
        <v>0</v>
      </c>
      <c r="R713" s="2" t="inlineStr"/>
    </row>
    <row r="714" ht="15" customHeight="1">
      <c r="A714" t="inlineStr">
        <is>
          <t>A 29451-2023</t>
        </is>
      </c>
      <c r="B714" s="1" t="n">
        <v>45106</v>
      </c>
      <c r="C714" s="1" t="n">
        <v>45828</v>
      </c>
      <c r="D714" t="inlineStr">
        <is>
          <t>DALARNAS LÄN</t>
        </is>
      </c>
      <c r="E714" t="inlineStr">
        <is>
          <t>MALUNG-SÄLEN</t>
        </is>
      </c>
      <c r="F714" t="inlineStr">
        <is>
          <t>Övriga statliga verk och myndigheter</t>
        </is>
      </c>
      <c r="G714" t="n">
        <v>2.3</v>
      </c>
      <c r="H714" t="n">
        <v>0</v>
      </c>
      <c r="I714" t="n">
        <v>0</v>
      </c>
      <c r="J714" t="n">
        <v>0</v>
      </c>
      <c r="K714" t="n">
        <v>0</v>
      </c>
      <c r="L714" t="n">
        <v>0</v>
      </c>
      <c r="M714" t="n">
        <v>0</v>
      </c>
      <c r="N714" t="n">
        <v>0</v>
      </c>
      <c r="O714" t="n">
        <v>0</v>
      </c>
      <c r="P714" t="n">
        <v>0</v>
      </c>
      <c r="Q714" t="n">
        <v>0</v>
      </c>
      <c r="R714" s="2" t="inlineStr"/>
    </row>
    <row r="715" ht="15" customHeight="1">
      <c r="A715" t="inlineStr">
        <is>
          <t>A 29664-2023</t>
        </is>
      </c>
      <c r="B715" s="1" t="n">
        <v>45107</v>
      </c>
      <c r="C715" s="1" t="n">
        <v>45828</v>
      </c>
      <c r="D715" t="inlineStr">
        <is>
          <t>DALARNAS LÄN</t>
        </is>
      </c>
      <c r="E715" t="inlineStr">
        <is>
          <t>MALUNG-SÄLEN</t>
        </is>
      </c>
      <c r="G715" t="n">
        <v>5.6</v>
      </c>
      <c r="H715" t="n">
        <v>0</v>
      </c>
      <c r="I715" t="n">
        <v>0</v>
      </c>
      <c r="J715" t="n">
        <v>0</v>
      </c>
      <c r="K715" t="n">
        <v>0</v>
      </c>
      <c r="L715" t="n">
        <v>0</v>
      </c>
      <c r="M715" t="n">
        <v>0</v>
      </c>
      <c r="N715" t="n">
        <v>0</v>
      </c>
      <c r="O715" t="n">
        <v>0</v>
      </c>
      <c r="P715" t="n">
        <v>0</v>
      </c>
      <c r="Q715" t="n">
        <v>0</v>
      </c>
      <c r="R715" s="2" t="inlineStr"/>
    </row>
    <row r="716" ht="15" customHeight="1">
      <c r="A716" t="inlineStr">
        <is>
          <t>A 30098-2023</t>
        </is>
      </c>
      <c r="B716" s="1" t="n">
        <v>45110</v>
      </c>
      <c r="C716" s="1" t="n">
        <v>45828</v>
      </c>
      <c r="D716" t="inlineStr">
        <is>
          <t>DALARNAS LÄN</t>
        </is>
      </c>
      <c r="E716" t="inlineStr">
        <is>
          <t>MALUNG-SÄLEN</t>
        </is>
      </c>
      <c r="F716" t="inlineStr">
        <is>
          <t>Bergvik skog öst AB</t>
        </is>
      </c>
      <c r="G716" t="n">
        <v>6.6</v>
      </c>
      <c r="H716" t="n">
        <v>0</v>
      </c>
      <c r="I716" t="n">
        <v>0</v>
      </c>
      <c r="J716" t="n">
        <v>0</v>
      </c>
      <c r="K716" t="n">
        <v>0</v>
      </c>
      <c r="L716" t="n">
        <v>0</v>
      </c>
      <c r="M716" t="n">
        <v>0</v>
      </c>
      <c r="N716" t="n">
        <v>0</v>
      </c>
      <c r="O716" t="n">
        <v>0</v>
      </c>
      <c r="P716" t="n">
        <v>0</v>
      </c>
      <c r="Q716" t="n">
        <v>0</v>
      </c>
      <c r="R716" s="2" t="inlineStr"/>
    </row>
    <row r="717" ht="15" customHeight="1">
      <c r="A717" t="inlineStr">
        <is>
          <t>A 30199-2023</t>
        </is>
      </c>
      <c r="B717" s="1" t="n">
        <v>45110</v>
      </c>
      <c r="C717" s="1" t="n">
        <v>45828</v>
      </c>
      <c r="D717" t="inlineStr">
        <is>
          <t>DALARNAS LÄN</t>
        </is>
      </c>
      <c r="E717" t="inlineStr">
        <is>
          <t>MALUNG-SÄLEN</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30326-2023</t>
        </is>
      </c>
      <c r="B718" s="1" t="n">
        <v>45111</v>
      </c>
      <c r="C718" s="1" t="n">
        <v>45828</v>
      </c>
      <c r="D718" t="inlineStr">
        <is>
          <t>DALARNAS LÄN</t>
        </is>
      </c>
      <c r="E718" t="inlineStr">
        <is>
          <t>MALUNG-SÄLEN</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30645-2023</t>
        </is>
      </c>
      <c r="B719" s="1" t="n">
        <v>45112</v>
      </c>
      <c r="C719" s="1" t="n">
        <v>45828</v>
      </c>
      <c r="D719" t="inlineStr">
        <is>
          <t>DALARNAS LÄN</t>
        </is>
      </c>
      <c r="E719" t="inlineStr">
        <is>
          <t>MALUNG-SÄLEN</t>
        </is>
      </c>
      <c r="F719" t="inlineStr">
        <is>
          <t>Allmännings- och besparingsskogar</t>
        </is>
      </c>
      <c r="G719" t="n">
        <v>29.5</v>
      </c>
      <c r="H719" t="n">
        <v>0</v>
      </c>
      <c r="I719" t="n">
        <v>0</v>
      </c>
      <c r="J719" t="n">
        <v>0</v>
      </c>
      <c r="K719" t="n">
        <v>0</v>
      </c>
      <c r="L719" t="n">
        <v>0</v>
      </c>
      <c r="M719" t="n">
        <v>0</v>
      </c>
      <c r="N719" t="n">
        <v>0</v>
      </c>
      <c r="O719" t="n">
        <v>0</v>
      </c>
      <c r="P719" t="n">
        <v>0</v>
      </c>
      <c r="Q719" t="n">
        <v>0</v>
      </c>
      <c r="R719" s="2" t="inlineStr"/>
    </row>
    <row r="720" ht="15" customHeight="1">
      <c r="A720" t="inlineStr">
        <is>
          <t>A 30646-2023</t>
        </is>
      </c>
      <c r="B720" s="1" t="n">
        <v>45112</v>
      </c>
      <c r="C720" s="1" t="n">
        <v>45828</v>
      </c>
      <c r="D720" t="inlineStr">
        <is>
          <t>DALARNAS LÄN</t>
        </is>
      </c>
      <c r="E720" t="inlineStr">
        <is>
          <t>MALUNG-SÄLEN</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30783-2023</t>
        </is>
      </c>
      <c r="B721" s="1" t="n">
        <v>45112</v>
      </c>
      <c r="C721" s="1" t="n">
        <v>45828</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31292-2023</t>
        </is>
      </c>
      <c r="B722" s="1" t="n">
        <v>45114</v>
      </c>
      <c r="C722" s="1" t="n">
        <v>45828</v>
      </c>
      <c r="D722" t="inlineStr">
        <is>
          <t>DALARNAS LÄN</t>
        </is>
      </c>
      <c r="E722" t="inlineStr">
        <is>
          <t>MALUNG-SÄLEN</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31291-2023</t>
        </is>
      </c>
      <c r="B723" s="1" t="n">
        <v>45114</v>
      </c>
      <c r="C723" s="1" t="n">
        <v>45828</v>
      </c>
      <c r="D723" t="inlineStr">
        <is>
          <t>DALARNAS LÄN</t>
        </is>
      </c>
      <c r="E723" t="inlineStr">
        <is>
          <t>MALUNG-SÄLEN</t>
        </is>
      </c>
      <c r="G723" t="n">
        <v>1.4</v>
      </c>
      <c r="H723" t="n">
        <v>0</v>
      </c>
      <c r="I723" t="n">
        <v>0</v>
      </c>
      <c r="J723" t="n">
        <v>0</v>
      </c>
      <c r="K723" t="n">
        <v>0</v>
      </c>
      <c r="L723" t="n">
        <v>0</v>
      </c>
      <c r="M723" t="n">
        <v>0</v>
      </c>
      <c r="N723" t="n">
        <v>0</v>
      </c>
      <c r="O723" t="n">
        <v>0</v>
      </c>
      <c r="P723" t="n">
        <v>0</v>
      </c>
      <c r="Q723" t="n">
        <v>0</v>
      </c>
      <c r="R723" s="2" t="inlineStr"/>
    </row>
    <row r="724" ht="15" customHeight="1">
      <c r="A724" t="inlineStr">
        <is>
          <t>A 31455-2023</t>
        </is>
      </c>
      <c r="B724" s="1" t="n">
        <v>45114</v>
      </c>
      <c r="C724" s="1" t="n">
        <v>45828</v>
      </c>
      <c r="D724" t="inlineStr">
        <is>
          <t>DALARNAS LÄN</t>
        </is>
      </c>
      <c r="E724" t="inlineStr">
        <is>
          <t>MALUNG-SÄLEN</t>
        </is>
      </c>
      <c r="G724" t="n">
        <v>5.7</v>
      </c>
      <c r="H724" t="n">
        <v>0</v>
      </c>
      <c r="I724" t="n">
        <v>0</v>
      </c>
      <c r="J724" t="n">
        <v>0</v>
      </c>
      <c r="K724" t="n">
        <v>0</v>
      </c>
      <c r="L724" t="n">
        <v>0</v>
      </c>
      <c r="M724" t="n">
        <v>0</v>
      </c>
      <c r="N724" t="n">
        <v>0</v>
      </c>
      <c r="O724" t="n">
        <v>0</v>
      </c>
      <c r="P724" t="n">
        <v>0</v>
      </c>
      <c r="Q724" t="n">
        <v>0</v>
      </c>
      <c r="R724" s="2" t="inlineStr"/>
    </row>
    <row r="725" ht="15" customHeight="1">
      <c r="A725" t="inlineStr">
        <is>
          <t>A 31423-2023</t>
        </is>
      </c>
      <c r="B725" s="1" t="n">
        <v>45114</v>
      </c>
      <c r="C725" s="1" t="n">
        <v>45828</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33087-2023</t>
        </is>
      </c>
      <c r="B726" s="1" t="n">
        <v>45114</v>
      </c>
      <c r="C726" s="1" t="n">
        <v>45828</v>
      </c>
      <c r="D726" t="inlineStr">
        <is>
          <t>DALARNAS LÄN</t>
        </is>
      </c>
      <c r="E726" t="inlineStr">
        <is>
          <t>MALUNG-SÄLEN</t>
        </is>
      </c>
      <c r="G726" t="n">
        <v>8</v>
      </c>
      <c r="H726" t="n">
        <v>0</v>
      </c>
      <c r="I726" t="n">
        <v>0</v>
      </c>
      <c r="J726" t="n">
        <v>0</v>
      </c>
      <c r="K726" t="n">
        <v>0</v>
      </c>
      <c r="L726" t="n">
        <v>0</v>
      </c>
      <c r="M726" t="n">
        <v>0</v>
      </c>
      <c r="N726" t="n">
        <v>0</v>
      </c>
      <c r="O726" t="n">
        <v>0</v>
      </c>
      <c r="P726" t="n">
        <v>0</v>
      </c>
      <c r="Q726" t="n">
        <v>0</v>
      </c>
      <c r="R726" s="2" t="inlineStr"/>
    </row>
    <row r="727" ht="15" customHeight="1">
      <c r="A727" t="inlineStr">
        <is>
          <t>A 31845-2023</t>
        </is>
      </c>
      <c r="B727" s="1" t="n">
        <v>45118</v>
      </c>
      <c r="C727" s="1" t="n">
        <v>45828</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31846-2023</t>
        </is>
      </c>
      <c r="B728" s="1" t="n">
        <v>45118</v>
      </c>
      <c r="C728" s="1" t="n">
        <v>45828</v>
      </c>
      <c r="D728" t="inlineStr">
        <is>
          <t>DALARNAS LÄN</t>
        </is>
      </c>
      <c r="E728" t="inlineStr">
        <is>
          <t>MALUNG-SÄLEN</t>
        </is>
      </c>
      <c r="G728" t="n">
        <v>6.9</v>
      </c>
      <c r="H728" t="n">
        <v>0</v>
      </c>
      <c r="I728" t="n">
        <v>0</v>
      </c>
      <c r="J728" t="n">
        <v>0</v>
      </c>
      <c r="K728" t="n">
        <v>0</v>
      </c>
      <c r="L728" t="n">
        <v>0</v>
      </c>
      <c r="M728" t="n">
        <v>0</v>
      </c>
      <c r="N728" t="n">
        <v>0</v>
      </c>
      <c r="O728" t="n">
        <v>0</v>
      </c>
      <c r="P728" t="n">
        <v>0</v>
      </c>
      <c r="Q728" t="n">
        <v>0</v>
      </c>
      <c r="R728" s="2" t="inlineStr"/>
    </row>
    <row r="729" ht="15" customHeight="1">
      <c r="A729" t="inlineStr">
        <is>
          <t>A 31886-2023</t>
        </is>
      </c>
      <c r="B729" s="1" t="n">
        <v>45118</v>
      </c>
      <c r="C729" s="1" t="n">
        <v>45828</v>
      </c>
      <c r="D729" t="inlineStr">
        <is>
          <t>DALARNAS LÄN</t>
        </is>
      </c>
      <c r="E729" t="inlineStr">
        <is>
          <t>MALUNG-SÄLEN</t>
        </is>
      </c>
      <c r="G729" t="n">
        <v>4.2</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45828</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32602-2023</t>
        </is>
      </c>
      <c r="B731" s="1" t="n">
        <v>45121</v>
      </c>
      <c r="C731" s="1" t="n">
        <v>45828</v>
      </c>
      <c r="D731" t="inlineStr">
        <is>
          <t>DALARNAS LÄN</t>
        </is>
      </c>
      <c r="E731" t="inlineStr">
        <is>
          <t>MALUNG-SÄLEN</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32603-2023</t>
        </is>
      </c>
      <c r="B732" s="1" t="n">
        <v>45121</v>
      </c>
      <c r="C732" s="1" t="n">
        <v>45828</v>
      </c>
      <c r="D732" t="inlineStr">
        <is>
          <t>DALARNAS LÄN</t>
        </is>
      </c>
      <c r="E732" t="inlineStr">
        <is>
          <t>MALUNG-SÄLEN</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33367-2023</t>
        </is>
      </c>
      <c r="B733" s="1" t="n">
        <v>45128</v>
      </c>
      <c r="C733" s="1" t="n">
        <v>45828</v>
      </c>
      <c r="D733" t="inlineStr">
        <is>
          <t>DALARNAS LÄN</t>
        </is>
      </c>
      <c r="E733" t="inlineStr">
        <is>
          <t>MALUNG-SÄLEN</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33372-2023</t>
        </is>
      </c>
      <c r="B734" s="1" t="n">
        <v>45128</v>
      </c>
      <c r="C734" s="1" t="n">
        <v>45828</v>
      </c>
      <c r="D734" t="inlineStr">
        <is>
          <t>DALARNAS LÄN</t>
        </is>
      </c>
      <c r="E734" t="inlineStr">
        <is>
          <t>MALUNG-SÄLEN</t>
        </is>
      </c>
      <c r="F734" t="inlineStr">
        <is>
          <t>Kommuner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33369-2023</t>
        </is>
      </c>
      <c r="B735" s="1" t="n">
        <v>45128</v>
      </c>
      <c r="C735" s="1" t="n">
        <v>45828</v>
      </c>
      <c r="D735" t="inlineStr">
        <is>
          <t>DALARNAS LÄN</t>
        </is>
      </c>
      <c r="E735" t="inlineStr">
        <is>
          <t>MALUNG-SÄLEN</t>
        </is>
      </c>
      <c r="F735" t="inlineStr">
        <is>
          <t>Kommuner</t>
        </is>
      </c>
      <c r="G735" t="n">
        <v>8.1</v>
      </c>
      <c r="H735" t="n">
        <v>0</v>
      </c>
      <c r="I735" t="n">
        <v>0</v>
      </c>
      <c r="J735" t="n">
        <v>0</v>
      </c>
      <c r="K735" t="n">
        <v>0</v>
      </c>
      <c r="L735" t="n">
        <v>0</v>
      </c>
      <c r="M735" t="n">
        <v>0</v>
      </c>
      <c r="N735" t="n">
        <v>0</v>
      </c>
      <c r="O735" t="n">
        <v>0</v>
      </c>
      <c r="P735" t="n">
        <v>0</v>
      </c>
      <c r="Q735" t="n">
        <v>0</v>
      </c>
      <c r="R735" s="2" t="inlineStr"/>
    </row>
    <row r="736" ht="15" customHeight="1">
      <c r="A736" t="inlineStr">
        <is>
          <t>A 33374-2023</t>
        </is>
      </c>
      <c r="B736" s="1" t="n">
        <v>45128</v>
      </c>
      <c r="C736" s="1" t="n">
        <v>45828</v>
      </c>
      <c r="D736" t="inlineStr">
        <is>
          <t>DALARNAS LÄN</t>
        </is>
      </c>
      <c r="E736" t="inlineStr">
        <is>
          <t>MALUNG-SÄLEN</t>
        </is>
      </c>
      <c r="F736" t="inlineStr">
        <is>
          <t>Kommuner</t>
        </is>
      </c>
      <c r="G736" t="n">
        <v>5.4</v>
      </c>
      <c r="H736" t="n">
        <v>0</v>
      </c>
      <c r="I736" t="n">
        <v>0</v>
      </c>
      <c r="J736" t="n">
        <v>0</v>
      </c>
      <c r="K736" t="n">
        <v>0</v>
      </c>
      <c r="L736" t="n">
        <v>0</v>
      </c>
      <c r="M736" t="n">
        <v>0</v>
      </c>
      <c r="N736" t="n">
        <v>0</v>
      </c>
      <c r="O736" t="n">
        <v>0</v>
      </c>
      <c r="P736" t="n">
        <v>0</v>
      </c>
      <c r="Q736" t="n">
        <v>0</v>
      </c>
      <c r="R736" s="2" t="inlineStr"/>
    </row>
    <row r="737" ht="15" customHeight="1">
      <c r="A737" t="inlineStr">
        <is>
          <t>A 33375-2023</t>
        </is>
      </c>
      <c r="B737" s="1" t="n">
        <v>45128</v>
      </c>
      <c r="C737" s="1" t="n">
        <v>45828</v>
      </c>
      <c r="D737" t="inlineStr">
        <is>
          <t>DALARNAS LÄN</t>
        </is>
      </c>
      <c r="E737" t="inlineStr">
        <is>
          <t>MALUNG-SÄLEN</t>
        </is>
      </c>
      <c r="F737" t="inlineStr">
        <is>
          <t>Kommuner</t>
        </is>
      </c>
      <c r="G737" t="n">
        <v>10.8</v>
      </c>
      <c r="H737" t="n">
        <v>0</v>
      </c>
      <c r="I737" t="n">
        <v>0</v>
      </c>
      <c r="J737" t="n">
        <v>0</v>
      </c>
      <c r="K737" t="n">
        <v>0</v>
      </c>
      <c r="L737" t="n">
        <v>0</v>
      </c>
      <c r="M737" t="n">
        <v>0</v>
      </c>
      <c r="N737" t="n">
        <v>0</v>
      </c>
      <c r="O737" t="n">
        <v>0</v>
      </c>
      <c r="P737" t="n">
        <v>0</v>
      </c>
      <c r="Q737" t="n">
        <v>0</v>
      </c>
      <c r="R737" s="2" t="inlineStr"/>
    </row>
    <row r="738" ht="15" customHeight="1">
      <c r="A738" t="inlineStr">
        <is>
          <t>A 33371-2023</t>
        </is>
      </c>
      <c r="B738" s="1" t="n">
        <v>45128</v>
      </c>
      <c r="C738" s="1" t="n">
        <v>45828</v>
      </c>
      <c r="D738" t="inlineStr">
        <is>
          <t>DALARNAS LÄN</t>
        </is>
      </c>
      <c r="E738" t="inlineStr">
        <is>
          <t>MALUNG-SÄLEN</t>
        </is>
      </c>
      <c r="F738" t="inlineStr">
        <is>
          <t>Kommuner</t>
        </is>
      </c>
      <c r="G738" t="n">
        <v>9.1</v>
      </c>
      <c r="H738" t="n">
        <v>0</v>
      </c>
      <c r="I738" t="n">
        <v>0</v>
      </c>
      <c r="J738" t="n">
        <v>0</v>
      </c>
      <c r="K738" t="n">
        <v>0</v>
      </c>
      <c r="L738" t="n">
        <v>0</v>
      </c>
      <c r="M738" t="n">
        <v>0</v>
      </c>
      <c r="N738" t="n">
        <v>0</v>
      </c>
      <c r="O738" t="n">
        <v>0</v>
      </c>
      <c r="P738" t="n">
        <v>0</v>
      </c>
      <c r="Q738" t="n">
        <v>0</v>
      </c>
      <c r="R738" s="2" t="inlineStr"/>
    </row>
    <row r="739" ht="15" customHeight="1">
      <c r="A739" t="inlineStr">
        <is>
          <t>A 33904-2023</t>
        </is>
      </c>
      <c r="B739" s="1" t="n">
        <v>45134</v>
      </c>
      <c r="C739" s="1" t="n">
        <v>45828</v>
      </c>
      <c r="D739" t="inlineStr">
        <is>
          <t>DALARNAS LÄN</t>
        </is>
      </c>
      <c r="E739" t="inlineStr">
        <is>
          <t>MALUNG-SÄLEN</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34332-2023</t>
        </is>
      </c>
      <c r="B740" s="1" t="n">
        <v>45139</v>
      </c>
      <c r="C740" s="1" t="n">
        <v>45828</v>
      </c>
      <c r="D740" t="inlineStr">
        <is>
          <t>DALARNAS LÄN</t>
        </is>
      </c>
      <c r="E740" t="inlineStr">
        <is>
          <t>MALUNG-SÄLEN</t>
        </is>
      </c>
      <c r="G740" t="n">
        <v>17</v>
      </c>
      <c r="H740" t="n">
        <v>0</v>
      </c>
      <c r="I740" t="n">
        <v>0</v>
      </c>
      <c r="J740" t="n">
        <v>0</v>
      </c>
      <c r="K740" t="n">
        <v>0</v>
      </c>
      <c r="L740" t="n">
        <v>0</v>
      </c>
      <c r="M740" t="n">
        <v>0</v>
      </c>
      <c r="N740" t="n">
        <v>0</v>
      </c>
      <c r="O740" t="n">
        <v>0</v>
      </c>
      <c r="P740" t="n">
        <v>0</v>
      </c>
      <c r="Q740" t="n">
        <v>0</v>
      </c>
      <c r="R740" s="2" t="inlineStr"/>
    </row>
    <row r="741" ht="15" customHeight="1">
      <c r="A741" t="inlineStr">
        <is>
          <t>A 34331-2023</t>
        </is>
      </c>
      <c r="B741" s="1" t="n">
        <v>45139</v>
      </c>
      <c r="C741" s="1" t="n">
        <v>45828</v>
      </c>
      <c r="D741" t="inlineStr">
        <is>
          <t>DALARNAS LÄN</t>
        </is>
      </c>
      <c r="E741" t="inlineStr">
        <is>
          <t>MALUNG-SÄLEN</t>
        </is>
      </c>
      <c r="G741" t="n">
        <v>12.3</v>
      </c>
      <c r="H741" t="n">
        <v>0</v>
      </c>
      <c r="I741" t="n">
        <v>0</v>
      </c>
      <c r="J741" t="n">
        <v>0</v>
      </c>
      <c r="K741" t="n">
        <v>0</v>
      </c>
      <c r="L741" t="n">
        <v>0</v>
      </c>
      <c r="M741" t="n">
        <v>0</v>
      </c>
      <c r="N741" t="n">
        <v>0</v>
      </c>
      <c r="O741" t="n">
        <v>0</v>
      </c>
      <c r="P741" t="n">
        <v>0</v>
      </c>
      <c r="Q741" t="n">
        <v>0</v>
      </c>
      <c r="R741" s="2" t="inlineStr"/>
    </row>
    <row r="742" ht="15" customHeight="1">
      <c r="A742" t="inlineStr">
        <is>
          <t>A 35498-2023</t>
        </is>
      </c>
      <c r="B742" s="1" t="n">
        <v>45146</v>
      </c>
      <c r="C742" s="1" t="n">
        <v>45828</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36024-2023</t>
        </is>
      </c>
      <c r="B743" s="1" t="n">
        <v>45149</v>
      </c>
      <c r="C743" s="1" t="n">
        <v>45828</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36338-2023</t>
        </is>
      </c>
      <c r="B744" s="1" t="n">
        <v>45152</v>
      </c>
      <c r="C744" s="1" t="n">
        <v>45828</v>
      </c>
      <c r="D744" t="inlineStr">
        <is>
          <t>DALARNAS LÄN</t>
        </is>
      </c>
      <c r="E744" t="inlineStr">
        <is>
          <t>MALUNG-SÄLEN</t>
        </is>
      </c>
      <c r="F744" t="inlineStr">
        <is>
          <t>Kommuner</t>
        </is>
      </c>
      <c r="G744" t="n">
        <v>22.9</v>
      </c>
      <c r="H744" t="n">
        <v>0</v>
      </c>
      <c r="I744" t="n">
        <v>0</v>
      </c>
      <c r="J744" t="n">
        <v>0</v>
      </c>
      <c r="K744" t="n">
        <v>0</v>
      </c>
      <c r="L744" t="n">
        <v>0</v>
      </c>
      <c r="M744" t="n">
        <v>0</v>
      </c>
      <c r="N744" t="n">
        <v>0</v>
      </c>
      <c r="O744" t="n">
        <v>0</v>
      </c>
      <c r="P744" t="n">
        <v>0</v>
      </c>
      <c r="Q744" t="n">
        <v>0</v>
      </c>
      <c r="R744" s="2" t="inlineStr"/>
    </row>
    <row r="745" ht="15" customHeight="1">
      <c r="A745" t="inlineStr">
        <is>
          <t>A 36466-2023</t>
        </is>
      </c>
      <c r="B745" s="1" t="n">
        <v>45152</v>
      </c>
      <c r="C745" s="1" t="n">
        <v>45828</v>
      </c>
      <c r="D745" t="inlineStr">
        <is>
          <t>DALARNAS LÄN</t>
        </is>
      </c>
      <c r="E745" t="inlineStr">
        <is>
          <t>MALUNG-SÄLEN</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36539-2023</t>
        </is>
      </c>
      <c r="B746" s="1" t="n">
        <v>45153</v>
      </c>
      <c r="C746" s="1" t="n">
        <v>45828</v>
      </c>
      <c r="D746" t="inlineStr">
        <is>
          <t>DALARNAS LÄN</t>
        </is>
      </c>
      <c r="E746" t="inlineStr">
        <is>
          <t>MALUNG-SÄLEN</t>
        </is>
      </c>
      <c r="G746" t="n">
        <v>4.6</v>
      </c>
      <c r="H746" t="n">
        <v>0</v>
      </c>
      <c r="I746" t="n">
        <v>0</v>
      </c>
      <c r="J746" t="n">
        <v>0</v>
      </c>
      <c r="K746" t="n">
        <v>0</v>
      </c>
      <c r="L746" t="n">
        <v>0</v>
      </c>
      <c r="M746" t="n">
        <v>0</v>
      </c>
      <c r="N746" t="n">
        <v>0</v>
      </c>
      <c r="O746" t="n">
        <v>0</v>
      </c>
      <c r="P746" t="n">
        <v>0</v>
      </c>
      <c r="Q746" t="n">
        <v>0</v>
      </c>
      <c r="R746" s="2" t="inlineStr"/>
    </row>
    <row r="747" ht="15" customHeight="1">
      <c r="A747" t="inlineStr">
        <is>
          <t>A 37872-2023</t>
        </is>
      </c>
      <c r="B747" s="1" t="n">
        <v>45160</v>
      </c>
      <c r="C747" s="1" t="n">
        <v>45828</v>
      </c>
      <c r="D747" t="inlineStr">
        <is>
          <t>DALARNAS LÄN</t>
        </is>
      </c>
      <c r="E747" t="inlineStr">
        <is>
          <t>MALUNG-SÄLEN</t>
        </is>
      </c>
      <c r="G747" t="n">
        <v>2.5</v>
      </c>
      <c r="H747" t="n">
        <v>0</v>
      </c>
      <c r="I747" t="n">
        <v>0</v>
      </c>
      <c r="J747" t="n">
        <v>0</v>
      </c>
      <c r="K747" t="n">
        <v>0</v>
      </c>
      <c r="L747" t="n">
        <v>0</v>
      </c>
      <c r="M747" t="n">
        <v>0</v>
      </c>
      <c r="N747" t="n">
        <v>0</v>
      </c>
      <c r="O747" t="n">
        <v>0</v>
      </c>
      <c r="P747" t="n">
        <v>0</v>
      </c>
      <c r="Q747" t="n">
        <v>0</v>
      </c>
      <c r="R747" s="2" t="inlineStr"/>
    </row>
    <row r="748" ht="15" customHeight="1">
      <c r="A748" t="inlineStr">
        <is>
          <t>A 38029-2023</t>
        </is>
      </c>
      <c r="B748" s="1" t="n">
        <v>45160</v>
      </c>
      <c r="C748" s="1" t="n">
        <v>45828</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38543-2023</t>
        </is>
      </c>
      <c r="B749" s="1" t="n">
        <v>45162</v>
      </c>
      <c r="C749" s="1" t="n">
        <v>45828</v>
      </c>
      <c r="D749" t="inlineStr">
        <is>
          <t>DALARNAS LÄN</t>
        </is>
      </c>
      <c r="E749" t="inlineStr">
        <is>
          <t>MALUNG-SÄLEN</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38560-2023</t>
        </is>
      </c>
      <c r="B750" s="1" t="n">
        <v>45162</v>
      </c>
      <c r="C750" s="1" t="n">
        <v>45828</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38569-2023</t>
        </is>
      </c>
      <c r="B751" s="1" t="n">
        <v>45162</v>
      </c>
      <c r="C751" s="1" t="n">
        <v>45828</v>
      </c>
      <c r="D751" t="inlineStr">
        <is>
          <t>DALARNAS LÄN</t>
        </is>
      </c>
      <c r="E751" t="inlineStr">
        <is>
          <t>MALUNG-SÄLEN</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38823-2023</t>
        </is>
      </c>
      <c r="B752" s="1" t="n">
        <v>45163</v>
      </c>
      <c r="C752" s="1" t="n">
        <v>45828</v>
      </c>
      <c r="D752" t="inlineStr">
        <is>
          <t>DALARNAS LÄN</t>
        </is>
      </c>
      <c r="E752" t="inlineStr">
        <is>
          <t>MALUNG-SÄLEN</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38791-2023</t>
        </is>
      </c>
      <c r="B753" s="1" t="n">
        <v>45163</v>
      </c>
      <c r="C753" s="1" t="n">
        <v>45828</v>
      </c>
      <c r="D753" t="inlineStr">
        <is>
          <t>DALARNAS LÄN</t>
        </is>
      </c>
      <c r="E753" t="inlineStr">
        <is>
          <t>MALUNG-SÄLEN</t>
        </is>
      </c>
      <c r="F753" t="inlineStr">
        <is>
          <t>Bergvik skog öst AB</t>
        </is>
      </c>
      <c r="G753" t="n">
        <v>2.3</v>
      </c>
      <c r="H753" t="n">
        <v>0</v>
      </c>
      <c r="I753" t="n">
        <v>0</v>
      </c>
      <c r="J753" t="n">
        <v>0</v>
      </c>
      <c r="K753" t="n">
        <v>0</v>
      </c>
      <c r="L753" t="n">
        <v>0</v>
      </c>
      <c r="M753" t="n">
        <v>0</v>
      </c>
      <c r="N753" t="n">
        <v>0</v>
      </c>
      <c r="O753" t="n">
        <v>0</v>
      </c>
      <c r="P753" t="n">
        <v>0</v>
      </c>
      <c r="Q753" t="n">
        <v>0</v>
      </c>
      <c r="R753" s="2" t="inlineStr"/>
    </row>
    <row r="754" ht="15" customHeight="1">
      <c r="A754" t="inlineStr">
        <is>
          <t>A 38817-2023</t>
        </is>
      </c>
      <c r="B754" s="1" t="n">
        <v>45163</v>
      </c>
      <c r="C754" s="1" t="n">
        <v>45828</v>
      </c>
      <c r="D754" t="inlineStr">
        <is>
          <t>DALARNAS LÄN</t>
        </is>
      </c>
      <c r="E754" t="inlineStr">
        <is>
          <t>MALUNG-SÄLEN</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39588-2023</t>
        </is>
      </c>
      <c r="B755" s="1" t="n">
        <v>45167</v>
      </c>
      <c r="C755" s="1" t="n">
        <v>45828</v>
      </c>
      <c r="D755" t="inlineStr">
        <is>
          <t>DALARNAS LÄN</t>
        </is>
      </c>
      <c r="E755" t="inlineStr">
        <is>
          <t>MALUNG-SÄLEN</t>
        </is>
      </c>
      <c r="F755" t="inlineStr">
        <is>
          <t>Bergvik skog öst AB</t>
        </is>
      </c>
      <c r="G755" t="n">
        <v>6.6</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45828</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39986-2023</t>
        </is>
      </c>
      <c r="B757" s="1" t="n">
        <v>45168</v>
      </c>
      <c r="C757" s="1" t="n">
        <v>45828</v>
      </c>
      <c r="D757" t="inlineStr">
        <is>
          <t>DALARNAS LÄN</t>
        </is>
      </c>
      <c r="E757" t="inlineStr">
        <is>
          <t>MALUNG-SÄLEN</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39976-2023</t>
        </is>
      </c>
      <c r="B758" s="1" t="n">
        <v>45168</v>
      </c>
      <c r="C758" s="1" t="n">
        <v>45828</v>
      </c>
      <c r="D758" t="inlineStr">
        <is>
          <t>DALARNAS LÄN</t>
        </is>
      </c>
      <c r="E758" t="inlineStr">
        <is>
          <t>MALUNG-SÄLEN</t>
        </is>
      </c>
      <c r="G758" t="n">
        <v>2.2</v>
      </c>
      <c r="H758" t="n">
        <v>0</v>
      </c>
      <c r="I758" t="n">
        <v>0</v>
      </c>
      <c r="J758" t="n">
        <v>0</v>
      </c>
      <c r="K758" t="n">
        <v>0</v>
      </c>
      <c r="L758" t="n">
        <v>0</v>
      </c>
      <c r="M758" t="n">
        <v>0</v>
      </c>
      <c r="N758" t="n">
        <v>0</v>
      </c>
      <c r="O758" t="n">
        <v>0</v>
      </c>
      <c r="P758" t="n">
        <v>0</v>
      </c>
      <c r="Q758" t="n">
        <v>0</v>
      </c>
      <c r="R758" s="2" t="inlineStr"/>
    </row>
    <row r="759" ht="15" customHeight="1">
      <c r="A759" t="inlineStr">
        <is>
          <t>A 40198-2023</t>
        </is>
      </c>
      <c r="B759" s="1" t="n">
        <v>45169</v>
      </c>
      <c r="C759" s="1" t="n">
        <v>45828</v>
      </c>
      <c r="D759" t="inlineStr">
        <is>
          <t>DALARNAS LÄN</t>
        </is>
      </c>
      <c r="E759" t="inlineStr">
        <is>
          <t>MALUNG-SÄLEN</t>
        </is>
      </c>
      <c r="F759" t="inlineStr">
        <is>
          <t>Bergvik skog öst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40227-2023</t>
        </is>
      </c>
      <c r="B760" s="1" t="n">
        <v>45169</v>
      </c>
      <c r="C760" s="1" t="n">
        <v>45828</v>
      </c>
      <c r="D760" t="inlineStr">
        <is>
          <t>DALARNAS LÄN</t>
        </is>
      </c>
      <c r="E760" t="inlineStr">
        <is>
          <t>MALUNG-SÄLEN</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40236-2023</t>
        </is>
      </c>
      <c r="B761" s="1" t="n">
        <v>45169</v>
      </c>
      <c r="C761" s="1" t="n">
        <v>45828</v>
      </c>
      <c r="D761" t="inlineStr">
        <is>
          <t>DALARNAS LÄN</t>
        </is>
      </c>
      <c r="E761" t="inlineStr">
        <is>
          <t>MALUNG-SÄLEN</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40694-2023</t>
        </is>
      </c>
      <c r="B762" s="1" t="n">
        <v>45170</v>
      </c>
      <c r="C762" s="1" t="n">
        <v>45828</v>
      </c>
      <c r="D762" t="inlineStr">
        <is>
          <t>DALARNAS LÄN</t>
        </is>
      </c>
      <c r="E762" t="inlineStr">
        <is>
          <t>MALUNG-SÄLEN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40704-2023</t>
        </is>
      </c>
      <c r="B763" s="1" t="n">
        <v>45170</v>
      </c>
      <c r="C763" s="1" t="n">
        <v>45828</v>
      </c>
      <c r="D763" t="inlineStr">
        <is>
          <t>DALARNAS LÄN</t>
        </is>
      </c>
      <c r="E763" t="inlineStr">
        <is>
          <t>MALUNG-SÄLEN</t>
        </is>
      </c>
      <c r="F763" t="inlineStr">
        <is>
          <t>Allmännings- och besparingsskogar</t>
        </is>
      </c>
      <c r="G763" t="n">
        <v>27.9</v>
      </c>
      <c r="H763" t="n">
        <v>0</v>
      </c>
      <c r="I763" t="n">
        <v>0</v>
      </c>
      <c r="J763" t="n">
        <v>0</v>
      </c>
      <c r="K763" t="n">
        <v>0</v>
      </c>
      <c r="L763" t="n">
        <v>0</v>
      </c>
      <c r="M763" t="n">
        <v>0</v>
      </c>
      <c r="N763" t="n">
        <v>0</v>
      </c>
      <c r="O763" t="n">
        <v>0</v>
      </c>
      <c r="P763" t="n">
        <v>0</v>
      </c>
      <c r="Q763" t="n">
        <v>0</v>
      </c>
      <c r="R763" s="2" t="inlineStr"/>
    </row>
    <row r="764" ht="15" customHeight="1">
      <c r="A764" t="inlineStr">
        <is>
          <t>A 40670-2023</t>
        </is>
      </c>
      <c r="B764" s="1" t="n">
        <v>45170</v>
      </c>
      <c r="C764" s="1" t="n">
        <v>45828</v>
      </c>
      <c r="D764" t="inlineStr">
        <is>
          <t>DALARNAS LÄN</t>
        </is>
      </c>
      <c r="E764" t="inlineStr">
        <is>
          <t>MALUNG-SÄLEN</t>
        </is>
      </c>
      <c r="F764" t="inlineStr">
        <is>
          <t>Allmännings- och besparingsskogar</t>
        </is>
      </c>
      <c r="G764" t="n">
        <v>30.4</v>
      </c>
      <c r="H764" t="n">
        <v>0</v>
      </c>
      <c r="I764" t="n">
        <v>0</v>
      </c>
      <c r="J764" t="n">
        <v>0</v>
      </c>
      <c r="K764" t="n">
        <v>0</v>
      </c>
      <c r="L764" t="n">
        <v>0</v>
      </c>
      <c r="M764" t="n">
        <v>0</v>
      </c>
      <c r="N764" t="n">
        <v>0</v>
      </c>
      <c r="O764" t="n">
        <v>0</v>
      </c>
      <c r="P764" t="n">
        <v>0</v>
      </c>
      <c r="Q764" t="n">
        <v>0</v>
      </c>
      <c r="R764" s="2" t="inlineStr"/>
    </row>
    <row r="765" ht="15" customHeight="1">
      <c r="A765" t="inlineStr">
        <is>
          <t>A 40967-2023</t>
        </is>
      </c>
      <c r="B765" s="1" t="n">
        <v>45173</v>
      </c>
      <c r="C765" s="1" t="n">
        <v>45828</v>
      </c>
      <c r="D765" t="inlineStr">
        <is>
          <t>DALARNAS LÄN</t>
        </is>
      </c>
      <c r="E765" t="inlineStr">
        <is>
          <t>MALUNG-SÄLEN</t>
        </is>
      </c>
      <c r="G765" t="n">
        <v>0.6</v>
      </c>
      <c r="H765" t="n">
        <v>0</v>
      </c>
      <c r="I765" t="n">
        <v>0</v>
      </c>
      <c r="J765" t="n">
        <v>0</v>
      </c>
      <c r="K765" t="n">
        <v>0</v>
      </c>
      <c r="L765" t="n">
        <v>0</v>
      </c>
      <c r="M765" t="n">
        <v>0</v>
      </c>
      <c r="N765" t="n">
        <v>0</v>
      </c>
      <c r="O765" t="n">
        <v>0</v>
      </c>
      <c r="P765" t="n">
        <v>0</v>
      </c>
      <c r="Q765" t="n">
        <v>0</v>
      </c>
      <c r="R765" s="2" t="inlineStr"/>
    </row>
    <row r="766" ht="15" customHeight="1">
      <c r="A766" t="inlineStr">
        <is>
          <t>A 41007-2023</t>
        </is>
      </c>
      <c r="B766" s="1" t="n">
        <v>45173</v>
      </c>
      <c r="C766" s="1" t="n">
        <v>45828</v>
      </c>
      <c r="D766" t="inlineStr">
        <is>
          <t>DALARNAS LÄN</t>
        </is>
      </c>
      <c r="E766" t="inlineStr">
        <is>
          <t>MALUNG-SÄLEN</t>
        </is>
      </c>
      <c r="G766" t="n">
        <v>2.5</v>
      </c>
      <c r="H766" t="n">
        <v>0</v>
      </c>
      <c r="I766" t="n">
        <v>0</v>
      </c>
      <c r="J766" t="n">
        <v>0</v>
      </c>
      <c r="K766" t="n">
        <v>0</v>
      </c>
      <c r="L766" t="n">
        <v>0</v>
      </c>
      <c r="M766" t="n">
        <v>0</v>
      </c>
      <c r="N766" t="n">
        <v>0</v>
      </c>
      <c r="O766" t="n">
        <v>0</v>
      </c>
      <c r="P766" t="n">
        <v>0</v>
      </c>
      <c r="Q766" t="n">
        <v>0</v>
      </c>
      <c r="R766" s="2" t="inlineStr"/>
    </row>
    <row r="767" ht="15" customHeight="1">
      <c r="A767" t="inlineStr">
        <is>
          <t>A 41066-2023</t>
        </is>
      </c>
      <c r="B767" s="1" t="n">
        <v>45173</v>
      </c>
      <c r="C767" s="1" t="n">
        <v>45828</v>
      </c>
      <c r="D767" t="inlineStr">
        <is>
          <t>DALARNAS LÄN</t>
        </is>
      </c>
      <c r="E767" t="inlineStr">
        <is>
          <t>MALUNG-SÄLEN</t>
        </is>
      </c>
      <c r="G767" t="n">
        <v>10.6</v>
      </c>
      <c r="H767" t="n">
        <v>0</v>
      </c>
      <c r="I767" t="n">
        <v>0</v>
      </c>
      <c r="J767" t="n">
        <v>0</v>
      </c>
      <c r="K767" t="n">
        <v>0</v>
      </c>
      <c r="L767" t="n">
        <v>0</v>
      </c>
      <c r="M767" t="n">
        <v>0</v>
      </c>
      <c r="N767" t="n">
        <v>0</v>
      </c>
      <c r="O767" t="n">
        <v>0</v>
      </c>
      <c r="P767" t="n">
        <v>0</v>
      </c>
      <c r="Q767" t="n">
        <v>0</v>
      </c>
      <c r="R767" s="2" t="inlineStr"/>
    </row>
    <row r="768" ht="15" customHeight="1">
      <c r="A768" t="inlineStr">
        <is>
          <t>A 41077-2023</t>
        </is>
      </c>
      <c r="B768" s="1" t="n">
        <v>45173</v>
      </c>
      <c r="C768" s="1" t="n">
        <v>45828</v>
      </c>
      <c r="D768" t="inlineStr">
        <is>
          <t>DALARNAS LÄN</t>
        </is>
      </c>
      <c r="E768" t="inlineStr">
        <is>
          <t>MALUNG-SÄLEN</t>
        </is>
      </c>
      <c r="G768" t="n">
        <v>12.4</v>
      </c>
      <c r="H768" t="n">
        <v>0</v>
      </c>
      <c r="I768" t="n">
        <v>0</v>
      </c>
      <c r="J768" t="n">
        <v>0</v>
      </c>
      <c r="K768" t="n">
        <v>0</v>
      </c>
      <c r="L768" t="n">
        <v>0</v>
      </c>
      <c r="M768" t="n">
        <v>0</v>
      </c>
      <c r="N768" t="n">
        <v>0</v>
      </c>
      <c r="O768" t="n">
        <v>0</v>
      </c>
      <c r="P768" t="n">
        <v>0</v>
      </c>
      <c r="Q768" t="n">
        <v>0</v>
      </c>
      <c r="R768" s="2" t="inlineStr"/>
    </row>
    <row r="769" ht="15" customHeight="1">
      <c r="A769" t="inlineStr">
        <is>
          <t>A 40964-2023</t>
        </is>
      </c>
      <c r="B769" s="1" t="n">
        <v>45173</v>
      </c>
      <c r="C769" s="1" t="n">
        <v>45828</v>
      </c>
      <c r="D769" t="inlineStr">
        <is>
          <t>DALARNAS LÄN</t>
        </is>
      </c>
      <c r="E769" t="inlineStr">
        <is>
          <t>MALUNG-SÄLEN</t>
        </is>
      </c>
      <c r="G769" t="n">
        <v>2.6</v>
      </c>
      <c r="H769" t="n">
        <v>0</v>
      </c>
      <c r="I769" t="n">
        <v>0</v>
      </c>
      <c r="J769" t="n">
        <v>0</v>
      </c>
      <c r="K769" t="n">
        <v>0</v>
      </c>
      <c r="L769" t="n">
        <v>0</v>
      </c>
      <c r="M769" t="n">
        <v>0</v>
      </c>
      <c r="N769" t="n">
        <v>0</v>
      </c>
      <c r="O769" t="n">
        <v>0</v>
      </c>
      <c r="P769" t="n">
        <v>0</v>
      </c>
      <c r="Q769" t="n">
        <v>0</v>
      </c>
      <c r="R769" s="2" t="inlineStr"/>
    </row>
    <row r="770" ht="15" customHeight="1">
      <c r="A770" t="inlineStr">
        <is>
          <t>A 41416-2023</t>
        </is>
      </c>
      <c r="B770" s="1" t="n">
        <v>45175</v>
      </c>
      <c r="C770" s="1" t="n">
        <v>45828</v>
      </c>
      <c r="D770" t="inlineStr">
        <is>
          <t>DALARNAS LÄN</t>
        </is>
      </c>
      <c r="E770" t="inlineStr">
        <is>
          <t>MALUNG-SÄLEN</t>
        </is>
      </c>
      <c r="G770" t="n">
        <v>2.7</v>
      </c>
      <c r="H770" t="n">
        <v>0</v>
      </c>
      <c r="I770" t="n">
        <v>0</v>
      </c>
      <c r="J770" t="n">
        <v>0</v>
      </c>
      <c r="K770" t="n">
        <v>0</v>
      </c>
      <c r="L770" t="n">
        <v>0</v>
      </c>
      <c r="M770" t="n">
        <v>0</v>
      </c>
      <c r="N770" t="n">
        <v>0</v>
      </c>
      <c r="O770" t="n">
        <v>0</v>
      </c>
      <c r="P770" t="n">
        <v>0</v>
      </c>
      <c r="Q770" t="n">
        <v>0</v>
      </c>
      <c r="R770" s="2" t="inlineStr"/>
    </row>
    <row r="771" ht="15" customHeight="1">
      <c r="A771" t="inlineStr">
        <is>
          <t>A 41596-2023</t>
        </is>
      </c>
      <c r="B771" s="1" t="n">
        <v>45175</v>
      </c>
      <c r="C771" s="1" t="n">
        <v>45828</v>
      </c>
      <c r="D771" t="inlineStr">
        <is>
          <t>DALARNAS LÄN</t>
        </is>
      </c>
      <c r="E771" t="inlineStr">
        <is>
          <t>MALUNG-SÄLEN</t>
        </is>
      </c>
      <c r="G771" t="n">
        <v>0.9</v>
      </c>
      <c r="H771" t="n">
        <v>0</v>
      </c>
      <c r="I771" t="n">
        <v>0</v>
      </c>
      <c r="J771" t="n">
        <v>0</v>
      </c>
      <c r="K771" t="n">
        <v>0</v>
      </c>
      <c r="L771" t="n">
        <v>0</v>
      </c>
      <c r="M771" t="n">
        <v>0</v>
      </c>
      <c r="N771" t="n">
        <v>0</v>
      </c>
      <c r="O771" t="n">
        <v>0</v>
      </c>
      <c r="P771" t="n">
        <v>0</v>
      </c>
      <c r="Q771" t="n">
        <v>0</v>
      </c>
      <c r="R771" s="2" t="inlineStr"/>
    </row>
    <row r="772" ht="15" customHeight="1">
      <c r="A772" t="inlineStr">
        <is>
          <t>A 41583-2023</t>
        </is>
      </c>
      <c r="B772" s="1" t="n">
        <v>45175</v>
      </c>
      <c r="C772" s="1" t="n">
        <v>45828</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41590-2023</t>
        </is>
      </c>
      <c r="B773" s="1" t="n">
        <v>45175</v>
      </c>
      <c r="C773" s="1" t="n">
        <v>45828</v>
      </c>
      <c r="D773" t="inlineStr">
        <is>
          <t>DALARNAS LÄN</t>
        </is>
      </c>
      <c r="E773" t="inlineStr">
        <is>
          <t>MALUNG-SÄLEN</t>
        </is>
      </c>
      <c r="G773" t="n">
        <v>1.8</v>
      </c>
      <c r="H773" t="n">
        <v>0</v>
      </c>
      <c r="I773" t="n">
        <v>0</v>
      </c>
      <c r="J773" t="n">
        <v>0</v>
      </c>
      <c r="K773" t="n">
        <v>0</v>
      </c>
      <c r="L773" t="n">
        <v>0</v>
      </c>
      <c r="M773" t="n">
        <v>0</v>
      </c>
      <c r="N773" t="n">
        <v>0</v>
      </c>
      <c r="O773" t="n">
        <v>0</v>
      </c>
      <c r="P773" t="n">
        <v>0</v>
      </c>
      <c r="Q773" t="n">
        <v>0</v>
      </c>
      <c r="R773" s="2" t="inlineStr"/>
    </row>
    <row r="774" ht="15" customHeight="1">
      <c r="A774" t="inlineStr">
        <is>
          <t>A 41828-2023</t>
        </is>
      </c>
      <c r="B774" s="1" t="n">
        <v>45176</v>
      </c>
      <c r="C774" s="1" t="n">
        <v>45828</v>
      </c>
      <c r="D774" t="inlineStr">
        <is>
          <t>DALARNAS LÄN</t>
        </is>
      </c>
      <c r="E774" t="inlineStr">
        <is>
          <t>MALUNG-SÄLEN</t>
        </is>
      </c>
      <c r="F774" t="inlineStr">
        <is>
          <t>Bergvik skog öst AB</t>
        </is>
      </c>
      <c r="G774" t="n">
        <v>10.9</v>
      </c>
      <c r="H774" t="n">
        <v>0</v>
      </c>
      <c r="I774" t="n">
        <v>0</v>
      </c>
      <c r="J774" t="n">
        <v>0</v>
      </c>
      <c r="K774" t="n">
        <v>0</v>
      </c>
      <c r="L774" t="n">
        <v>0</v>
      </c>
      <c r="M774" t="n">
        <v>0</v>
      </c>
      <c r="N774" t="n">
        <v>0</v>
      </c>
      <c r="O774" t="n">
        <v>0</v>
      </c>
      <c r="P774" t="n">
        <v>0</v>
      </c>
      <c r="Q774" t="n">
        <v>0</v>
      </c>
      <c r="R774" s="2" t="inlineStr"/>
    </row>
    <row r="775" ht="15" customHeight="1">
      <c r="A775" t="inlineStr">
        <is>
          <t>A 41946-2023</t>
        </is>
      </c>
      <c r="B775" s="1" t="n">
        <v>45177</v>
      </c>
      <c r="C775" s="1" t="n">
        <v>45828</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45828</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v>
      </c>
      <c r="C777" s="1" t="n">
        <v>45828</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43655-2023</t>
        </is>
      </c>
      <c r="B778" s="1" t="n">
        <v>45187</v>
      </c>
      <c r="C778" s="1" t="n">
        <v>45828</v>
      </c>
      <c r="D778" t="inlineStr">
        <is>
          <t>DALARNAS LÄN</t>
        </is>
      </c>
      <c r="E778" t="inlineStr">
        <is>
          <t>MALUNG-SÄLEN</t>
        </is>
      </c>
      <c r="F778" t="inlineStr">
        <is>
          <t>Allmännings- och besparingsskogar</t>
        </is>
      </c>
      <c r="G778" t="n">
        <v>4.6</v>
      </c>
      <c r="H778" t="n">
        <v>0</v>
      </c>
      <c r="I778" t="n">
        <v>0</v>
      </c>
      <c r="J778" t="n">
        <v>0</v>
      </c>
      <c r="K778" t="n">
        <v>0</v>
      </c>
      <c r="L778" t="n">
        <v>0</v>
      </c>
      <c r="M778" t="n">
        <v>0</v>
      </c>
      <c r="N778" t="n">
        <v>0</v>
      </c>
      <c r="O778" t="n">
        <v>0</v>
      </c>
      <c r="P778" t="n">
        <v>0</v>
      </c>
      <c r="Q778" t="n">
        <v>0</v>
      </c>
      <c r="R778" s="2" t="inlineStr"/>
    </row>
    <row r="779" ht="15" customHeight="1">
      <c r="A779" t="inlineStr">
        <is>
          <t>A 43666-2023</t>
        </is>
      </c>
      <c r="B779" s="1" t="n">
        <v>45187</v>
      </c>
      <c r="C779" s="1" t="n">
        <v>45828</v>
      </c>
      <c r="D779" t="inlineStr">
        <is>
          <t>DALARNAS LÄN</t>
        </is>
      </c>
      <c r="E779" t="inlineStr">
        <is>
          <t>MALUNG-SÄLEN</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43808-2023</t>
        </is>
      </c>
      <c r="B780" s="1" t="n">
        <v>45187</v>
      </c>
      <c r="C780" s="1" t="n">
        <v>45828</v>
      </c>
      <c r="D780" t="inlineStr">
        <is>
          <t>DALARNAS LÄN</t>
        </is>
      </c>
      <c r="E780" t="inlineStr">
        <is>
          <t>MALUNG-SÄLEN</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43823-2023</t>
        </is>
      </c>
      <c r="B781" s="1" t="n">
        <v>45187</v>
      </c>
      <c r="C781" s="1" t="n">
        <v>45828</v>
      </c>
      <c r="D781" t="inlineStr">
        <is>
          <t>DALARNAS LÄN</t>
        </is>
      </c>
      <c r="E781" t="inlineStr">
        <is>
          <t>MALUNG-SÄLEN</t>
        </is>
      </c>
      <c r="G781" t="n">
        <v>3.8</v>
      </c>
      <c r="H781" t="n">
        <v>0</v>
      </c>
      <c r="I781" t="n">
        <v>0</v>
      </c>
      <c r="J781" t="n">
        <v>0</v>
      </c>
      <c r="K781" t="n">
        <v>0</v>
      </c>
      <c r="L781" t="n">
        <v>0</v>
      </c>
      <c r="M781" t="n">
        <v>0</v>
      </c>
      <c r="N781" t="n">
        <v>0</v>
      </c>
      <c r="O781" t="n">
        <v>0</v>
      </c>
      <c r="P781" t="n">
        <v>0</v>
      </c>
      <c r="Q781" t="n">
        <v>0</v>
      </c>
      <c r="R781" s="2" t="inlineStr"/>
    </row>
    <row r="782" ht="15" customHeight="1">
      <c r="A782" t="inlineStr">
        <is>
          <t>A 43829-2023</t>
        </is>
      </c>
      <c r="B782" s="1" t="n">
        <v>45187</v>
      </c>
      <c r="C782" s="1" t="n">
        <v>45828</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44139-2023</t>
        </is>
      </c>
      <c r="B783" s="1" t="n">
        <v>45188</v>
      </c>
      <c r="C783" s="1" t="n">
        <v>45828</v>
      </c>
      <c r="D783" t="inlineStr">
        <is>
          <t>DALARNAS LÄN</t>
        </is>
      </c>
      <c r="E783" t="inlineStr">
        <is>
          <t>MALUNG-SÄLEN</t>
        </is>
      </c>
      <c r="G783" t="n">
        <v>5.8</v>
      </c>
      <c r="H783" t="n">
        <v>0</v>
      </c>
      <c r="I783" t="n">
        <v>0</v>
      </c>
      <c r="J783" t="n">
        <v>0</v>
      </c>
      <c r="K783" t="n">
        <v>0</v>
      </c>
      <c r="L783" t="n">
        <v>0</v>
      </c>
      <c r="M783" t="n">
        <v>0</v>
      </c>
      <c r="N783" t="n">
        <v>0</v>
      </c>
      <c r="O783" t="n">
        <v>0</v>
      </c>
      <c r="P783" t="n">
        <v>0</v>
      </c>
      <c r="Q783" t="n">
        <v>0</v>
      </c>
      <c r="R783" s="2" t="inlineStr"/>
    </row>
    <row r="784" ht="15" customHeight="1">
      <c r="A784" t="inlineStr">
        <is>
          <t>A 44190-2023</t>
        </is>
      </c>
      <c r="B784" s="1" t="n">
        <v>45188</v>
      </c>
      <c r="C784" s="1" t="n">
        <v>45828</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45780-2023</t>
        </is>
      </c>
      <c r="B785" s="1" t="n">
        <v>45188</v>
      </c>
      <c r="C785" s="1" t="n">
        <v>45828</v>
      </c>
      <c r="D785" t="inlineStr">
        <is>
          <t>DALARNAS LÄN</t>
        </is>
      </c>
      <c r="E785" t="inlineStr">
        <is>
          <t>MALUNG-SÄLEN</t>
        </is>
      </c>
      <c r="G785" t="n">
        <v>1.3</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45828</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44350-2023</t>
        </is>
      </c>
      <c r="B787" s="1" t="n">
        <v>45188</v>
      </c>
      <c r="C787" s="1" t="n">
        <v>45828</v>
      </c>
      <c r="D787" t="inlineStr">
        <is>
          <t>DALARNAS LÄN</t>
        </is>
      </c>
      <c r="E787" t="inlineStr">
        <is>
          <t>MALUNG-SÄLEN</t>
        </is>
      </c>
      <c r="G787" t="n">
        <v>3.4</v>
      </c>
      <c r="H787" t="n">
        <v>0</v>
      </c>
      <c r="I787" t="n">
        <v>0</v>
      </c>
      <c r="J787" t="n">
        <v>0</v>
      </c>
      <c r="K787" t="n">
        <v>0</v>
      </c>
      <c r="L787" t="n">
        <v>0</v>
      </c>
      <c r="M787" t="n">
        <v>0</v>
      </c>
      <c r="N787" t="n">
        <v>0</v>
      </c>
      <c r="O787" t="n">
        <v>0</v>
      </c>
      <c r="P787" t="n">
        <v>0</v>
      </c>
      <c r="Q787" t="n">
        <v>0</v>
      </c>
      <c r="R787" s="2" t="inlineStr"/>
    </row>
    <row r="788" ht="15" customHeight="1">
      <c r="A788" t="inlineStr">
        <is>
          <t>A 44701-2023</t>
        </is>
      </c>
      <c r="B788" s="1" t="n">
        <v>45190</v>
      </c>
      <c r="C788" s="1" t="n">
        <v>45828</v>
      </c>
      <c r="D788" t="inlineStr">
        <is>
          <t>DALARNAS LÄN</t>
        </is>
      </c>
      <c r="E788" t="inlineStr">
        <is>
          <t>MALUNG-SÄLEN</t>
        </is>
      </c>
      <c r="G788" t="n">
        <v>1.9</v>
      </c>
      <c r="H788" t="n">
        <v>0</v>
      </c>
      <c r="I788" t="n">
        <v>0</v>
      </c>
      <c r="J788" t="n">
        <v>0</v>
      </c>
      <c r="K788" t="n">
        <v>0</v>
      </c>
      <c r="L788" t="n">
        <v>0</v>
      </c>
      <c r="M788" t="n">
        <v>0</v>
      </c>
      <c r="N788" t="n">
        <v>0</v>
      </c>
      <c r="O788" t="n">
        <v>0</v>
      </c>
      <c r="P788" t="n">
        <v>0</v>
      </c>
      <c r="Q788" t="n">
        <v>0</v>
      </c>
      <c r="R788" s="2" t="inlineStr"/>
    </row>
    <row r="789" ht="15" customHeight="1">
      <c r="A789" t="inlineStr">
        <is>
          <t>A 44709-2023</t>
        </is>
      </c>
      <c r="B789" s="1" t="n">
        <v>45190</v>
      </c>
      <c r="C789" s="1" t="n">
        <v>45828</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44782-2023</t>
        </is>
      </c>
      <c r="B790" s="1" t="n">
        <v>45190</v>
      </c>
      <c r="C790" s="1" t="n">
        <v>45828</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44844-2023</t>
        </is>
      </c>
      <c r="B791" s="1" t="n">
        <v>45190</v>
      </c>
      <c r="C791" s="1" t="n">
        <v>45828</v>
      </c>
      <c r="D791" t="inlineStr">
        <is>
          <t>DALARNAS LÄN</t>
        </is>
      </c>
      <c r="E791" t="inlineStr">
        <is>
          <t>MALUNG-SÄLEN</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44852-2023</t>
        </is>
      </c>
      <c r="B792" s="1" t="n">
        <v>45190</v>
      </c>
      <c r="C792" s="1" t="n">
        <v>45828</v>
      </c>
      <c r="D792" t="inlineStr">
        <is>
          <t>DALARNAS LÄN</t>
        </is>
      </c>
      <c r="E792" t="inlineStr">
        <is>
          <t>MALUNG-SÄLEN</t>
        </is>
      </c>
      <c r="F792" t="inlineStr">
        <is>
          <t>Allmännings- och besparingsskogar</t>
        </is>
      </c>
      <c r="G792" t="n">
        <v>21.8</v>
      </c>
      <c r="H792" t="n">
        <v>0</v>
      </c>
      <c r="I792" t="n">
        <v>0</v>
      </c>
      <c r="J792" t="n">
        <v>0</v>
      </c>
      <c r="K792" t="n">
        <v>0</v>
      </c>
      <c r="L792" t="n">
        <v>0</v>
      </c>
      <c r="M792" t="n">
        <v>0</v>
      </c>
      <c r="N792" t="n">
        <v>0</v>
      </c>
      <c r="O792" t="n">
        <v>0</v>
      </c>
      <c r="P792" t="n">
        <v>0</v>
      </c>
      <c r="Q792" t="n">
        <v>0</v>
      </c>
      <c r="R792" s="2" t="inlineStr"/>
    </row>
    <row r="793" ht="15" customHeight="1">
      <c r="A793" t="inlineStr">
        <is>
          <t>A 45197-2023</t>
        </is>
      </c>
      <c r="B793" s="1" t="n">
        <v>45191</v>
      </c>
      <c r="C793" s="1" t="n">
        <v>45828</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45207-2023</t>
        </is>
      </c>
      <c r="B794" s="1" t="n">
        <v>45191</v>
      </c>
      <c r="C794" s="1" t="n">
        <v>45828</v>
      </c>
      <c r="D794" t="inlineStr">
        <is>
          <t>DALARNAS LÄN</t>
        </is>
      </c>
      <c r="E794" t="inlineStr">
        <is>
          <t>MALUNG-SÄLEN</t>
        </is>
      </c>
      <c r="G794" t="n">
        <v>3.9</v>
      </c>
      <c r="H794" t="n">
        <v>0</v>
      </c>
      <c r="I794" t="n">
        <v>0</v>
      </c>
      <c r="J794" t="n">
        <v>0</v>
      </c>
      <c r="K794" t="n">
        <v>0</v>
      </c>
      <c r="L794" t="n">
        <v>0</v>
      </c>
      <c r="M794" t="n">
        <v>0</v>
      </c>
      <c r="N794" t="n">
        <v>0</v>
      </c>
      <c r="O794" t="n">
        <v>0</v>
      </c>
      <c r="P794" t="n">
        <v>0</v>
      </c>
      <c r="Q794" t="n">
        <v>0</v>
      </c>
      <c r="R794" s="2" t="inlineStr"/>
    </row>
    <row r="795" ht="15" customHeight="1">
      <c r="A795" t="inlineStr">
        <is>
          <t>A 45601-2023</t>
        </is>
      </c>
      <c r="B795" s="1" t="n">
        <v>45194</v>
      </c>
      <c r="C795" s="1" t="n">
        <v>45828</v>
      </c>
      <c r="D795" t="inlineStr">
        <is>
          <t>DALARNAS LÄN</t>
        </is>
      </c>
      <c r="E795" t="inlineStr">
        <is>
          <t>MALUNG-SÄLEN</t>
        </is>
      </c>
      <c r="G795" t="n">
        <v>0.4</v>
      </c>
      <c r="H795" t="n">
        <v>0</v>
      </c>
      <c r="I795" t="n">
        <v>0</v>
      </c>
      <c r="J795" t="n">
        <v>0</v>
      </c>
      <c r="K795" t="n">
        <v>0</v>
      </c>
      <c r="L795" t="n">
        <v>0</v>
      </c>
      <c r="M795" t="n">
        <v>0</v>
      </c>
      <c r="N795" t="n">
        <v>0</v>
      </c>
      <c r="O795" t="n">
        <v>0</v>
      </c>
      <c r="P795" t="n">
        <v>0</v>
      </c>
      <c r="Q795" t="n">
        <v>0</v>
      </c>
      <c r="R795" s="2" t="inlineStr"/>
    </row>
    <row r="796" ht="15" customHeight="1">
      <c r="A796" t="inlineStr">
        <is>
          <t>A 46574-2023</t>
        </is>
      </c>
      <c r="B796" s="1" t="n">
        <v>45194</v>
      </c>
      <c r="C796" s="1" t="n">
        <v>45828</v>
      </c>
      <c r="D796" t="inlineStr">
        <is>
          <t>DALARNAS LÄN</t>
        </is>
      </c>
      <c r="E796" t="inlineStr">
        <is>
          <t>MALUNG-SÄLEN</t>
        </is>
      </c>
      <c r="G796" t="n">
        <v>17.2</v>
      </c>
      <c r="H796" t="n">
        <v>0</v>
      </c>
      <c r="I796" t="n">
        <v>0</v>
      </c>
      <c r="J796" t="n">
        <v>0</v>
      </c>
      <c r="K796" t="n">
        <v>0</v>
      </c>
      <c r="L796" t="n">
        <v>0</v>
      </c>
      <c r="M796" t="n">
        <v>0</v>
      </c>
      <c r="N796" t="n">
        <v>0</v>
      </c>
      <c r="O796" t="n">
        <v>0</v>
      </c>
      <c r="P796" t="n">
        <v>0</v>
      </c>
      <c r="Q796" t="n">
        <v>0</v>
      </c>
      <c r="R796" s="2" t="inlineStr"/>
    </row>
    <row r="797" ht="15" customHeight="1">
      <c r="A797" t="inlineStr">
        <is>
          <t>A 45697-2023</t>
        </is>
      </c>
      <c r="B797" s="1" t="n">
        <v>45195</v>
      </c>
      <c r="C797" s="1" t="n">
        <v>45828</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45811-2023</t>
        </is>
      </c>
      <c r="B798" s="1" t="n">
        <v>45195</v>
      </c>
      <c r="C798" s="1" t="n">
        <v>45828</v>
      </c>
      <c r="D798" t="inlineStr">
        <is>
          <t>DALARNAS LÄN</t>
        </is>
      </c>
      <c r="E798" t="inlineStr">
        <is>
          <t>MALUNG-SÄLEN</t>
        </is>
      </c>
      <c r="G798" t="n">
        <v>4.4</v>
      </c>
      <c r="H798" t="n">
        <v>0</v>
      </c>
      <c r="I798" t="n">
        <v>0</v>
      </c>
      <c r="J798" t="n">
        <v>0</v>
      </c>
      <c r="K798" t="n">
        <v>0</v>
      </c>
      <c r="L798" t="n">
        <v>0</v>
      </c>
      <c r="M798" t="n">
        <v>0</v>
      </c>
      <c r="N798" t="n">
        <v>0</v>
      </c>
      <c r="O798" t="n">
        <v>0</v>
      </c>
      <c r="P798" t="n">
        <v>0</v>
      </c>
      <c r="Q798" t="n">
        <v>0</v>
      </c>
      <c r="R798" s="2" t="inlineStr"/>
    </row>
    <row r="799" ht="15" customHeight="1">
      <c r="A799" t="inlineStr">
        <is>
          <t>A 45830-2023</t>
        </is>
      </c>
      <c r="B799" s="1" t="n">
        <v>45195</v>
      </c>
      <c r="C799" s="1" t="n">
        <v>45828</v>
      </c>
      <c r="D799" t="inlineStr">
        <is>
          <t>DALARNAS LÄN</t>
        </is>
      </c>
      <c r="E799" t="inlineStr">
        <is>
          <t>MALUNG-SÄLEN</t>
        </is>
      </c>
      <c r="F799" t="inlineStr">
        <is>
          <t>Allmännings- och besparingsskogar</t>
        </is>
      </c>
      <c r="G799" t="n">
        <v>60.7</v>
      </c>
      <c r="H799" t="n">
        <v>0</v>
      </c>
      <c r="I799" t="n">
        <v>0</v>
      </c>
      <c r="J799" t="n">
        <v>0</v>
      </c>
      <c r="K799" t="n">
        <v>0</v>
      </c>
      <c r="L799" t="n">
        <v>0</v>
      </c>
      <c r="M799" t="n">
        <v>0</v>
      </c>
      <c r="N799" t="n">
        <v>0</v>
      </c>
      <c r="O799" t="n">
        <v>0</v>
      </c>
      <c r="P799" t="n">
        <v>0</v>
      </c>
      <c r="Q799" t="n">
        <v>0</v>
      </c>
      <c r="R799" s="2" t="inlineStr"/>
    </row>
    <row r="800" ht="15" customHeight="1">
      <c r="A800" t="inlineStr">
        <is>
          <t>A 45893-2023</t>
        </is>
      </c>
      <c r="B800" s="1" t="n">
        <v>45195</v>
      </c>
      <c r="C800" s="1" t="n">
        <v>45828</v>
      </c>
      <c r="D800" t="inlineStr">
        <is>
          <t>DALARNAS LÄN</t>
        </is>
      </c>
      <c r="E800" t="inlineStr">
        <is>
          <t>MALUNG-SÄLEN</t>
        </is>
      </c>
      <c r="G800" t="n">
        <v>15.6</v>
      </c>
      <c r="H800" t="n">
        <v>0</v>
      </c>
      <c r="I800" t="n">
        <v>0</v>
      </c>
      <c r="J800" t="n">
        <v>0</v>
      </c>
      <c r="K800" t="n">
        <v>0</v>
      </c>
      <c r="L800" t="n">
        <v>0</v>
      </c>
      <c r="M800" t="n">
        <v>0</v>
      </c>
      <c r="N800" t="n">
        <v>0</v>
      </c>
      <c r="O800" t="n">
        <v>0</v>
      </c>
      <c r="P800" t="n">
        <v>0</v>
      </c>
      <c r="Q800" t="n">
        <v>0</v>
      </c>
      <c r="R800" s="2" t="inlineStr"/>
    </row>
    <row r="801" ht="15" customHeight="1">
      <c r="A801" t="inlineStr">
        <is>
          <t>A 46287-2023</t>
        </is>
      </c>
      <c r="B801" s="1" t="n">
        <v>45197</v>
      </c>
      <c r="C801" s="1" t="n">
        <v>45828</v>
      </c>
      <c r="D801" t="inlineStr">
        <is>
          <t>DALARNAS LÄN</t>
        </is>
      </c>
      <c r="E801" t="inlineStr">
        <is>
          <t>MALUNG-SÄLEN</t>
        </is>
      </c>
      <c r="G801" t="n">
        <v>1.8</v>
      </c>
      <c r="H801" t="n">
        <v>0</v>
      </c>
      <c r="I801" t="n">
        <v>0</v>
      </c>
      <c r="J801" t="n">
        <v>0</v>
      </c>
      <c r="K801" t="n">
        <v>0</v>
      </c>
      <c r="L801" t="n">
        <v>0</v>
      </c>
      <c r="M801" t="n">
        <v>0</v>
      </c>
      <c r="N801" t="n">
        <v>0</v>
      </c>
      <c r="O801" t="n">
        <v>0</v>
      </c>
      <c r="P801" t="n">
        <v>0</v>
      </c>
      <c r="Q801" t="n">
        <v>0</v>
      </c>
      <c r="R801" s="2" t="inlineStr"/>
    </row>
    <row r="802" ht="15" customHeight="1">
      <c r="A802" t="inlineStr">
        <is>
          <t>A 46291-2023</t>
        </is>
      </c>
      <c r="B802" s="1" t="n">
        <v>45197</v>
      </c>
      <c r="C802" s="1" t="n">
        <v>45828</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46631-2023</t>
        </is>
      </c>
      <c r="B803" s="1" t="n">
        <v>45198</v>
      </c>
      <c r="C803" s="1" t="n">
        <v>45828</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46659-2023</t>
        </is>
      </c>
      <c r="B804" s="1" t="n">
        <v>45198</v>
      </c>
      <c r="C804" s="1" t="n">
        <v>45828</v>
      </c>
      <c r="D804" t="inlineStr">
        <is>
          <t>DALARNAS LÄN</t>
        </is>
      </c>
      <c r="E804" t="inlineStr">
        <is>
          <t>MALUNG-SÄLEN</t>
        </is>
      </c>
      <c r="F804" t="inlineStr">
        <is>
          <t>Allmännings- och besparingsskogar</t>
        </is>
      </c>
      <c r="G804" t="n">
        <v>17.6</v>
      </c>
      <c r="H804" t="n">
        <v>0</v>
      </c>
      <c r="I804" t="n">
        <v>0</v>
      </c>
      <c r="J804" t="n">
        <v>0</v>
      </c>
      <c r="K804" t="n">
        <v>0</v>
      </c>
      <c r="L804" t="n">
        <v>0</v>
      </c>
      <c r="M804" t="n">
        <v>0</v>
      </c>
      <c r="N804" t="n">
        <v>0</v>
      </c>
      <c r="O804" t="n">
        <v>0</v>
      </c>
      <c r="P804" t="n">
        <v>0</v>
      </c>
      <c r="Q804" t="n">
        <v>0</v>
      </c>
      <c r="R804" s="2" t="inlineStr"/>
    </row>
    <row r="805" ht="15" customHeight="1">
      <c r="A805" t="inlineStr">
        <is>
          <t>A 46702-2023</t>
        </is>
      </c>
      <c r="B805" s="1" t="n">
        <v>45198</v>
      </c>
      <c r="C805" s="1" t="n">
        <v>45828</v>
      </c>
      <c r="D805" t="inlineStr">
        <is>
          <t>DALARNAS LÄN</t>
        </is>
      </c>
      <c r="E805" t="inlineStr">
        <is>
          <t>MALUNG-SÄLEN</t>
        </is>
      </c>
      <c r="F805" t="inlineStr">
        <is>
          <t>Allmännings- och besparingsskogar</t>
        </is>
      </c>
      <c r="G805" t="n">
        <v>7.3</v>
      </c>
      <c r="H805" t="n">
        <v>0</v>
      </c>
      <c r="I805" t="n">
        <v>0</v>
      </c>
      <c r="J805" t="n">
        <v>0</v>
      </c>
      <c r="K805" t="n">
        <v>0</v>
      </c>
      <c r="L805" t="n">
        <v>0</v>
      </c>
      <c r="M805" t="n">
        <v>0</v>
      </c>
      <c r="N805" t="n">
        <v>0</v>
      </c>
      <c r="O805" t="n">
        <v>0</v>
      </c>
      <c r="P805" t="n">
        <v>0</v>
      </c>
      <c r="Q805" t="n">
        <v>0</v>
      </c>
      <c r="R805" s="2" t="inlineStr"/>
    </row>
    <row r="806" ht="15" customHeight="1">
      <c r="A806" t="inlineStr">
        <is>
          <t>A 46624-2023</t>
        </is>
      </c>
      <c r="B806" s="1" t="n">
        <v>45198</v>
      </c>
      <c r="C806" s="1" t="n">
        <v>45828</v>
      </c>
      <c r="D806" t="inlineStr">
        <is>
          <t>DALARNAS LÄN</t>
        </is>
      </c>
      <c r="E806" t="inlineStr">
        <is>
          <t>MALUNG-SÄLEN</t>
        </is>
      </c>
      <c r="F806" t="inlineStr">
        <is>
          <t>Allmännings- och besparingsskogar</t>
        </is>
      </c>
      <c r="G806" t="n">
        <v>11</v>
      </c>
      <c r="H806" t="n">
        <v>0</v>
      </c>
      <c r="I806" t="n">
        <v>0</v>
      </c>
      <c r="J806" t="n">
        <v>0</v>
      </c>
      <c r="K806" t="n">
        <v>0</v>
      </c>
      <c r="L806" t="n">
        <v>0</v>
      </c>
      <c r="M806" t="n">
        <v>0</v>
      </c>
      <c r="N806" t="n">
        <v>0</v>
      </c>
      <c r="O806" t="n">
        <v>0</v>
      </c>
      <c r="P806" t="n">
        <v>0</v>
      </c>
      <c r="Q806" t="n">
        <v>0</v>
      </c>
      <c r="R806" s="2" t="inlineStr"/>
    </row>
    <row r="807" ht="15" customHeight="1">
      <c r="A807" t="inlineStr">
        <is>
          <t>A 46956-2023</t>
        </is>
      </c>
      <c r="B807" s="1" t="n">
        <v>45201</v>
      </c>
      <c r="C807" s="1" t="n">
        <v>45828</v>
      </c>
      <c r="D807" t="inlineStr">
        <is>
          <t>DALARNAS LÄN</t>
        </is>
      </c>
      <c r="E807" t="inlineStr">
        <is>
          <t>MALUNG-SÄLEN</t>
        </is>
      </c>
      <c r="G807" t="n">
        <v>5.8</v>
      </c>
      <c r="H807" t="n">
        <v>0</v>
      </c>
      <c r="I807" t="n">
        <v>0</v>
      </c>
      <c r="J807" t="n">
        <v>0</v>
      </c>
      <c r="K807" t="n">
        <v>0</v>
      </c>
      <c r="L807" t="n">
        <v>0</v>
      </c>
      <c r="M807" t="n">
        <v>0</v>
      </c>
      <c r="N807" t="n">
        <v>0</v>
      </c>
      <c r="O807" t="n">
        <v>0</v>
      </c>
      <c r="P807" t="n">
        <v>0</v>
      </c>
      <c r="Q807" t="n">
        <v>0</v>
      </c>
      <c r="R807" s="2" t="inlineStr"/>
    </row>
    <row r="808" ht="15" customHeight="1">
      <c r="A808" t="inlineStr">
        <is>
          <t>A 48156-2023</t>
        </is>
      </c>
      <c r="B808" s="1" t="n">
        <v>45201</v>
      </c>
      <c r="C808" s="1" t="n">
        <v>45828</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47351-2023</t>
        </is>
      </c>
      <c r="B809" s="1" t="n">
        <v>45202</v>
      </c>
      <c r="C809" s="1" t="n">
        <v>45828</v>
      </c>
      <c r="D809" t="inlineStr">
        <is>
          <t>DALARNAS LÄN</t>
        </is>
      </c>
      <c r="E809" t="inlineStr">
        <is>
          <t>MALUNG-SÄLEN</t>
        </is>
      </c>
      <c r="G809" t="n">
        <v>4.7</v>
      </c>
      <c r="H809" t="n">
        <v>0</v>
      </c>
      <c r="I809" t="n">
        <v>0</v>
      </c>
      <c r="J809" t="n">
        <v>0</v>
      </c>
      <c r="K809" t="n">
        <v>0</v>
      </c>
      <c r="L809" t="n">
        <v>0</v>
      </c>
      <c r="M809" t="n">
        <v>0</v>
      </c>
      <c r="N809" t="n">
        <v>0</v>
      </c>
      <c r="O809" t="n">
        <v>0</v>
      </c>
      <c r="P809" t="n">
        <v>0</v>
      </c>
      <c r="Q809" t="n">
        <v>0</v>
      </c>
      <c r="R809" s="2" t="inlineStr"/>
    </row>
    <row r="810" ht="15" customHeight="1">
      <c r="A810" t="inlineStr">
        <is>
          <t>A 47379-2023</t>
        </is>
      </c>
      <c r="B810" s="1" t="n">
        <v>45202</v>
      </c>
      <c r="C810" s="1" t="n">
        <v>45828</v>
      </c>
      <c r="D810" t="inlineStr">
        <is>
          <t>DALARNAS LÄN</t>
        </is>
      </c>
      <c r="E810" t="inlineStr">
        <is>
          <t>MALUNG-SÄLEN</t>
        </is>
      </c>
      <c r="G810" t="n">
        <v>5.9</v>
      </c>
      <c r="H810" t="n">
        <v>0</v>
      </c>
      <c r="I810" t="n">
        <v>0</v>
      </c>
      <c r="J810" t="n">
        <v>0</v>
      </c>
      <c r="K810" t="n">
        <v>0</v>
      </c>
      <c r="L810" t="n">
        <v>0</v>
      </c>
      <c r="M810" t="n">
        <v>0</v>
      </c>
      <c r="N810" t="n">
        <v>0</v>
      </c>
      <c r="O810" t="n">
        <v>0</v>
      </c>
      <c r="P810" t="n">
        <v>0</v>
      </c>
      <c r="Q810" t="n">
        <v>0</v>
      </c>
      <c r="R810" s="2" t="inlineStr"/>
    </row>
    <row r="811" ht="15" customHeight="1">
      <c r="A811" t="inlineStr">
        <is>
          <t>A 47513-2023</t>
        </is>
      </c>
      <c r="B811" s="1" t="n">
        <v>45203</v>
      </c>
      <c r="C811" s="1" t="n">
        <v>45828</v>
      </c>
      <c r="D811" t="inlineStr">
        <is>
          <t>DALARNAS LÄN</t>
        </is>
      </c>
      <c r="E811" t="inlineStr">
        <is>
          <t>MALUNG-SÄLEN</t>
        </is>
      </c>
      <c r="G811" t="n">
        <v>3</v>
      </c>
      <c r="H811" t="n">
        <v>0</v>
      </c>
      <c r="I811" t="n">
        <v>0</v>
      </c>
      <c r="J811" t="n">
        <v>0</v>
      </c>
      <c r="K811" t="n">
        <v>0</v>
      </c>
      <c r="L811" t="n">
        <v>0</v>
      </c>
      <c r="M811" t="n">
        <v>0</v>
      </c>
      <c r="N811" t="n">
        <v>0</v>
      </c>
      <c r="O811" t="n">
        <v>0</v>
      </c>
      <c r="P811" t="n">
        <v>0</v>
      </c>
      <c r="Q811" t="n">
        <v>0</v>
      </c>
      <c r="R811" s="2" t="inlineStr"/>
    </row>
    <row r="812" ht="15" customHeight="1">
      <c r="A812" t="inlineStr">
        <is>
          <t>A 47603-2023</t>
        </is>
      </c>
      <c r="B812" s="1" t="n">
        <v>45203</v>
      </c>
      <c r="C812" s="1" t="n">
        <v>45828</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47957-2023</t>
        </is>
      </c>
      <c r="B813" s="1" t="n">
        <v>45204</v>
      </c>
      <c r="C813" s="1" t="n">
        <v>45828</v>
      </c>
      <c r="D813" t="inlineStr">
        <is>
          <t>DALARNAS LÄN</t>
        </is>
      </c>
      <c r="E813" t="inlineStr">
        <is>
          <t>MALUNG-SÄLEN</t>
        </is>
      </c>
      <c r="F813" t="inlineStr">
        <is>
          <t>Bergvik skog öst AB</t>
        </is>
      </c>
      <c r="G813" t="n">
        <v>3</v>
      </c>
      <c r="H813" t="n">
        <v>0</v>
      </c>
      <c r="I813" t="n">
        <v>0</v>
      </c>
      <c r="J813" t="n">
        <v>0</v>
      </c>
      <c r="K813" t="n">
        <v>0</v>
      </c>
      <c r="L813" t="n">
        <v>0</v>
      </c>
      <c r="M813" t="n">
        <v>0</v>
      </c>
      <c r="N813" t="n">
        <v>0</v>
      </c>
      <c r="O813" t="n">
        <v>0</v>
      </c>
      <c r="P813" t="n">
        <v>0</v>
      </c>
      <c r="Q813" t="n">
        <v>0</v>
      </c>
      <c r="R813" s="2" t="inlineStr"/>
    </row>
    <row r="814" ht="15" customHeight="1">
      <c r="A814" t="inlineStr">
        <is>
          <t>A 47963-2023</t>
        </is>
      </c>
      <c r="B814" s="1" t="n">
        <v>45204</v>
      </c>
      <c r="C814" s="1" t="n">
        <v>45828</v>
      </c>
      <c r="D814" t="inlineStr">
        <is>
          <t>DALARNAS LÄN</t>
        </is>
      </c>
      <c r="E814" t="inlineStr">
        <is>
          <t>MALUNG-SÄLEN</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47976-2023</t>
        </is>
      </c>
      <c r="B815" s="1" t="n">
        <v>45204</v>
      </c>
      <c r="C815" s="1" t="n">
        <v>45828</v>
      </c>
      <c r="D815" t="inlineStr">
        <is>
          <t>DALARNAS LÄN</t>
        </is>
      </c>
      <c r="E815" t="inlineStr">
        <is>
          <t>MALUNG-SÄLEN</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47971-2023</t>
        </is>
      </c>
      <c r="B816" s="1" t="n">
        <v>45204</v>
      </c>
      <c r="C816" s="1" t="n">
        <v>45828</v>
      </c>
      <c r="D816" t="inlineStr">
        <is>
          <t>DALARNAS LÄN</t>
        </is>
      </c>
      <c r="E816" t="inlineStr">
        <is>
          <t>MALUNG-SÄLEN</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47979-2023</t>
        </is>
      </c>
      <c r="B817" s="1" t="n">
        <v>45204</v>
      </c>
      <c r="C817" s="1" t="n">
        <v>45828</v>
      </c>
      <c r="D817" t="inlineStr">
        <is>
          <t>DALARNAS LÄN</t>
        </is>
      </c>
      <c r="E817" t="inlineStr">
        <is>
          <t>MALUNG-SÄLEN</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48135-2023</t>
        </is>
      </c>
      <c r="B818" s="1" t="n">
        <v>45205</v>
      </c>
      <c r="C818" s="1" t="n">
        <v>45828</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48363-2023</t>
        </is>
      </c>
      <c r="B819" s="1" t="n">
        <v>45205</v>
      </c>
      <c r="C819" s="1" t="n">
        <v>45828</v>
      </c>
      <c r="D819" t="inlineStr">
        <is>
          <t>DALARNAS LÄN</t>
        </is>
      </c>
      <c r="E819" t="inlineStr">
        <is>
          <t>MALUNG-SÄLEN</t>
        </is>
      </c>
      <c r="G819" t="n">
        <v>2.4</v>
      </c>
      <c r="H819" t="n">
        <v>0</v>
      </c>
      <c r="I819" t="n">
        <v>0</v>
      </c>
      <c r="J819" t="n">
        <v>0</v>
      </c>
      <c r="K819" t="n">
        <v>0</v>
      </c>
      <c r="L819" t="n">
        <v>0</v>
      </c>
      <c r="M819" t="n">
        <v>0</v>
      </c>
      <c r="N819" t="n">
        <v>0</v>
      </c>
      <c r="O819" t="n">
        <v>0</v>
      </c>
      <c r="P819" t="n">
        <v>0</v>
      </c>
      <c r="Q819" t="n">
        <v>0</v>
      </c>
      <c r="R819" s="2" t="inlineStr"/>
    </row>
    <row r="820" ht="15" customHeight="1">
      <c r="A820" t="inlineStr">
        <is>
          <t>A 48272-2023</t>
        </is>
      </c>
      <c r="B820" s="1" t="n">
        <v>45205</v>
      </c>
      <c r="C820" s="1" t="n">
        <v>45828</v>
      </c>
      <c r="D820" t="inlineStr">
        <is>
          <t>DALARNAS LÄN</t>
        </is>
      </c>
      <c r="E820" t="inlineStr">
        <is>
          <t>MALUNG-SÄLEN</t>
        </is>
      </c>
      <c r="G820" t="n">
        <v>2.1</v>
      </c>
      <c r="H820" t="n">
        <v>0</v>
      </c>
      <c r="I820" t="n">
        <v>0</v>
      </c>
      <c r="J820" t="n">
        <v>0</v>
      </c>
      <c r="K820" t="n">
        <v>0</v>
      </c>
      <c r="L820" t="n">
        <v>0</v>
      </c>
      <c r="M820" t="n">
        <v>0</v>
      </c>
      <c r="N820" t="n">
        <v>0</v>
      </c>
      <c r="O820" t="n">
        <v>0</v>
      </c>
      <c r="P820" t="n">
        <v>0</v>
      </c>
      <c r="Q820" t="n">
        <v>0</v>
      </c>
      <c r="R820" s="2" t="inlineStr"/>
    </row>
    <row r="821" ht="15" customHeight="1">
      <c r="A821" t="inlineStr">
        <is>
          <t>A 49480-2023</t>
        </is>
      </c>
      <c r="B821" s="1" t="n">
        <v>45211</v>
      </c>
      <c r="C821" s="1" t="n">
        <v>45828</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50039-2023</t>
        </is>
      </c>
      <c r="B822" s="1" t="n">
        <v>45215</v>
      </c>
      <c r="C822" s="1" t="n">
        <v>45828</v>
      </c>
      <c r="D822" t="inlineStr">
        <is>
          <t>DALARNAS LÄN</t>
        </is>
      </c>
      <c r="E822" t="inlineStr">
        <is>
          <t>MALUNG-SÄLEN</t>
        </is>
      </c>
      <c r="G822" t="n">
        <v>1.1</v>
      </c>
      <c r="H822" t="n">
        <v>0</v>
      </c>
      <c r="I822" t="n">
        <v>0</v>
      </c>
      <c r="J822" t="n">
        <v>0</v>
      </c>
      <c r="K822" t="n">
        <v>0</v>
      </c>
      <c r="L822" t="n">
        <v>0</v>
      </c>
      <c r="M822" t="n">
        <v>0</v>
      </c>
      <c r="N822" t="n">
        <v>0</v>
      </c>
      <c r="O822" t="n">
        <v>0</v>
      </c>
      <c r="P822" t="n">
        <v>0</v>
      </c>
      <c r="Q822" t="n">
        <v>0</v>
      </c>
      <c r="R822" s="2" t="inlineStr"/>
    </row>
    <row r="823" ht="15" customHeight="1">
      <c r="A823" t="inlineStr">
        <is>
          <t>A 50029-2023</t>
        </is>
      </c>
      <c r="B823" s="1" t="n">
        <v>45215</v>
      </c>
      <c r="C823" s="1" t="n">
        <v>45828</v>
      </c>
      <c r="D823" t="inlineStr">
        <is>
          <t>DALARNAS LÄN</t>
        </is>
      </c>
      <c r="E823" t="inlineStr">
        <is>
          <t>MALUNG-SÄLEN</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52028-2023</t>
        </is>
      </c>
      <c r="B824" s="1" t="n">
        <v>45216</v>
      </c>
      <c r="C824" s="1" t="n">
        <v>45828</v>
      </c>
      <c r="D824" t="inlineStr">
        <is>
          <t>DALARNAS LÄN</t>
        </is>
      </c>
      <c r="E824" t="inlineStr">
        <is>
          <t>MALUNG-SÄLEN</t>
        </is>
      </c>
      <c r="G824" t="n">
        <v>5.3</v>
      </c>
      <c r="H824" t="n">
        <v>0</v>
      </c>
      <c r="I824" t="n">
        <v>0</v>
      </c>
      <c r="J824" t="n">
        <v>0</v>
      </c>
      <c r="K824" t="n">
        <v>0</v>
      </c>
      <c r="L824" t="n">
        <v>0</v>
      </c>
      <c r="M824" t="n">
        <v>0</v>
      </c>
      <c r="N824" t="n">
        <v>0</v>
      </c>
      <c r="O824" t="n">
        <v>0</v>
      </c>
      <c r="P824" t="n">
        <v>0</v>
      </c>
      <c r="Q824" t="n">
        <v>0</v>
      </c>
      <c r="R824" s="2" t="inlineStr"/>
    </row>
    <row r="825" ht="15" customHeight="1">
      <c r="A825" t="inlineStr">
        <is>
          <t>A 51975-2023</t>
        </is>
      </c>
      <c r="B825" s="1" t="n">
        <v>45219</v>
      </c>
      <c r="C825" s="1" t="n">
        <v>45828</v>
      </c>
      <c r="D825" t="inlineStr">
        <is>
          <t>DALARNAS LÄN</t>
        </is>
      </c>
      <c r="E825" t="inlineStr">
        <is>
          <t>MALUNG-SÄLEN</t>
        </is>
      </c>
      <c r="G825" t="n">
        <v>1</v>
      </c>
      <c r="H825" t="n">
        <v>0</v>
      </c>
      <c r="I825" t="n">
        <v>0</v>
      </c>
      <c r="J825" t="n">
        <v>0</v>
      </c>
      <c r="K825" t="n">
        <v>0</v>
      </c>
      <c r="L825" t="n">
        <v>0</v>
      </c>
      <c r="M825" t="n">
        <v>0</v>
      </c>
      <c r="N825" t="n">
        <v>0</v>
      </c>
      <c r="O825" t="n">
        <v>0</v>
      </c>
      <c r="P825" t="n">
        <v>0</v>
      </c>
      <c r="Q825" t="n">
        <v>0</v>
      </c>
      <c r="R825" s="2" t="inlineStr"/>
    </row>
    <row r="826" ht="15" customHeight="1">
      <c r="A826" t="inlineStr">
        <is>
          <t>A 51301-2023</t>
        </is>
      </c>
      <c r="B826" s="1" t="n">
        <v>45219</v>
      </c>
      <c r="C826" s="1" t="n">
        <v>45828</v>
      </c>
      <c r="D826" t="inlineStr">
        <is>
          <t>DALARNAS LÄN</t>
        </is>
      </c>
      <c r="E826" t="inlineStr">
        <is>
          <t>MALUNG-SÄLEN</t>
        </is>
      </c>
      <c r="G826" t="n">
        <v>6.2</v>
      </c>
      <c r="H826" t="n">
        <v>0</v>
      </c>
      <c r="I826" t="n">
        <v>0</v>
      </c>
      <c r="J826" t="n">
        <v>0</v>
      </c>
      <c r="K826" t="n">
        <v>0</v>
      </c>
      <c r="L826" t="n">
        <v>0</v>
      </c>
      <c r="M826" t="n">
        <v>0</v>
      </c>
      <c r="N826" t="n">
        <v>0</v>
      </c>
      <c r="O826" t="n">
        <v>0</v>
      </c>
      <c r="P826" t="n">
        <v>0</v>
      </c>
      <c r="Q826" t="n">
        <v>0</v>
      </c>
      <c r="R826" s="2" t="inlineStr"/>
    </row>
    <row r="827" ht="15" customHeight="1">
      <c r="A827" t="inlineStr">
        <is>
          <t>A 51295-2023</t>
        </is>
      </c>
      <c r="B827" s="1" t="n">
        <v>45219</v>
      </c>
      <c r="C827" s="1" t="n">
        <v>45828</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52004-2023</t>
        </is>
      </c>
      <c r="B828" s="1" t="n">
        <v>45219</v>
      </c>
      <c r="C828" s="1" t="n">
        <v>45828</v>
      </c>
      <c r="D828" t="inlineStr">
        <is>
          <t>DALARNAS LÄN</t>
        </is>
      </c>
      <c r="E828" t="inlineStr">
        <is>
          <t>MALUNG-SÄLEN</t>
        </is>
      </c>
      <c r="G828" t="n">
        <v>1.6</v>
      </c>
      <c r="H828" t="n">
        <v>0</v>
      </c>
      <c r="I828" t="n">
        <v>0</v>
      </c>
      <c r="J828" t="n">
        <v>0</v>
      </c>
      <c r="K828" t="n">
        <v>0</v>
      </c>
      <c r="L828" t="n">
        <v>0</v>
      </c>
      <c r="M828" t="n">
        <v>0</v>
      </c>
      <c r="N828" t="n">
        <v>0</v>
      </c>
      <c r="O828" t="n">
        <v>0</v>
      </c>
      <c r="P828" t="n">
        <v>0</v>
      </c>
      <c r="Q828" t="n">
        <v>0</v>
      </c>
      <c r="R828" s="2" t="inlineStr"/>
    </row>
    <row r="829" ht="15" customHeight="1">
      <c r="A829" t="inlineStr">
        <is>
          <t>A 51452-2023</t>
        </is>
      </c>
      <c r="B829" s="1" t="n">
        <v>45220</v>
      </c>
      <c r="C829" s="1" t="n">
        <v>45828</v>
      </c>
      <c r="D829" t="inlineStr">
        <is>
          <t>DALARNAS LÄN</t>
        </is>
      </c>
      <c r="E829" t="inlineStr">
        <is>
          <t>MALUNG-SÄLEN</t>
        </is>
      </c>
      <c r="G829" t="n">
        <v>6.4</v>
      </c>
      <c r="H829" t="n">
        <v>0</v>
      </c>
      <c r="I829" t="n">
        <v>0</v>
      </c>
      <c r="J829" t="n">
        <v>0</v>
      </c>
      <c r="K829" t="n">
        <v>0</v>
      </c>
      <c r="L829" t="n">
        <v>0</v>
      </c>
      <c r="M829" t="n">
        <v>0</v>
      </c>
      <c r="N829" t="n">
        <v>0</v>
      </c>
      <c r="O829" t="n">
        <v>0</v>
      </c>
      <c r="P829" t="n">
        <v>0</v>
      </c>
      <c r="Q829" t="n">
        <v>0</v>
      </c>
      <c r="R829" s="2" t="inlineStr"/>
    </row>
    <row r="830" ht="15" customHeight="1">
      <c r="A830" t="inlineStr">
        <is>
          <t>A 51900-2023</t>
        </is>
      </c>
      <c r="B830" s="1" t="n">
        <v>45223</v>
      </c>
      <c r="C830" s="1" t="n">
        <v>45828</v>
      </c>
      <c r="D830" t="inlineStr">
        <is>
          <t>DALARNAS LÄN</t>
        </is>
      </c>
      <c r="E830" t="inlineStr">
        <is>
          <t>MALUNG-SÄLEN</t>
        </is>
      </c>
      <c r="F830" t="inlineStr">
        <is>
          <t>Allmännings- och besparingsskogar</t>
        </is>
      </c>
      <c r="G830" t="n">
        <v>12.4</v>
      </c>
      <c r="H830" t="n">
        <v>0</v>
      </c>
      <c r="I830" t="n">
        <v>0</v>
      </c>
      <c r="J830" t="n">
        <v>0</v>
      </c>
      <c r="K830" t="n">
        <v>0</v>
      </c>
      <c r="L830" t="n">
        <v>0</v>
      </c>
      <c r="M830" t="n">
        <v>0</v>
      </c>
      <c r="N830" t="n">
        <v>0</v>
      </c>
      <c r="O830" t="n">
        <v>0</v>
      </c>
      <c r="P830" t="n">
        <v>0</v>
      </c>
      <c r="Q830" t="n">
        <v>0</v>
      </c>
      <c r="R830" s="2" t="inlineStr"/>
    </row>
    <row r="831" ht="15" customHeight="1">
      <c r="A831" t="inlineStr">
        <is>
          <t>A 52085-2023</t>
        </is>
      </c>
      <c r="B831" s="1" t="n">
        <v>45223</v>
      </c>
      <c r="C831" s="1" t="n">
        <v>45828</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51901-2023</t>
        </is>
      </c>
      <c r="B832" s="1" t="n">
        <v>45223</v>
      </c>
      <c r="C832" s="1" t="n">
        <v>45828</v>
      </c>
      <c r="D832" t="inlineStr">
        <is>
          <t>DALARNAS LÄN</t>
        </is>
      </c>
      <c r="E832" t="inlineStr">
        <is>
          <t>MALUNG-SÄLEN</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52065-2023</t>
        </is>
      </c>
      <c r="B833" s="1" t="n">
        <v>45223</v>
      </c>
      <c r="C833" s="1" t="n">
        <v>45828</v>
      </c>
      <c r="D833" t="inlineStr">
        <is>
          <t>DALARNAS LÄN</t>
        </is>
      </c>
      <c r="E833" t="inlineStr">
        <is>
          <t>MALUNG-SÄLEN</t>
        </is>
      </c>
      <c r="G833" t="n">
        <v>18.4</v>
      </c>
      <c r="H833" t="n">
        <v>0</v>
      </c>
      <c r="I833" t="n">
        <v>0</v>
      </c>
      <c r="J833" t="n">
        <v>0</v>
      </c>
      <c r="K833" t="n">
        <v>0</v>
      </c>
      <c r="L833" t="n">
        <v>0</v>
      </c>
      <c r="M833" t="n">
        <v>0</v>
      </c>
      <c r="N833" t="n">
        <v>0</v>
      </c>
      <c r="O833" t="n">
        <v>0</v>
      </c>
      <c r="P833" t="n">
        <v>0</v>
      </c>
      <c r="Q833" t="n">
        <v>0</v>
      </c>
      <c r="R833" s="2" t="inlineStr"/>
    </row>
    <row r="834" ht="15" customHeight="1">
      <c r="A834" t="inlineStr">
        <is>
          <t>A 52323-2023</t>
        </is>
      </c>
      <c r="B834" s="1" t="n">
        <v>45224</v>
      </c>
      <c r="C834" s="1" t="n">
        <v>45828</v>
      </c>
      <c r="D834" t="inlineStr">
        <is>
          <t>DALARNAS LÄN</t>
        </is>
      </c>
      <c r="E834" t="inlineStr">
        <is>
          <t>MALUNG-SÄLEN</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52418-2023</t>
        </is>
      </c>
      <c r="B835" s="1" t="n">
        <v>45225</v>
      </c>
      <c r="C835" s="1" t="n">
        <v>45828</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52429-2023</t>
        </is>
      </c>
      <c r="B836" s="1" t="n">
        <v>45225</v>
      </c>
      <c r="C836" s="1" t="n">
        <v>45828</v>
      </c>
      <c r="D836" t="inlineStr">
        <is>
          <t>DALARNAS LÄN</t>
        </is>
      </c>
      <c r="E836" t="inlineStr">
        <is>
          <t>MALUNG-SÄLEN</t>
        </is>
      </c>
      <c r="G836" t="n">
        <v>0.4</v>
      </c>
      <c r="H836" t="n">
        <v>0</v>
      </c>
      <c r="I836" t="n">
        <v>0</v>
      </c>
      <c r="J836" t="n">
        <v>0</v>
      </c>
      <c r="K836" t="n">
        <v>0</v>
      </c>
      <c r="L836" t="n">
        <v>0</v>
      </c>
      <c r="M836" t="n">
        <v>0</v>
      </c>
      <c r="N836" t="n">
        <v>0</v>
      </c>
      <c r="O836" t="n">
        <v>0</v>
      </c>
      <c r="P836" t="n">
        <v>0</v>
      </c>
      <c r="Q836" t="n">
        <v>0</v>
      </c>
      <c r="R836" s="2" t="inlineStr"/>
    </row>
    <row r="837" ht="15" customHeight="1">
      <c r="A837" t="inlineStr">
        <is>
          <t>A 52557-2023</t>
        </is>
      </c>
      <c r="B837" s="1" t="n">
        <v>45225</v>
      </c>
      <c r="C837" s="1" t="n">
        <v>45828</v>
      </c>
      <c r="D837" t="inlineStr">
        <is>
          <t>DALARNAS LÄN</t>
        </is>
      </c>
      <c r="E837" t="inlineStr">
        <is>
          <t>MALUNG-SÄLEN</t>
        </is>
      </c>
      <c r="F837" t="inlineStr">
        <is>
          <t>Allmännings- och besparingsskogar</t>
        </is>
      </c>
      <c r="G837" t="n">
        <v>38.6</v>
      </c>
      <c r="H837" t="n">
        <v>0</v>
      </c>
      <c r="I837" t="n">
        <v>0</v>
      </c>
      <c r="J837" t="n">
        <v>0</v>
      </c>
      <c r="K837" t="n">
        <v>0</v>
      </c>
      <c r="L837" t="n">
        <v>0</v>
      </c>
      <c r="M837" t="n">
        <v>0</v>
      </c>
      <c r="N837" t="n">
        <v>0</v>
      </c>
      <c r="O837" t="n">
        <v>0</v>
      </c>
      <c r="P837" t="n">
        <v>0</v>
      </c>
      <c r="Q837" t="n">
        <v>0</v>
      </c>
      <c r="R837" s="2" t="inlineStr"/>
    </row>
    <row r="838" ht="15" customHeight="1">
      <c r="A838" t="inlineStr">
        <is>
          <t>A 52576-2023</t>
        </is>
      </c>
      <c r="B838" s="1" t="n">
        <v>45225</v>
      </c>
      <c r="C838" s="1" t="n">
        <v>45828</v>
      </c>
      <c r="D838" t="inlineStr">
        <is>
          <t>DALARNAS LÄN</t>
        </is>
      </c>
      <c r="E838" t="inlineStr">
        <is>
          <t>MALUNG-SÄLEN</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52526-2023</t>
        </is>
      </c>
      <c r="B839" s="1" t="n">
        <v>45225</v>
      </c>
      <c r="C839" s="1" t="n">
        <v>45828</v>
      </c>
      <c r="D839" t="inlineStr">
        <is>
          <t>DALARNAS LÄN</t>
        </is>
      </c>
      <c r="E839" t="inlineStr">
        <is>
          <t>MALUNG-SÄLEN</t>
        </is>
      </c>
      <c r="F839" t="inlineStr">
        <is>
          <t>Allmännings- och besparingsskogar</t>
        </is>
      </c>
      <c r="G839" t="n">
        <v>13.7</v>
      </c>
      <c r="H839" t="n">
        <v>0</v>
      </c>
      <c r="I839" t="n">
        <v>0</v>
      </c>
      <c r="J839" t="n">
        <v>0</v>
      </c>
      <c r="K839" t="n">
        <v>0</v>
      </c>
      <c r="L839" t="n">
        <v>0</v>
      </c>
      <c r="M839" t="n">
        <v>0</v>
      </c>
      <c r="N839" t="n">
        <v>0</v>
      </c>
      <c r="O839" t="n">
        <v>0</v>
      </c>
      <c r="P839" t="n">
        <v>0</v>
      </c>
      <c r="Q839" t="n">
        <v>0</v>
      </c>
      <c r="R839" s="2" t="inlineStr"/>
    </row>
    <row r="840" ht="15" customHeight="1">
      <c r="A840" t="inlineStr">
        <is>
          <t>A 52552-2023</t>
        </is>
      </c>
      <c r="B840" s="1" t="n">
        <v>45225</v>
      </c>
      <c r="C840" s="1" t="n">
        <v>45828</v>
      </c>
      <c r="D840" t="inlineStr">
        <is>
          <t>DALARNAS LÄN</t>
        </is>
      </c>
      <c r="E840" t="inlineStr">
        <is>
          <t>MALUNG-SÄLEN</t>
        </is>
      </c>
      <c r="F840" t="inlineStr">
        <is>
          <t>Allmännings- och besparingsskogar</t>
        </is>
      </c>
      <c r="G840" t="n">
        <v>6.8</v>
      </c>
      <c r="H840" t="n">
        <v>0</v>
      </c>
      <c r="I840" t="n">
        <v>0</v>
      </c>
      <c r="J840" t="n">
        <v>0</v>
      </c>
      <c r="K840" t="n">
        <v>0</v>
      </c>
      <c r="L840" t="n">
        <v>0</v>
      </c>
      <c r="M840" t="n">
        <v>0</v>
      </c>
      <c r="N840" t="n">
        <v>0</v>
      </c>
      <c r="O840" t="n">
        <v>0</v>
      </c>
      <c r="P840" t="n">
        <v>0</v>
      </c>
      <c r="Q840" t="n">
        <v>0</v>
      </c>
      <c r="R840" s="2" t="inlineStr"/>
    </row>
    <row r="841" ht="15" customHeight="1">
      <c r="A841" t="inlineStr">
        <is>
          <t>A 52579-2023</t>
        </is>
      </c>
      <c r="B841" s="1" t="n">
        <v>45225</v>
      </c>
      <c r="C841" s="1" t="n">
        <v>45828</v>
      </c>
      <c r="D841" t="inlineStr">
        <is>
          <t>DALARNAS LÄN</t>
        </is>
      </c>
      <c r="E841" t="inlineStr">
        <is>
          <t>MALUNG-SÄLEN</t>
        </is>
      </c>
      <c r="G841" t="n">
        <v>0.5</v>
      </c>
      <c r="H841" t="n">
        <v>0</v>
      </c>
      <c r="I841" t="n">
        <v>0</v>
      </c>
      <c r="J841" t="n">
        <v>0</v>
      </c>
      <c r="K841" t="n">
        <v>0</v>
      </c>
      <c r="L841" t="n">
        <v>0</v>
      </c>
      <c r="M841" t="n">
        <v>0</v>
      </c>
      <c r="N841" t="n">
        <v>0</v>
      </c>
      <c r="O841" t="n">
        <v>0</v>
      </c>
      <c r="P841" t="n">
        <v>0</v>
      </c>
      <c r="Q841" t="n">
        <v>0</v>
      </c>
      <c r="R841" s="2" t="inlineStr"/>
    </row>
    <row r="842" ht="15" customHeight="1">
      <c r="A842" t="inlineStr">
        <is>
          <t>A 52507-2023</t>
        </is>
      </c>
      <c r="B842" s="1" t="n">
        <v>45225</v>
      </c>
      <c r="C842" s="1" t="n">
        <v>45828</v>
      </c>
      <c r="D842" t="inlineStr">
        <is>
          <t>DALARNAS LÄN</t>
        </is>
      </c>
      <c r="E842" t="inlineStr">
        <is>
          <t>MALUNG-SÄLEN</t>
        </is>
      </c>
      <c r="G842" t="n">
        <v>2.5</v>
      </c>
      <c r="H842" t="n">
        <v>0</v>
      </c>
      <c r="I842" t="n">
        <v>0</v>
      </c>
      <c r="J842" t="n">
        <v>0</v>
      </c>
      <c r="K842" t="n">
        <v>0</v>
      </c>
      <c r="L842" t="n">
        <v>0</v>
      </c>
      <c r="M842" t="n">
        <v>0</v>
      </c>
      <c r="N842" t="n">
        <v>0</v>
      </c>
      <c r="O842" t="n">
        <v>0</v>
      </c>
      <c r="P842" t="n">
        <v>0</v>
      </c>
      <c r="Q842" t="n">
        <v>0</v>
      </c>
      <c r="R842" s="2" t="inlineStr"/>
    </row>
    <row r="843" ht="15" customHeight="1">
      <c r="A843" t="inlineStr">
        <is>
          <t>A 52578-2023</t>
        </is>
      </c>
      <c r="B843" s="1" t="n">
        <v>45225</v>
      </c>
      <c r="C843" s="1" t="n">
        <v>45828</v>
      </c>
      <c r="D843" t="inlineStr">
        <is>
          <t>DALARNAS LÄN</t>
        </is>
      </c>
      <c r="E843" t="inlineStr">
        <is>
          <t>MALUNG-SÄLEN</t>
        </is>
      </c>
      <c r="F843" t="inlineStr">
        <is>
          <t>Allmännings- och besparingsskogar</t>
        </is>
      </c>
      <c r="G843" t="n">
        <v>52.2</v>
      </c>
      <c r="H843" t="n">
        <v>0</v>
      </c>
      <c r="I843" t="n">
        <v>0</v>
      </c>
      <c r="J843" t="n">
        <v>0</v>
      </c>
      <c r="K843" t="n">
        <v>0</v>
      </c>
      <c r="L843" t="n">
        <v>0</v>
      </c>
      <c r="M843" t="n">
        <v>0</v>
      </c>
      <c r="N843" t="n">
        <v>0</v>
      </c>
      <c r="O843" t="n">
        <v>0</v>
      </c>
      <c r="P843" t="n">
        <v>0</v>
      </c>
      <c r="Q843" t="n">
        <v>0</v>
      </c>
      <c r="R843" s="2" t="inlineStr"/>
    </row>
    <row r="844" ht="15" customHeight="1">
      <c r="A844" t="inlineStr">
        <is>
          <t>A 52582-2023</t>
        </is>
      </c>
      <c r="B844" s="1" t="n">
        <v>45225</v>
      </c>
      <c r="C844" s="1" t="n">
        <v>45828</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54454-2023</t>
        </is>
      </c>
      <c r="B845" s="1" t="n">
        <v>45226</v>
      </c>
      <c r="C845" s="1" t="n">
        <v>45828</v>
      </c>
      <c r="D845" t="inlineStr">
        <is>
          <t>DALARNAS LÄN</t>
        </is>
      </c>
      <c r="E845" t="inlineStr">
        <is>
          <t>MALUNG-SÄLEN</t>
        </is>
      </c>
      <c r="G845" t="n">
        <v>1.8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v>
      </c>
      <c r="C846" s="1" t="n">
        <v>45828</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52942-2023</t>
        </is>
      </c>
      <c r="B847" s="1" t="n">
        <v>45226</v>
      </c>
      <c r="C847" s="1" t="n">
        <v>45828</v>
      </c>
      <c r="D847" t="inlineStr">
        <is>
          <t>DALARNAS LÄN</t>
        </is>
      </c>
      <c r="E847" t="inlineStr">
        <is>
          <t>MALUNG-SÄLEN</t>
        </is>
      </c>
      <c r="G847" t="n">
        <v>0.7</v>
      </c>
      <c r="H847" t="n">
        <v>0</v>
      </c>
      <c r="I847" t="n">
        <v>0</v>
      </c>
      <c r="J847" t="n">
        <v>0</v>
      </c>
      <c r="K847" t="n">
        <v>0</v>
      </c>
      <c r="L847" t="n">
        <v>0</v>
      </c>
      <c r="M847" t="n">
        <v>0</v>
      </c>
      <c r="N847" t="n">
        <v>0</v>
      </c>
      <c r="O847" t="n">
        <v>0</v>
      </c>
      <c r="P847" t="n">
        <v>0</v>
      </c>
      <c r="Q847" t="n">
        <v>0</v>
      </c>
      <c r="R847" s="2" t="inlineStr"/>
    </row>
    <row r="848" ht="15" customHeight="1">
      <c r="A848" t="inlineStr">
        <is>
          <t>A 52987-2023</t>
        </is>
      </c>
      <c r="B848" s="1" t="n">
        <v>45226</v>
      </c>
      <c r="C848" s="1" t="n">
        <v>45828</v>
      </c>
      <c r="D848" t="inlineStr">
        <is>
          <t>DALARNAS LÄN</t>
        </is>
      </c>
      <c r="E848" t="inlineStr">
        <is>
          <t>MALUNG-SÄLEN</t>
        </is>
      </c>
      <c r="G848" t="n">
        <v>12</v>
      </c>
      <c r="H848" t="n">
        <v>0</v>
      </c>
      <c r="I848" t="n">
        <v>0</v>
      </c>
      <c r="J848" t="n">
        <v>0</v>
      </c>
      <c r="K848" t="n">
        <v>0</v>
      </c>
      <c r="L848" t="n">
        <v>0</v>
      </c>
      <c r="M848" t="n">
        <v>0</v>
      </c>
      <c r="N848" t="n">
        <v>0</v>
      </c>
      <c r="O848" t="n">
        <v>0</v>
      </c>
      <c r="P848" t="n">
        <v>0</v>
      </c>
      <c r="Q848" t="n">
        <v>0</v>
      </c>
      <c r="R848" s="2" t="inlineStr"/>
    </row>
    <row r="849" ht="15" customHeight="1">
      <c r="A849" t="inlineStr">
        <is>
          <t>A 52884-2023</t>
        </is>
      </c>
      <c r="B849" s="1" t="n">
        <v>45226</v>
      </c>
      <c r="C849" s="1" t="n">
        <v>45828</v>
      </c>
      <c r="D849" t="inlineStr">
        <is>
          <t>DALARNAS LÄN</t>
        </is>
      </c>
      <c r="E849" t="inlineStr">
        <is>
          <t>MALUNG-SÄLEN</t>
        </is>
      </c>
      <c r="G849" t="n">
        <v>5.6</v>
      </c>
      <c r="H849" t="n">
        <v>0</v>
      </c>
      <c r="I849" t="n">
        <v>0</v>
      </c>
      <c r="J849" t="n">
        <v>0</v>
      </c>
      <c r="K849" t="n">
        <v>0</v>
      </c>
      <c r="L849" t="n">
        <v>0</v>
      </c>
      <c r="M849" t="n">
        <v>0</v>
      </c>
      <c r="N849" t="n">
        <v>0</v>
      </c>
      <c r="O849" t="n">
        <v>0</v>
      </c>
      <c r="P849" t="n">
        <v>0</v>
      </c>
      <c r="Q849" t="n">
        <v>0</v>
      </c>
      <c r="R849" s="2" t="inlineStr"/>
    </row>
    <row r="850" ht="15" customHeight="1">
      <c r="A850" t="inlineStr">
        <is>
          <t>A 52857-2023</t>
        </is>
      </c>
      <c r="B850" s="1" t="n">
        <v>45226</v>
      </c>
      <c r="C850" s="1" t="n">
        <v>45828</v>
      </c>
      <c r="D850" t="inlineStr">
        <is>
          <t>DALARNAS LÄN</t>
        </is>
      </c>
      <c r="E850" t="inlineStr">
        <is>
          <t>MALUNG-SÄLEN</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53146-2023</t>
        </is>
      </c>
      <c r="B851" s="1" t="n">
        <v>45229</v>
      </c>
      <c r="C851" s="1" t="n">
        <v>45828</v>
      </c>
      <c r="D851" t="inlineStr">
        <is>
          <t>DALARNAS LÄN</t>
        </is>
      </c>
      <c r="E851" t="inlineStr">
        <is>
          <t>MALUNG-SÄLEN</t>
        </is>
      </c>
      <c r="F851" t="inlineStr">
        <is>
          <t>Övriga statliga verk och myndigheter</t>
        </is>
      </c>
      <c r="G851" t="n">
        <v>0.3</v>
      </c>
      <c r="H851" t="n">
        <v>0</v>
      </c>
      <c r="I851" t="n">
        <v>0</v>
      </c>
      <c r="J851" t="n">
        <v>0</v>
      </c>
      <c r="K851" t="n">
        <v>0</v>
      </c>
      <c r="L851" t="n">
        <v>0</v>
      </c>
      <c r="M851" t="n">
        <v>0</v>
      </c>
      <c r="N851" t="n">
        <v>0</v>
      </c>
      <c r="O851" t="n">
        <v>0</v>
      </c>
      <c r="P851" t="n">
        <v>0</v>
      </c>
      <c r="Q851" t="n">
        <v>0</v>
      </c>
      <c r="R851" s="2" t="inlineStr"/>
    </row>
    <row r="852" ht="15" customHeight="1">
      <c r="A852" t="inlineStr">
        <is>
          <t>A 53149-2023</t>
        </is>
      </c>
      <c r="B852" s="1" t="n">
        <v>45229</v>
      </c>
      <c r="C852" s="1" t="n">
        <v>45828</v>
      </c>
      <c r="D852" t="inlineStr">
        <is>
          <t>DALARNAS LÄN</t>
        </is>
      </c>
      <c r="E852" t="inlineStr">
        <is>
          <t>MALUNG-SÄLEN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53316-2023</t>
        </is>
      </c>
      <c r="B853" s="1" t="n">
        <v>45229</v>
      </c>
      <c r="C853" s="1" t="n">
        <v>45828</v>
      </c>
      <c r="D853" t="inlineStr">
        <is>
          <t>DALARNAS LÄN</t>
        </is>
      </c>
      <c r="E853" t="inlineStr">
        <is>
          <t>MALUNG-SÄLEN</t>
        </is>
      </c>
      <c r="F853" t="inlineStr">
        <is>
          <t>Bergvik skog öst AB</t>
        </is>
      </c>
      <c r="G853" t="n">
        <v>7.4</v>
      </c>
      <c r="H853" t="n">
        <v>0</v>
      </c>
      <c r="I853" t="n">
        <v>0</v>
      </c>
      <c r="J853" t="n">
        <v>0</v>
      </c>
      <c r="K853" t="n">
        <v>0</v>
      </c>
      <c r="L853" t="n">
        <v>0</v>
      </c>
      <c r="M853" t="n">
        <v>0</v>
      </c>
      <c r="N853" t="n">
        <v>0</v>
      </c>
      <c r="O853" t="n">
        <v>0</v>
      </c>
      <c r="P853" t="n">
        <v>0</v>
      </c>
      <c r="Q853" t="n">
        <v>0</v>
      </c>
      <c r="R853" s="2" t="inlineStr"/>
    </row>
    <row r="854" ht="15" customHeight="1">
      <c r="A854" t="inlineStr">
        <is>
          <t>A 53881-2023</t>
        </is>
      </c>
      <c r="B854" s="1" t="n">
        <v>45231</v>
      </c>
      <c r="C854" s="1" t="n">
        <v>45828</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54000-2023</t>
        </is>
      </c>
      <c r="B855" s="1" t="n">
        <v>45231</v>
      </c>
      <c r="C855" s="1" t="n">
        <v>45828</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53918-2023</t>
        </is>
      </c>
      <c r="B856" s="1" t="n">
        <v>45231</v>
      </c>
      <c r="C856" s="1" t="n">
        <v>45828</v>
      </c>
      <c r="D856" t="inlineStr">
        <is>
          <t>DALARNAS LÄN</t>
        </is>
      </c>
      <c r="E856" t="inlineStr">
        <is>
          <t>MALUNG-SÄLEN</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53984-2023</t>
        </is>
      </c>
      <c r="B857" s="1" t="n">
        <v>45231</v>
      </c>
      <c r="C857" s="1" t="n">
        <v>45828</v>
      </c>
      <c r="D857" t="inlineStr">
        <is>
          <t>DALARNAS LÄN</t>
        </is>
      </c>
      <c r="E857" t="inlineStr">
        <is>
          <t>MALUNG-SÄLEN</t>
        </is>
      </c>
      <c r="G857" t="n">
        <v>2.4</v>
      </c>
      <c r="H857" t="n">
        <v>0</v>
      </c>
      <c r="I857" t="n">
        <v>0</v>
      </c>
      <c r="J857" t="n">
        <v>0</v>
      </c>
      <c r="K857" t="n">
        <v>0</v>
      </c>
      <c r="L857" t="n">
        <v>0</v>
      </c>
      <c r="M857" t="n">
        <v>0</v>
      </c>
      <c r="N857" t="n">
        <v>0</v>
      </c>
      <c r="O857" t="n">
        <v>0</v>
      </c>
      <c r="P857" t="n">
        <v>0</v>
      </c>
      <c r="Q857" t="n">
        <v>0</v>
      </c>
      <c r="R857" s="2" t="inlineStr"/>
    </row>
    <row r="858" ht="15" customHeight="1">
      <c r="A858" t="inlineStr">
        <is>
          <t>A 54490-2023</t>
        </is>
      </c>
      <c r="B858" s="1" t="n">
        <v>45233</v>
      </c>
      <c r="C858" s="1" t="n">
        <v>45828</v>
      </c>
      <c r="D858" t="inlineStr">
        <is>
          <t>DALARNAS LÄN</t>
        </is>
      </c>
      <c r="E858" t="inlineStr">
        <is>
          <t>MALUNG-SÄLEN</t>
        </is>
      </c>
      <c r="G858" t="n">
        <v>5.7</v>
      </c>
      <c r="H858" t="n">
        <v>0</v>
      </c>
      <c r="I858" t="n">
        <v>0</v>
      </c>
      <c r="J858" t="n">
        <v>0</v>
      </c>
      <c r="K858" t="n">
        <v>0</v>
      </c>
      <c r="L858" t="n">
        <v>0</v>
      </c>
      <c r="M858" t="n">
        <v>0</v>
      </c>
      <c r="N858" t="n">
        <v>0</v>
      </c>
      <c r="O858" t="n">
        <v>0</v>
      </c>
      <c r="P858" t="n">
        <v>0</v>
      </c>
      <c r="Q858" t="n">
        <v>0</v>
      </c>
      <c r="R858" s="2" t="inlineStr"/>
    </row>
    <row r="859" ht="15" customHeight="1">
      <c r="A859" t="inlineStr">
        <is>
          <t>A 54842-2023</t>
        </is>
      </c>
      <c r="B859" s="1" t="n">
        <v>45236</v>
      </c>
      <c r="C859" s="1" t="n">
        <v>45828</v>
      </c>
      <c r="D859" t="inlineStr">
        <is>
          <t>DALARNAS LÄN</t>
        </is>
      </c>
      <c r="E859" t="inlineStr">
        <is>
          <t>MALUNG-SÄLEN</t>
        </is>
      </c>
      <c r="G859" t="n">
        <v>2</v>
      </c>
      <c r="H859" t="n">
        <v>0</v>
      </c>
      <c r="I859" t="n">
        <v>0</v>
      </c>
      <c r="J859" t="n">
        <v>0</v>
      </c>
      <c r="K859" t="n">
        <v>0</v>
      </c>
      <c r="L859" t="n">
        <v>0</v>
      </c>
      <c r="M859" t="n">
        <v>0</v>
      </c>
      <c r="N859" t="n">
        <v>0</v>
      </c>
      <c r="O859" t="n">
        <v>0</v>
      </c>
      <c r="P859" t="n">
        <v>0</v>
      </c>
      <c r="Q859" t="n">
        <v>0</v>
      </c>
      <c r="R859" s="2" t="inlineStr"/>
    </row>
    <row r="860" ht="15" customHeight="1">
      <c r="A860" t="inlineStr">
        <is>
          <t>A 54874-2023</t>
        </is>
      </c>
      <c r="B860" s="1" t="n">
        <v>45236</v>
      </c>
      <c r="C860" s="1" t="n">
        <v>45828</v>
      </c>
      <c r="D860" t="inlineStr">
        <is>
          <t>DALARNAS LÄN</t>
        </is>
      </c>
      <c r="E860" t="inlineStr">
        <is>
          <t>MALUNG-SÄLEN</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55209-2023</t>
        </is>
      </c>
      <c r="B861" s="1" t="n">
        <v>45237</v>
      </c>
      <c r="C861" s="1" t="n">
        <v>45828</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55204-2023</t>
        </is>
      </c>
      <c r="B862" s="1" t="n">
        <v>45237</v>
      </c>
      <c r="C862" s="1" t="n">
        <v>45828</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55280-2023</t>
        </is>
      </c>
      <c r="B863" s="1" t="n">
        <v>45237</v>
      </c>
      <c r="C863" s="1" t="n">
        <v>45828</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55202-2023</t>
        </is>
      </c>
      <c r="B864" s="1" t="n">
        <v>45237</v>
      </c>
      <c r="C864" s="1" t="n">
        <v>45828</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56552-2023</t>
        </is>
      </c>
      <c r="B865" s="1" t="n">
        <v>45237</v>
      </c>
      <c r="C865" s="1" t="n">
        <v>45828</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55579-2023</t>
        </is>
      </c>
      <c r="B866" s="1" t="n">
        <v>45238</v>
      </c>
      <c r="C866" s="1" t="n">
        <v>45828</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55572-2023</t>
        </is>
      </c>
      <c r="B867" s="1" t="n">
        <v>45238</v>
      </c>
      <c r="C867" s="1" t="n">
        <v>45828</v>
      </c>
      <c r="D867" t="inlineStr">
        <is>
          <t>DALARNAS LÄN</t>
        </is>
      </c>
      <c r="E867" t="inlineStr">
        <is>
          <t>MALUNG-SÄLEN</t>
        </is>
      </c>
      <c r="G867" t="n">
        <v>1.8</v>
      </c>
      <c r="H867" t="n">
        <v>0</v>
      </c>
      <c r="I867" t="n">
        <v>0</v>
      </c>
      <c r="J867" t="n">
        <v>0</v>
      </c>
      <c r="K867" t="n">
        <v>0</v>
      </c>
      <c r="L867" t="n">
        <v>0</v>
      </c>
      <c r="M867" t="n">
        <v>0</v>
      </c>
      <c r="N867" t="n">
        <v>0</v>
      </c>
      <c r="O867" t="n">
        <v>0</v>
      </c>
      <c r="P867" t="n">
        <v>0</v>
      </c>
      <c r="Q867" t="n">
        <v>0</v>
      </c>
      <c r="R867" s="2" t="inlineStr"/>
    </row>
    <row r="868" ht="15" customHeight="1">
      <c r="A868" t="inlineStr">
        <is>
          <t>A 55583-2023</t>
        </is>
      </c>
      <c r="B868" s="1" t="n">
        <v>45238</v>
      </c>
      <c r="C868" s="1" t="n">
        <v>45828</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55599-2023</t>
        </is>
      </c>
      <c r="B869" s="1" t="n">
        <v>45238</v>
      </c>
      <c r="C869" s="1" t="n">
        <v>45828</v>
      </c>
      <c r="D869" t="inlineStr">
        <is>
          <t>DALARNAS LÄN</t>
        </is>
      </c>
      <c r="E869" t="inlineStr">
        <is>
          <t>MALUNG-SÄLEN</t>
        </is>
      </c>
      <c r="G869" t="n">
        <v>1.3</v>
      </c>
      <c r="H869" t="n">
        <v>0</v>
      </c>
      <c r="I869" t="n">
        <v>0</v>
      </c>
      <c r="J869" t="n">
        <v>0</v>
      </c>
      <c r="K869" t="n">
        <v>0</v>
      </c>
      <c r="L869" t="n">
        <v>0</v>
      </c>
      <c r="M869" t="n">
        <v>0</v>
      </c>
      <c r="N869" t="n">
        <v>0</v>
      </c>
      <c r="O869" t="n">
        <v>0</v>
      </c>
      <c r="P869" t="n">
        <v>0</v>
      </c>
      <c r="Q869" t="n">
        <v>0</v>
      </c>
      <c r="R869" s="2" t="inlineStr"/>
    </row>
    <row r="870" ht="15" customHeight="1">
      <c r="A870" t="inlineStr">
        <is>
          <t>A 56388-2023</t>
        </is>
      </c>
      <c r="B870" s="1" t="n">
        <v>45243</v>
      </c>
      <c r="C870" s="1" t="n">
        <v>45828</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56395-2023</t>
        </is>
      </c>
      <c r="B871" s="1" t="n">
        <v>45243</v>
      </c>
      <c r="C871" s="1" t="n">
        <v>45828</v>
      </c>
      <c r="D871" t="inlineStr">
        <is>
          <t>DALARNAS LÄN</t>
        </is>
      </c>
      <c r="E871" t="inlineStr">
        <is>
          <t>MALUNG-SÄLEN</t>
        </is>
      </c>
      <c r="G871" t="n">
        <v>3.9</v>
      </c>
      <c r="H871" t="n">
        <v>0</v>
      </c>
      <c r="I871" t="n">
        <v>0</v>
      </c>
      <c r="J871" t="n">
        <v>0</v>
      </c>
      <c r="K871" t="n">
        <v>0</v>
      </c>
      <c r="L871" t="n">
        <v>0</v>
      </c>
      <c r="M871" t="n">
        <v>0</v>
      </c>
      <c r="N871" t="n">
        <v>0</v>
      </c>
      <c r="O871" t="n">
        <v>0</v>
      </c>
      <c r="P871" t="n">
        <v>0</v>
      </c>
      <c r="Q871" t="n">
        <v>0</v>
      </c>
      <c r="R871" s="2" t="inlineStr"/>
    </row>
    <row r="872" ht="15" customHeight="1">
      <c r="A872" t="inlineStr">
        <is>
          <t>A 56444-2023</t>
        </is>
      </c>
      <c r="B872" s="1" t="n">
        <v>45243</v>
      </c>
      <c r="C872" s="1" t="n">
        <v>45828</v>
      </c>
      <c r="D872" t="inlineStr">
        <is>
          <t>DALARNAS LÄN</t>
        </is>
      </c>
      <c r="E872" t="inlineStr">
        <is>
          <t>MALUNG-SÄLEN</t>
        </is>
      </c>
      <c r="G872" t="n">
        <v>5.6</v>
      </c>
      <c r="H872" t="n">
        <v>0</v>
      </c>
      <c r="I872" t="n">
        <v>0</v>
      </c>
      <c r="J872" t="n">
        <v>0</v>
      </c>
      <c r="K872" t="n">
        <v>0</v>
      </c>
      <c r="L872" t="n">
        <v>0</v>
      </c>
      <c r="M872" t="n">
        <v>0</v>
      </c>
      <c r="N872" t="n">
        <v>0</v>
      </c>
      <c r="O872" t="n">
        <v>0</v>
      </c>
      <c r="P872" t="n">
        <v>0</v>
      </c>
      <c r="Q872" t="n">
        <v>0</v>
      </c>
      <c r="R872" s="2" t="inlineStr"/>
    </row>
    <row r="873" ht="15" customHeight="1">
      <c r="A873" t="inlineStr">
        <is>
          <t>A 56412-2023</t>
        </is>
      </c>
      <c r="B873" s="1" t="n">
        <v>45243</v>
      </c>
      <c r="C873" s="1" t="n">
        <v>45828</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56405-2023</t>
        </is>
      </c>
      <c r="B874" s="1" t="n">
        <v>45243</v>
      </c>
      <c r="C874" s="1" t="n">
        <v>45828</v>
      </c>
      <c r="D874" t="inlineStr">
        <is>
          <t>DALARNAS LÄN</t>
        </is>
      </c>
      <c r="E874" t="inlineStr">
        <is>
          <t>MALUNG-SÄLEN</t>
        </is>
      </c>
      <c r="G874" t="n">
        <v>3</v>
      </c>
      <c r="H874" t="n">
        <v>0</v>
      </c>
      <c r="I874" t="n">
        <v>0</v>
      </c>
      <c r="J874" t="n">
        <v>0</v>
      </c>
      <c r="K874" t="n">
        <v>0</v>
      </c>
      <c r="L874" t="n">
        <v>0</v>
      </c>
      <c r="M874" t="n">
        <v>0</v>
      </c>
      <c r="N874" t="n">
        <v>0</v>
      </c>
      <c r="O874" t="n">
        <v>0</v>
      </c>
      <c r="P874" t="n">
        <v>0</v>
      </c>
      <c r="Q874" t="n">
        <v>0</v>
      </c>
      <c r="R874" s="2" t="inlineStr"/>
    </row>
    <row r="875" ht="15" customHeight="1">
      <c r="A875" t="inlineStr">
        <is>
          <t>A 56436-2023</t>
        </is>
      </c>
      <c r="B875" s="1" t="n">
        <v>45243</v>
      </c>
      <c r="C875" s="1" t="n">
        <v>45828</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45828</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56715-2023</t>
        </is>
      </c>
      <c r="B877" s="1" t="n">
        <v>45244</v>
      </c>
      <c r="C877" s="1" t="n">
        <v>45828</v>
      </c>
      <c r="D877" t="inlineStr">
        <is>
          <t>DALARNAS LÄN</t>
        </is>
      </c>
      <c r="E877" t="inlineStr">
        <is>
          <t>MALUNG-SÄLEN</t>
        </is>
      </c>
      <c r="G877" t="n">
        <v>0.9</v>
      </c>
      <c r="H877" t="n">
        <v>0</v>
      </c>
      <c r="I877" t="n">
        <v>0</v>
      </c>
      <c r="J877" t="n">
        <v>0</v>
      </c>
      <c r="K877" t="n">
        <v>0</v>
      </c>
      <c r="L877" t="n">
        <v>0</v>
      </c>
      <c r="M877" t="n">
        <v>0</v>
      </c>
      <c r="N877" t="n">
        <v>0</v>
      </c>
      <c r="O877" t="n">
        <v>0</v>
      </c>
      <c r="P877" t="n">
        <v>0</v>
      </c>
      <c r="Q877" t="n">
        <v>0</v>
      </c>
      <c r="R877" s="2" t="inlineStr"/>
    </row>
    <row r="878" ht="15" customHeight="1">
      <c r="A878" t="inlineStr">
        <is>
          <t>A 57322-2023</t>
        </is>
      </c>
      <c r="B878" s="1" t="n">
        <v>45245</v>
      </c>
      <c r="C878" s="1" t="n">
        <v>45828</v>
      </c>
      <c r="D878" t="inlineStr">
        <is>
          <t>DALARNAS LÄN</t>
        </is>
      </c>
      <c r="E878" t="inlineStr">
        <is>
          <t>MALUNG-SÄLEN</t>
        </is>
      </c>
      <c r="G878" t="n">
        <v>2.8</v>
      </c>
      <c r="H878" t="n">
        <v>0</v>
      </c>
      <c r="I878" t="n">
        <v>0</v>
      </c>
      <c r="J878" t="n">
        <v>0</v>
      </c>
      <c r="K878" t="n">
        <v>0</v>
      </c>
      <c r="L878" t="n">
        <v>0</v>
      </c>
      <c r="M878" t="n">
        <v>0</v>
      </c>
      <c r="N878" t="n">
        <v>0</v>
      </c>
      <c r="O878" t="n">
        <v>0</v>
      </c>
      <c r="P878" t="n">
        <v>0</v>
      </c>
      <c r="Q878" t="n">
        <v>0</v>
      </c>
      <c r="R878" s="2" t="inlineStr"/>
    </row>
    <row r="879" ht="15" customHeight="1">
      <c r="A879" t="inlineStr">
        <is>
          <t>A 57331-2023</t>
        </is>
      </c>
      <c r="B879" s="1" t="n">
        <v>45245</v>
      </c>
      <c r="C879" s="1" t="n">
        <v>45828</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58363-2023</t>
        </is>
      </c>
      <c r="B880" s="1" t="n">
        <v>45245</v>
      </c>
      <c r="C880" s="1" t="n">
        <v>45828</v>
      </c>
      <c r="D880" t="inlineStr">
        <is>
          <t>DALARNAS LÄN</t>
        </is>
      </c>
      <c r="E880" t="inlineStr">
        <is>
          <t>MALUNG-SÄLEN</t>
        </is>
      </c>
      <c r="G880" t="n">
        <v>3.6</v>
      </c>
      <c r="H880" t="n">
        <v>0</v>
      </c>
      <c r="I880" t="n">
        <v>0</v>
      </c>
      <c r="J880" t="n">
        <v>0</v>
      </c>
      <c r="K880" t="n">
        <v>0</v>
      </c>
      <c r="L880" t="n">
        <v>0</v>
      </c>
      <c r="M880" t="n">
        <v>0</v>
      </c>
      <c r="N880" t="n">
        <v>0</v>
      </c>
      <c r="O880" t="n">
        <v>0</v>
      </c>
      <c r="P880" t="n">
        <v>0</v>
      </c>
      <c r="Q880" t="n">
        <v>0</v>
      </c>
      <c r="R880" s="2" t="inlineStr"/>
    </row>
    <row r="881" ht="15" customHeight="1">
      <c r="A881" t="inlineStr">
        <is>
          <t>A 58375-2023</t>
        </is>
      </c>
      <c r="B881" s="1" t="n">
        <v>45245</v>
      </c>
      <c r="C881" s="1" t="n">
        <v>45828</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57474-2023</t>
        </is>
      </c>
      <c r="B882" s="1" t="n">
        <v>45246</v>
      </c>
      <c r="C882" s="1" t="n">
        <v>45828</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57829-2023</t>
        </is>
      </c>
      <c r="B883" s="1" t="n">
        <v>45247</v>
      </c>
      <c r="C883" s="1" t="n">
        <v>45828</v>
      </c>
      <c r="D883" t="inlineStr">
        <is>
          <t>DALARNAS LÄN</t>
        </is>
      </c>
      <c r="E883" t="inlineStr">
        <is>
          <t>MALUNG-SÄLEN</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58788-2023</t>
        </is>
      </c>
      <c r="B884" s="1" t="n">
        <v>45247</v>
      </c>
      <c r="C884" s="1" t="n">
        <v>45828</v>
      </c>
      <c r="D884" t="inlineStr">
        <is>
          <t>DALARNAS LÄN</t>
        </is>
      </c>
      <c r="E884" t="inlineStr">
        <is>
          <t>MALUNG-SÄLEN</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57895-2023</t>
        </is>
      </c>
      <c r="B885" s="1" t="n">
        <v>45247</v>
      </c>
      <c r="C885" s="1" t="n">
        <v>45828</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58779-2023</t>
        </is>
      </c>
      <c r="B886" s="1" t="n">
        <v>45252</v>
      </c>
      <c r="C886" s="1" t="n">
        <v>45828</v>
      </c>
      <c r="D886" t="inlineStr">
        <is>
          <t>DALARNAS LÄN</t>
        </is>
      </c>
      <c r="E886" t="inlineStr">
        <is>
          <t>MALUNG-SÄLEN</t>
        </is>
      </c>
      <c r="G886" t="n">
        <v>5.7</v>
      </c>
      <c r="H886" t="n">
        <v>0</v>
      </c>
      <c r="I886" t="n">
        <v>0</v>
      </c>
      <c r="J886" t="n">
        <v>0</v>
      </c>
      <c r="K886" t="n">
        <v>0</v>
      </c>
      <c r="L886" t="n">
        <v>0</v>
      </c>
      <c r="M886" t="n">
        <v>0</v>
      </c>
      <c r="N886" t="n">
        <v>0</v>
      </c>
      <c r="O886" t="n">
        <v>0</v>
      </c>
      <c r="P886" t="n">
        <v>0</v>
      </c>
      <c r="Q886" t="n">
        <v>0</v>
      </c>
      <c r="R886" s="2" t="inlineStr"/>
    </row>
    <row r="887" ht="15" customHeight="1">
      <c r="A887" t="inlineStr">
        <is>
          <t>A 58954-2023</t>
        </is>
      </c>
      <c r="B887" s="1" t="n">
        <v>45252</v>
      </c>
      <c r="C887" s="1" t="n">
        <v>45828</v>
      </c>
      <c r="D887" t="inlineStr">
        <is>
          <t>DALARNAS LÄN</t>
        </is>
      </c>
      <c r="E887" t="inlineStr">
        <is>
          <t>MALUNG-SÄLEN</t>
        </is>
      </c>
      <c r="G887" t="n">
        <v>2.3</v>
      </c>
      <c r="H887" t="n">
        <v>0</v>
      </c>
      <c r="I887" t="n">
        <v>0</v>
      </c>
      <c r="J887" t="n">
        <v>0</v>
      </c>
      <c r="K887" t="n">
        <v>0</v>
      </c>
      <c r="L887" t="n">
        <v>0</v>
      </c>
      <c r="M887" t="n">
        <v>0</v>
      </c>
      <c r="N887" t="n">
        <v>0</v>
      </c>
      <c r="O887" t="n">
        <v>0</v>
      </c>
      <c r="P887" t="n">
        <v>0</v>
      </c>
      <c r="Q887" t="n">
        <v>0</v>
      </c>
      <c r="R887" s="2" t="inlineStr"/>
    </row>
    <row r="888" ht="15" customHeight="1">
      <c r="A888" t="inlineStr">
        <is>
          <t>A 58956-2023</t>
        </is>
      </c>
      <c r="B888" s="1" t="n">
        <v>45252</v>
      </c>
      <c r="C888" s="1" t="n">
        <v>45828</v>
      </c>
      <c r="D888" t="inlineStr">
        <is>
          <t>DALARNAS LÄN</t>
        </is>
      </c>
      <c r="E888" t="inlineStr">
        <is>
          <t>MALUNG-SÄLEN</t>
        </is>
      </c>
      <c r="G888" t="n">
        <v>1.4</v>
      </c>
      <c r="H888" t="n">
        <v>0</v>
      </c>
      <c r="I888" t="n">
        <v>0</v>
      </c>
      <c r="J888" t="n">
        <v>0</v>
      </c>
      <c r="K888" t="n">
        <v>0</v>
      </c>
      <c r="L888" t="n">
        <v>0</v>
      </c>
      <c r="M888" t="n">
        <v>0</v>
      </c>
      <c r="N888" t="n">
        <v>0</v>
      </c>
      <c r="O888" t="n">
        <v>0</v>
      </c>
      <c r="P888" t="n">
        <v>0</v>
      </c>
      <c r="Q888" t="n">
        <v>0</v>
      </c>
      <c r="R888" s="2" t="inlineStr"/>
    </row>
    <row r="889" ht="15" customHeight="1">
      <c r="A889" t="inlineStr">
        <is>
          <t>A 59088-2023</t>
        </is>
      </c>
      <c r="B889" s="1" t="n">
        <v>45252</v>
      </c>
      <c r="C889" s="1" t="n">
        <v>45828</v>
      </c>
      <c r="D889" t="inlineStr">
        <is>
          <t>DALARNAS LÄN</t>
        </is>
      </c>
      <c r="E889" t="inlineStr">
        <is>
          <t>MALUNG-SÄLEN</t>
        </is>
      </c>
      <c r="G889" t="n">
        <v>5.8</v>
      </c>
      <c r="H889" t="n">
        <v>0</v>
      </c>
      <c r="I889" t="n">
        <v>0</v>
      </c>
      <c r="J889" t="n">
        <v>0</v>
      </c>
      <c r="K889" t="n">
        <v>0</v>
      </c>
      <c r="L889" t="n">
        <v>0</v>
      </c>
      <c r="M889" t="n">
        <v>0</v>
      </c>
      <c r="N889" t="n">
        <v>0</v>
      </c>
      <c r="O889" t="n">
        <v>0</v>
      </c>
      <c r="P889" t="n">
        <v>0</v>
      </c>
      <c r="Q889" t="n">
        <v>0</v>
      </c>
      <c r="R889" s="2" t="inlineStr"/>
    </row>
    <row r="890" ht="15" customHeight="1">
      <c r="A890" t="inlineStr">
        <is>
          <t>A 59089-2023</t>
        </is>
      </c>
      <c r="B890" s="1" t="n">
        <v>45252</v>
      </c>
      <c r="C890" s="1" t="n">
        <v>45828</v>
      </c>
      <c r="D890" t="inlineStr">
        <is>
          <t>DALARNAS LÄN</t>
        </is>
      </c>
      <c r="E890" t="inlineStr">
        <is>
          <t>MALUNG-SÄLEN</t>
        </is>
      </c>
      <c r="G890" t="n">
        <v>6.2</v>
      </c>
      <c r="H890" t="n">
        <v>0</v>
      </c>
      <c r="I890" t="n">
        <v>0</v>
      </c>
      <c r="J890" t="n">
        <v>0</v>
      </c>
      <c r="K890" t="n">
        <v>0</v>
      </c>
      <c r="L890" t="n">
        <v>0</v>
      </c>
      <c r="M890" t="n">
        <v>0</v>
      </c>
      <c r="N890" t="n">
        <v>0</v>
      </c>
      <c r="O890" t="n">
        <v>0</v>
      </c>
      <c r="P890" t="n">
        <v>0</v>
      </c>
      <c r="Q890" t="n">
        <v>0</v>
      </c>
      <c r="R890" s="2" t="inlineStr"/>
    </row>
    <row r="891" ht="15" customHeight="1">
      <c r="A891" t="inlineStr">
        <is>
          <t>A 59179-2023</t>
        </is>
      </c>
      <c r="B891" s="1" t="n">
        <v>45253</v>
      </c>
      <c r="C891" s="1" t="n">
        <v>45828</v>
      </c>
      <c r="D891" t="inlineStr">
        <is>
          <t>DALARNAS LÄN</t>
        </is>
      </c>
      <c r="E891" t="inlineStr">
        <is>
          <t>MALUNG-SÄLEN</t>
        </is>
      </c>
      <c r="F891" t="inlineStr">
        <is>
          <t>Bergvik skog öst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59290-2023</t>
        </is>
      </c>
      <c r="B892" s="1" t="n">
        <v>45253</v>
      </c>
      <c r="C892" s="1" t="n">
        <v>45828</v>
      </c>
      <c r="D892" t="inlineStr">
        <is>
          <t>DALARNAS LÄN</t>
        </is>
      </c>
      <c r="E892" t="inlineStr">
        <is>
          <t>MALUNG-SÄLEN</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59450-2023</t>
        </is>
      </c>
      <c r="B893" s="1" t="n">
        <v>45254</v>
      </c>
      <c r="C893" s="1" t="n">
        <v>45828</v>
      </c>
      <c r="D893" t="inlineStr">
        <is>
          <t>DALARNAS LÄN</t>
        </is>
      </c>
      <c r="E893" t="inlineStr">
        <is>
          <t>MALUNG-SÄLEN</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59862-2023</t>
        </is>
      </c>
      <c r="B894" s="1" t="n">
        <v>45257</v>
      </c>
      <c r="C894" s="1" t="n">
        <v>45828</v>
      </c>
      <c r="D894" t="inlineStr">
        <is>
          <t>DALARNAS LÄN</t>
        </is>
      </c>
      <c r="E894" t="inlineStr">
        <is>
          <t>MALUNG-SÄLEN</t>
        </is>
      </c>
      <c r="F894" t="inlineStr">
        <is>
          <t>Bergvik skog öst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59966-2023</t>
        </is>
      </c>
      <c r="B895" s="1" t="n">
        <v>45257</v>
      </c>
      <c r="C895" s="1" t="n">
        <v>45828</v>
      </c>
      <c r="D895" t="inlineStr">
        <is>
          <t>DALARNAS LÄN</t>
        </is>
      </c>
      <c r="E895" t="inlineStr">
        <is>
          <t>MALUNG-SÄLEN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59915-2023</t>
        </is>
      </c>
      <c r="B896" s="1" t="n">
        <v>45257</v>
      </c>
      <c r="C896" s="1" t="n">
        <v>45828</v>
      </c>
      <c r="D896" t="inlineStr">
        <is>
          <t>DALARNAS LÄN</t>
        </is>
      </c>
      <c r="E896" t="inlineStr">
        <is>
          <t>MALUNG-SÄLEN</t>
        </is>
      </c>
      <c r="G896" t="n">
        <v>0.5</v>
      </c>
      <c r="H896" t="n">
        <v>0</v>
      </c>
      <c r="I896" t="n">
        <v>0</v>
      </c>
      <c r="J896" t="n">
        <v>0</v>
      </c>
      <c r="K896" t="n">
        <v>0</v>
      </c>
      <c r="L896" t="n">
        <v>0</v>
      </c>
      <c r="M896" t="n">
        <v>0</v>
      </c>
      <c r="N896" t="n">
        <v>0</v>
      </c>
      <c r="O896" t="n">
        <v>0</v>
      </c>
      <c r="P896" t="n">
        <v>0</v>
      </c>
      <c r="Q896" t="n">
        <v>0</v>
      </c>
      <c r="R896" s="2" t="inlineStr"/>
    </row>
    <row r="897" ht="15" customHeight="1">
      <c r="A897" t="inlineStr">
        <is>
          <t>A 59954-2023</t>
        </is>
      </c>
      <c r="B897" s="1" t="n">
        <v>45257</v>
      </c>
      <c r="C897" s="1" t="n">
        <v>45828</v>
      </c>
      <c r="D897" t="inlineStr">
        <is>
          <t>DALARNAS LÄN</t>
        </is>
      </c>
      <c r="E897" t="inlineStr">
        <is>
          <t>MALUNG-SÄLEN</t>
        </is>
      </c>
      <c r="G897" t="n">
        <v>10.1</v>
      </c>
      <c r="H897" t="n">
        <v>0</v>
      </c>
      <c r="I897" t="n">
        <v>0</v>
      </c>
      <c r="J897" t="n">
        <v>0</v>
      </c>
      <c r="K897" t="n">
        <v>0</v>
      </c>
      <c r="L897" t="n">
        <v>0</v>
      </c>
      <c r="M897" t="n">
        <v>0</v>
      </c>
      <c r="N897" t="n">
        <v>0</v>
      </c>
      <c r="O897" t="n">
        <v>0</v>
      </c>
      <c r="P897" t="n">
        <v>0</v>
      </c>
      <c r="Q897" t="n">
        <v>0</v>
      </c>
      <c r="R897" s="2" t="inlineStr"/>
    </row>
    <row r="898" ht="15" customHeight="1">
      <c r="A898" t="inlineStr">
        <is>
          <t>A 60769-2023</t>
        </is>
      </c>
      <c r="B898" s="1" t="n">
        <v>45260</v>
      </c>
      <c r="C898" s="1" t="n">
        <v>45828</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60858-2023</t>
        </is>
      </c>
      <c r="B899" s="1" t="n">
        <v>45260</v>
      </c>
      <c r="C899" s="1" t="n">
        <v>45828</v>
      </c>
      <c r="D899" t="inlineStr">
        <is>
          <t>DALARNAS LÄN</t>
        </is>
      </c>
      <c r="E899" t="inlineStr">
        <is>
          <t>MALUNG-SÄLEN</t>
        </is>
      </c>
      <c r="G899" t="n">
        <v>8.9</v>
      </c>
      <c r="H899" t="n">
        <v>0</v>
      </c>
      <c r="I899" t="n">
        <v>0</v>
      </c>
      <c r="J899" t="n">
        <v>0</v>
      </c>
      <c r="K899" t="n">
        <v>0</v>
      </c>
      <c r="L899" t="n">
        <v>0</v>
      </c>
      <c r="M899" t="n">
        <v>0</v>
      </c>
      <c r="N899" t="n">
        <v>0</v>
      </c>
      <c r="O899" t="n">
        <v>0</v>
      </c>
      <c r="P899" t="n">
        <v>0</v>
      </c>
      <c r="Q899" t="n">
        <v>0</v>
      </c>
      <c r="R899" s="2" t="inlineStr"/>
    </row>
    <row r="900" ht="15" customHeight="1">
      <c r="A900" t="inlineStr">
        <is>
          <t>A 60857-2023</t>
        </is>
      </c>
      <c r="B900" s="1" t="n">
        <v>45260</v>
      </c>
      <c r="C900" s="1" t="n">
        <v>45828</v>
      </c>
      <c r="D900" t="inlineStr">
        <is>
          <t>DALARNAS LÄN</t>
        </is>
      </c>
      <c r="E900" t="inlineStr">
        <is>
          <t>MALUNG-SÄLEN</t>
        </is>
      </c>
      <c r="G900" t="n">
        <v>8</v>
      </c>
      <c r="H900" t="n">
        <v>0</v>
      </c>
      <c r="I900" t="n">
        <v>0</v>
      </c>
      <c r="J900" t="n">
        <v>0</v>
      </c>
      <c r="K900" t="n">
        <v>0</v>
      </c>
      <c r="L900" t="n">
        <v>0</v>
      </c>
      <c r="M900" t="n">
        <v>0</v>
      </c>
      <c r="N900" t="n">
        <v>0</v>
      </c>
      <c r="O900" t="n">
        <v>0</v>
      </c>
      <c r="P900" t="n">
        <v>0</v>
      </c>
      <c r="Q900" t="n">
        <v>0</v>
      </c>
      <c r="R900" s="2" t="inlineStr"/>
    </row>
    <row r="901" ht="15" customHeight="1">
      <c r="A901" t="inlineStr">
        <is>
          <t>A 61696-2023</t>
        </is>
      </c>
      <c r="B901" s="1" t="n">
        <v>45264</v>
      </c>
      <c r="C901" s="1" t="n">
        <v>45828</v>
      </c>
      <c r="D901" t="inlineStr">
        <is>
          <t>DALARNAS LÄN</t>
        </is>
      </c>
      <c r="E901" t="inlineStr">
        <is>
          <t>MALUNG-SÄLEN</t>
        </is>
      </c>
      <c r="G901" t="n">
        <v>3.8</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45828</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61980-2023</t>
        </is>
      </c>
      <c r="B903" s="1" t="n">
        <v>45266</v>
      </c>
      <c r="C903" s="1" t="n">
        <v>45828</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61930-2023</t>
        </is>
      </c>
      <c r="B904" s="1" t="n">
        <v>45266</v>
      </c>
      <c r="C904" s="1" t="n">
        <v>45828</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62264-2023</t>
        </is>
      </c>
      <c r="B905" s="1" t="n">
        <v>45267</v>
      </c>
      <c r="C905" s="1" t="n">
        <v>45828</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62588-2023</t>
        </is>
      </c>
      <c r="B906" s="1" t="n">
        <v>45270</v>
      </c>
      <c r="C906" s="1" t="n">
        <v>45828</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62793-2023</t>
        </is>
      </c>
      <c r="B907" s="1" t="n">
        <v>45271</v>
      </c>
      <c r="C907" s="1" t="n">
        <v>45828</v>
      </c>
      <c r="D907" t="inlineStr">
        <is>
          <t>DALARNAS LÄN</t>
        </is>
      </c>
      <c r="E907" t="inlineStr">
        <is>
          <t>MALUNG-SÄLEN</t>
        </is>
      </c>
      <c r="G907" t="n">
        <v>1.3</v>
      </c>
      <c r="H907" t="n">
        <v>0</v>
      </c>
      <c r="I907" t="n">
        <v>0</v>
      </c>
      <c r="J907" t="n">
        <v>0</v>
      </c>
      <c r="K907" t="n">
        <v>0</v>
      </c>
      <c r="L907" t="n">
        <v>0</v>
      </c>
      <c r="M907" t="n">
        <v>0</v>
      </c>
      <c r="N907" t="n">
        <v>0</v>
      </c>
      <c r="O907" t="n">
        <v>0</v>
      </c>
      <c r="P907" t="n">
        <v>0</v>
      </c>
      <c r="Q907" t="n">
        <v>0</v>
      </c>
      <c r="R907" s="2" t="inlineStr"/>
    </row>
    <row r="908" ht="15" customHeight="1">
      <c r="A908" t="inlineStr">
        <is>
          <t>A 62792-2023</t>
        </is>
      </c>
      <c r="B908" s="1" t="n">
        <v>45271</v>
      </c>
      <c r="C908" s="1" t="n">
        <v>45828</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63007-2023</t>
        </is>
      </c>
      <c r="B909" s="1" t="n">
        <v>45272</v>
      </c>
      <c r="C909" s="1" t="n">
        <v>45828</v>
      </c>
      <c r="D909" t="inlineStr">
        <is>
          <t>DALARNAS LÄN</t>
        </is>
      </c>
      <c r="E909" t="inlineStr">
        <is>
          <t>MALUNG-SÄLEN</t>
        </is>
      </c>
      <c r="G909" t="n">
        <v>2</v>
      </c>
      <c r="H909" t="n">
        <v>0</v>
      </c>
      <c r="I909" t="n">
        <v>0</v>
      </c>
      <c r="J909" t="n">
        <v>0</v>
      </c>
      <c r="K909" t="n">
        <v>0</v>
      </c>
      <c r="L909" t="n">
        <v>0</v>
      </c>
      <c r="M909" t="n">
        <v>0</v>
      </c>
      <c r="N909" t="n">
        <v>0</v>
      </c>
      <c r="O909" t="n">
        <v>0</v>
      </c>
      <c r="P909" t="n">
        <v>0</v>
      </c>
      <c r="Q909" t="n">
        <v>0</v>
      </c>
      <c r="R909" s="2" t="inlineStr"/>
    </row>
    <row r="910" ht="15" customHeight="1">
      <c r="A910" t="inlineStr">
        <is>
          <t>A 63103-2023</t>
        </is>
      </c>
      <c r="B910" s="1" t="n">
        <v>45273</v>
      </c>
      <c r="C910" s="1" t="n">
        <v>45828</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64424-2023</t>
        </is>
      </c>
      <c r="B911" s="1" t="n">
        <v>45280</v>
      </c>
      <c r="C911" s="1" t="n">
        <v>45828</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12-2024</t>
        </is>
      </c>
      <c r="B912" s="1" t="n">
        <v>45293</v>
      </c>
      <c r="C912" s="1" t="n">
        <v>45828</v>
      </c>
      <c r="D912" t="inlineStr">
        <is>
          <t>DALARNAS LÄN</t>
        </is>
      </c>
      <c r="E912" t="inlineStr">
        <is>
          <t>MALUNG-SÄLEN</t>
        </is>
      </c>
      <c r="G912" t="n">
        <v>2.4</v>
      </c>
      <c r="H912" t="n">
        <v>0</v>
      </c>
      <c r="I912" t="n">
        <v>0</v>
      </c>
      <c r="J912" t="n">
        <v>0</v>
      </c>
      <c r="K912" t="n">
        <v>0</v>
      </c>
      <c r="L912" t="n">
        <v>0</v>
      </c>
      <c r="M912" t="n">
        <v>0</v>
      </c>
      <c r="N912" t="n">
        <v>0</v>
      </c>
      <c r="O912" t="n">
        <v>0</v>
      </c>
      <c r="P912" t="n">
        <v>0</v>
      </c>
      <c r="Q912" t="n">
        <v>0</v>
      </c>
      <c r="R912" s="2" t="inlineStr"/>
    </row>
    <row r="913" ht="15" customHeight="1">
      <c r="A913" t="inlineStr">
        <is>
          <t>A 113-2024</t>
        </is>
      </c>
      <c r="B913" s="1" t="n">
        <v>45294</v>
      </c>
      <c r="C913" s="1" t="n">
        <v>45828</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114-2024</t>
        </is>
      </c>
      <c r="B914" s="1" t="n">
        <v>45294</v>
      </c>
      <c r="C914" s="1" t="n">
        <v>45828</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568-2024</t>
        </is>
      </c>
      <c r="B915" s="1" t="n">
        <v>45299</v>
      </c>
      <c r="C915" s="1" t="n">
        <v>45828</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971-2024</t>
        </is>
      </c>
      <c r="B916" s="1" t="n">
        <v>45301</v>
      </c>
      <c r="C916" s="1" t="n">
        <v>45828</v>
      </c>
      <c r="D916" t="inlineStr">
        <is>
          <t>DALARNAS LÄN</t>
        </is>
      </c>
      <c r="E916" t="inlineStr">
        <is>
          <t>MALUNG-SÄLEN</t>
        </is>
      </c>
      <c r="G916" t="n">
        <v>4.7</v>
      </c>
      <c r="H916" t="n">
        <v>0</v>
      </c>
      <c r="I916" t="n">
        <v>0</v>
      </c>
      <c r="J916" t="n">
        <v>0</v>
      </c>
      <c r="K916" t="n">
        <v>0</v>
      </c>
      <c r="L916" t="n">
        <v>0</v>
      </c>
      <c r="M916" t="n">
        <v>0</v>
      </c>
      <c r="N916" t="n">
        <v>0</v>
      </c>
      <c r="O916" t="n">
        <v>0</v>
      </c>
      <c r="P916" t="n">
        <v>0</v>
      </c>
      <c r="Q916" t="n">
        <v>0</v>
      </c>
      <c r="R916" s="2" t="inlineStr"/>
    </row>
    <row r="917" ht="15" customHeight="1">
      <c r="A917" t="inlineStr">
        <is>
          <t>A 979-2024</t>
        </is>
      </c>
      <c r="B917" s="1" t="n">
        <v>45301</v>
      </c>
      <c r="C917" s="1" t="n">
        <v>45828</v>
      </c>
      <c r="D917" t="inlineStr">
        <is>
          <t>DALARNAS LÄN</t>
        </is>
      </c>
      <c r="E917" t="inlineStr">
        <is>
          <t>MALUNG-SÄLEN</t>
        </is>
      </c>
      <c r="G917" t="n">
        <v>2.2</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v>
      </c>
      <c r="C918" s="1" t="n">
        <v>45828</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917-2024</t>
        </is>
      </c>
      <c r="B919" s="1" t="n">
        <v>45301</v>
      </c>
      <c r="C919" s="1" t="n">
        <v>45828</v>
      </c>
      <c r="D919" t="inlineStr">
        <is>
          <t>DALARNAS LÄN</t>
        </is>
      </c>
      <c r="E919" t="inlineStr">
        <is>
          <t>MALUNG-SÄLEN</t>
        </is>
      </c>
      <c r="G919" t="n">
        <v>3.7</v>
      </c>
      <c r="H919" t="n">
        <v>0</v>
      </c>
      <c r="I919" t="n">
        <v>0</v>
      </c>
      <c r="J919" t="n">
        <v>0</v>
      </c>
      <c r="K919" t="n">
        <v>0</v>
      </c>
      <c r="L919" t="n">
        <v>0</v>
      </c>
      <c r="M919" t="n">
        <v>0</v>
      </c>
      <c r="N919" t="n">
        <v>0</v>
      </c>
      <c r="O919" t="n">
        <v>0</v>
      </c>
      <c r="P919" t="n">
        <v>0</v>
      </c>
      <c r="Q919" t="n">
        <v>0</v>
      </c>
      <c r="R919" s="2" t="inlineStr"/>
    </row>
    <row r="920" ht="15" customHeight="1">
      <c r="A920" t="inlineStr">
        <is>
          <t>A 984-2024</t>
        </is>
      </c>
      <c r="B920" s="1" t="n">
        <v>45301</v>
      </c>
      <c r="C920" s="1" t="n">
        <v>45828</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1206-2024</t>
        </is>
      </c>
      <c r="B921" s="1" t="n">
        <v>45302</v>
      </c>
      <c r="C921" s="1" t="n">
        <v>45828</v>
      </c>
      <c r="D921" t="inlineStr">
        <is>
          <t>DALARNAS LÄN</t>
        </is>
      </c>
      <c r="E921" t="inlineStr">
        <is>
          <t>MALUNG-SÄLEN</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1212-2024</t>
        </is>
      </c>
      <c r="B922" s="1" t="n">
        <v>45302</v>
      </c>
      <c r="C922" s="1" t="n">
        <v>45828</v>
      </c>
      <c r="D922" t="inlineStr">
        <is>
          <t>DALARNAS LÄN</t>
        </is>
      </c>
      <c r="E922" t="inlineStr">
        <is>
          <t>MALUNG-SÄLEN</t>
        </is>
      </c>
      <c r="F922" t="inlineStr">
        <is>
          <t>Allmännings- och besparingsskogar</t>
        </is>
      </c>
      <c r="G922" t="n">
        <v>6.6</v>
      </c>
      <c r="H922" t="n">
        <v>0</v>
      </c>
      <c r="I922" t="n">
        <v>0</v>
      </c>
      <c r="J922" t="n">
        <v>0</v>
      </c>
      <c r="K922" t="n">
        <v>0</v>
      </c>
      <c r="L922" t="n">
        <v>0</v>
      </c>
      <c r="M922" t="n">
        <v>0</v>
      </c>
      <c r="N922" t="n">
        <v>0</v>
      </c>
      <c r="O922" t="n">
        <v>0</v>
      </c>
      <c r="P922" t="n">
        <v>0</v>
      </c>
      <c r="Q922" t="n">
        <v>0</v>
      </c>
      <c r="R922" s="2" t="inlineStr"/>
    </row>
    <row r="923" ht="15" customHeight="1">
      <c r="A923" t="inlineStr">
        <is>
          <t>A 1400-2024</t>
        </is>
      </c>
      <c r="B923" s="1" t="n">
        <v>45303</v>
      </c>
      <c r="C923" s="1" t="n">
        <v>45828</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1891-2024</t>
        </is>
      </c>
      <c r="B924" s="1" t="n">
        <v>45308</v>
      </c>
      <c r="C924" s="1" t="n">
        <v>45828</v>
      </c>
      <c r="D924" t="inlineStr">
        <is>
          <t>DALARNAS LÄN</t>
        </is>
      </c>
      <c r="E924" t="inlineStr">
        <is>
          <t>MALUNG-SÄLEN</t>
        </is>
      </c>
      <c r="G924" t="n">
        <v>5.6</v>
      </c>
      <c r="H924" t="n">
        <v>0</v>
      </c>
      <c r="I924" t="n">
        <v>0</v>
      </c>
      <c r="J924" t="n">
        <v>0</v>
      </c>
      <c r="K924" t="n">
        <v>0</v>
      </c>
      <c r="L924" t="n">
        <v>0</v>
      </c>
      <c r="M924" t="n">
        <v>0</v>
      </c>
      <c r="N924" t="n">
        <v>0</v>
      </c>
      <c r="O924" t="n">
        <v>0</v>
      </c>
      <c r="P924" t="n">
        <v>0</v>
      </c>
      <c r="Q924" t="n">
        <v>0</v>
      </c>
      <c r="R924" s="2" t="inlineStr"/>
    </row>
    <row r="925" ht="15" customHeight="1">
      <c r="A925" t="inlineStr">
        <is>
          <t>A 2002-2024</t>
        </is>
      </c>
      <c r="B925" s="1" t="n">
        <v>45308</v>
      </c>
      <c r="C925" s="1" t="n">
        <v>45828</v>
      </c>
      <c r="D925" t="inlineStr">
        <is>
          <t>DALARNAS LÄN</t>
        </is>
      </c>
      <c r="E925" t="inlineStr">
        <is>
          <t>MALUNG-SÄLEN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2467-2024</t>
        </is>
      </c>
      <c r="B926" s="1" t="n">
        <v>45313</v>
      </c>
      <c r="C926" s="1" t="n">
        <v>45828</v>
      </c>
      <c r="D926" t="inlineStr">
        <is>
          <t>DALARNAS LÄN</t>
        </is>
      </c>
      <c r="E926" t="inlineStr">
        <is>
          <t>MALUNG-SÄLEN</t>
        </is>
      </c>
      <c r="G926" t="n">
        <v>4.1</v>
      </c>
      <c r="H926" t="n">
        <v>0</v>
      </c>
      <c r="I926" t="n">
        <v>0</v>
      </c>
      <c r="J926" t="n">
        <v>0</v>
      </c>
      <c r="K926" t="n">
        <v>0</v>
      </c>
      <c r="L926" t="n">
        <v>0</v>
      </c>
      <c r="M926" t="n">
        <v>0</v>
      </c>
      <c r="N926" t="n">
        <v>0</v>
      </c>
      <c r="O926" t="n">
        <v>0</v>
      </c>
      <c r="P926" t="n">
        <v>0</v>
      </c>
      <c r="Q926" t="n">
        <v>0</v>
      </c>
      <c r="R926" s="2" t="inlineStr"/>
    </row>
    <row r="927" ht="15" customHeight="1">
      <c r="A927" t="inlineStr">
        <is>
          <t>A 2790-2024</t>
        </is>
      </c>
      <c r="B927" s="1" t="n">
        <v>45314</v>
      </c>
      <c r="C927" s="1" t="n">
        <v>45828</v>
      </c>
      <c r="D927" t="inlineStr">
        <is>
          <t>DALARNAS LÄN</t>
        </is>
      </c>
      <c r="E927" t="inlineStr">
        <is>
          <t>MALUNG-SÄLEN</t>
        </is>
      </c>
      <c r="G927" t="n">
        <v>2.7</v>
      </c>
      <c r="H927" t="n">
        <v>0</v>
      </c>
      <c r="I927" t="n">
        <v>0</v>
      </c>
      <c r="J927" t="n">
        <v>0</v>
      </c>
      <c r="K927" t="n">
        <v>0</v>
      </c>
      <c r="L927" t="n">
        <v>0</v>
      </c>
      <c r="M927" t="n">
        <v>0</v>
      </c>
      <c r="N927" t="n">
        <v>0</v>
      </c>
      <c r="O927" t="n">
        <v>0</v>
      </c>
      <c r="P927" t="n">
        <v>0</v>
      </c>
      <c r="Q927" t="n">
        <v>0</v>
      </c>
      <c r="R927" s="2" t="inlineStr"/>
    </row>
    <row r="928" ht="15" customHeight="1">
      <c r="A928" t="inlineStr">
        <is>
          <t>A 2936-2024</t>
        </is>
      </c>
      <c r="B928" s="1" t="n">
        <v>45315</v>
      </c>
      <c r="C928" s="1" t="n">
        <v>45828</v>
      </c>
      <c r="D928" t="inlineStr">
        <is>
          <t>DALARNAS LÄN</t>
        </is>
      </c>
      <c r="E928" t="inlineStr">
        <is>
          <t>MALUNG-SÄLEN</t>
        </is>
      </c>
      <c r="G928" t="n">
        <v>4.4</v>
      </c>
      <c r="H928" t="n">
        <v>0</v>
      </c>
      <c r="I928" t="n">
        <v>0</v>
      </c>
      <c r="J928" t="n">
        <v>0</v>
      </c>
      <c r="K928" t="n">
        <v>0</v>
      </c>
      <c r="L928" t="n">
        <v>0</v>
      </c>
      <c r="M928" t="n">
        <v>0</v>
      </c>
      <c r="N928" t="n">
        <v>0</v>
      </c>
      <c r="O928" t="n">
        <v>0</v>
      </c>
      <c r="P928" t="n">
        <v>0</v>
      </c>
      <c r="Q928" t="n">
        <v>0</v>
      </c>
      <c r="R928" s="2" t="inlineStr"/>
    </row>
    <row r="929" ht="15" customHeight="1">
      <c r="A929" t="inlineStr">
        <is>
          <t>A 3789-2024</t>
        </is>
      </c>
      <c r="B929" s="1" t="n">
        <v>45321</v>
      </c>
      <c r="C929" s="1" t="n">
        <v>45828</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3794-2024</t>
        </is>
      </c>
      <c r="B930" s="1" t="n">
        <v>45321</v>
      </c>
      <c r="C930" s="1" t="n">
        <v>45828</v>
      </c>
      <c r="D930" t="inlineStr">
        <is>
          <t>DALARNAS LÄN</t>
        </is>
      </c>
      <c r="E930" t="inlineStr">
        <is>
          <t>MALUNG-SÄLEN</t>
        </is>
      </c>
      <c r="F930" t="inlineStr">
        <is>
          <t>Bergvik skog öst AB</t>
        </is>
      </c>
      <c r="G930" t="n">
        <v>5</v>
      </c>
      <c r="H930" t="n">
        <v>0</v>
      </c>
      <c r="I930" t="n">
        <v>0</v>
      </c>
      <c r="J930" t="n">
        <v>0</v>
      </c>
      <c r="K930" t="n">
        <v>0</v>
      </c>
      <c r="L930" t="n">
        <v>0</v>
      </c>
      <c r="M930" t="n">
        <v>0</v>
      </c>
      <c r="N930" t="n">
        <v>0</v>
      </c>
      <c r="O930" t="n">
        <v>0</v>
      </c>
      <c r="P930" t="n">
        <v>0</v>
      </c>
      <c r="Q930" t="n">
        <v>0</v>
      </c>
      <c r="R930" s="2" t="inlineStr"/>
    </row>
    <row r="931" ht="15" customHeight="1">
      <c r="A931" t="inlineStr">
        <is>
          <t>A 3792-2024</t>
        </is>
      </c>
      <c r="B931" s="1" t="n">
        <v>45321</v>
      </c>
      <c r="C931" s="1" t="n">
        <v>45828</v>
      </c>
      <c r="D931" t="inlineStr">
        <is>
          <t>DALARNAS LÄN</t>
        </is>
      </c>
      <c r="E931" t="inlineStr">
        <is>
          <t>MALUNG-SÄLEN</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3849-2024</t>
        </is>
      </c>
      <c r="B932" s="1" t="n">
        <v>45322</v>
      </c>
      <c r="C932" s="1" t="n">
        <v>45828</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3853-2024</t>
        </is>
      </c>
      <c r="B933" s="1" t="n">
        <v>45322</v>
      </c>
      <c r="C933" s="1" t="n">
        <v>45828</v>
      </c>
      <c r="D933" t="inlineStr">
        <is>
          <t>DALARNAS LÄN</t>
        </is>
      </c>
      <c r="E933" t="inlineStr">
        <is>
          <t>MALUNG-SÄLEN</t>
        </is>
      </c>
      <c r="G933" t="n">
        <v>1.7</v>
      </c>
      <c r="H933" t="n">
        <v>0</v>
      </c>
      <c r="I933" t="n">
        <v>0</v>
      </c>
      <c r="J933" t="n">
        <v>0</v>
      </c>
      <c r="K933" t="n">
        <v>0</v>
      </c>
      <c r="L933" t="n">
        <v>0</v>
      </c>
      <c r="M933" t="n">
        <v>0</v>
      </c>
      <c r="N933" t="n">
        <v>0</v>
      </c>
      <c r="O933" t="n">
        <v>0</v>
      </c>
      <c r="P933" t="n">
        <v>0</v>
      </c>
      <c r="Q933" t="n">
        <v>0</v>
      </c>
      <c r="R933" s="2" t="inlineStr"/>
    </row>
    <row r="934" ht="15" customHeight="1">
      <c r="A934" t="inlineStr">
        <is>
          <t>A 4271-2024</t>
        </is>
      </c>
      <c r="B934" s="1" t="n">
        <v>45324</v>
      </c>
      <c r="C934" s="1" t="n">
        <v>45828</v>
      </c>
      <c r="D934" t="inlineStr">
        <is>
          <t>DALARNAS LÄN</t>
        </is>
      </c>
      <c r="E934" t="inlineStr">
        <is>
          <t>MALUNG-SÄLEN</t>
        </is>
      </c>
      <c r="G934" t="n">
        <v>14.9</v>
      </c>
      <c r="H934" t="n">
        <v>0</v>
      </c>
      <c r="I934" t="n">
        <v>0</v>
      </c>
      <c r="J934" t="n">
        <v>0</v>
      </c>
      <c r="K934" t="n">
        <v>0</v>
      </c>
      <c r="L934" t="n">
        <v>0</v>
      </c>
      <c r="M934" t="n">
        <v>0</v>
      </c>
      <c r="N934" t="n">
        <v>0</v>
      </c>
      <c r="O934" t="n">
        <v>0</v>
      </c>
      <c r="P934" t="n">
        <v>0</v>
      </c>
      <c r="Q934" t="n">
        <v>0</v>
      </c>
      <c r="R934" s="2" t="inlineStr"/>
    </row>
    <row r="935" ht="15" customHeight="1">
      <c r="A935" t="inlineStr">
        <is>
          <t>A 5573-2024</t>
        </is>
      </c>
      <c r="B935" s="1" t="n">
        <v>45334</v>
      </c>
      <c r="C935" s="1" t="n">
        <v>45828</v>
      </c>
      <c r="D935" t="inlineStr">
        <is>
          <t>DALARNAS LÄN</t>
        </is>
      </c>
      <c r="E935" t="inlineStr">
        <is>
          <t>MALUNG-SÄLEN</t>
        </is>
      </c>
      <c r="G935" t="n">
        <v>2.4</v>
      </c>
      <c r="H935" t="n">
        <v>0</v>
      </c>
      <c r="I935" t="n">
        <v>0</v>
      </c>
      <c r="J935" t="n">
        <v>0</v>
      </c>
      <c r="K935" t="n">
        <v>0</v>
      </c>
      <c r="L935" t="n">
        <v>0</v>
      </c>
      <c r="M935" t="n">
        <v>0</v>
      </c>
      <c r="N935" t="n">
        <v>0</v>
      </c>
      <c r="O935" t="n">
        <v>0</v>
      </c>
      <c r="P935" t="n">
        <v>0</v>
      </c>
      <c r="Q935" t="n">
        <v>0</v>
      </c>
      <c r="R935" s="2" t="inlineStr"/>
    </row>
    <row r="936" ht="15" customHeight="1">
      <c r="A936" t="inlineStr">
        <is>
          <t>A 5577-2024</t>
        </is>
      </c>
      <c r="B936" s="1" t="n">
        <v>45334</v>
      </c>
      <c r="C936" s="1" t="n">
        <v>45828</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5931-2024</t>
        </is>
      </c>
      <c r="B937" s="1" t="n">
        <v>45335</v>
      </c>
      <c r="C937" s="1" t="n">
        <v>45828</v>
      </c>
      <c r="D937" t="inlineStr">
        <is>
          <t>DALARNAS LÄN</t>
        </is>
      </c>
      <c r="E937" t="inlineStr">
        <is>
          <t>MALUNG-SÄLEN</t>
        </is>
      </c>
      <c r="G937" t="n">
        <v>6.6</v>
      </c>
      <c r="H937" t="n">
        <v>0</v>
      </c>
      <c r="I937" t="n">
        <v>0</v>
      </c>
      <c r="J937" t="n">
        <v>0</v>
      </c>
      <c r="K937" t="n">
        <v>0</v>
      </c>
      <c r="L937" t="n">
        <v>0</v>
      </c>
      <c r="M937" t="n">
        <v>0</v>
      </c>
      <c r="N937" t="n">
        <v>0</v>
      </c>
      <c r="O937" t="n">
        <v>0</v>
      </c>
      <c r="P937" t="n">
        <v>0</v>
      </c>
      <c r="Q937" t="n">
        <v>0</v>
      </c>
      <c r="R937" s="2" t="inlineStr"/>
    </row>
    <row r="938" ht="15" customHeight="1">
      <c r="A938" t="inlineStr">
        <is>
          <t>A 5992-2024</t>
        </is>
      </c>
      <c r="B938" s="1" t="n">
        <v>45336</v>
      </c>
      <c r="C938" s="1" t="n">
        <v>45828</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6407-2024</t>
        </is>
      </c>
      <c r="B939" s="1" t="n">
        <v>45338</v>
      </c>
      <c r="C939" s="1" t="n">
        <v>45828</v>
      </c>
      <c r="D939" t="inlineStr">
        <is>
          <t>DALARNAS LÄN</t>
        </is>
      </c>
      <c r="E939" t="inlineStr">
        <is>
          <t>MALUNG-SÄLEN</t>
        </is>
      </c>
      <c r="F939" t="inlineStr">
        <is>
          <t>Kommuner</t>
        </is>
      </c>
      <c r="G939" t="n">
        <v>7.1</v>
      </c>
      <c r="H939" t="n">
        <v>0</v>
      </c>
      <c r="I939" t="n">
        <v>0</v>
      </c>
      <c r="J939" t="n">
        <v>0</v>
      </c>
      <c r="K939" t="n">
        <v>0</v>
      </c>
      <c r="L939" t="n">
        <v>0</v>
      </c>
      <c r="M939" t="n">
        <v>0</v>
      </c>
      <c r="N939" t="n">
        <v>0</v>
      </c>
      <c r="O939" t="n">
        <v>0</v>
      </c>
      <c r="P939" t="n">
        <v>0</v>
      </c>
      <c r="Q939" t="n">
        <v>0</v>
      </c>
      <c r="R939" s="2" t="inlineStr"/>
    </row>
    <row r="940" ht="15" customHeight="1">
      <c r="A940" t="inlineStr">
        <is>
          <t>A 6496-2024</t>
        </is>
      </c>
      <c r="B940" s="1" t="n">
        <v>45339</v>
      </c>
      <c r="C940" s="1" t="n">
        <v>45828</v>
      </c>
      <c r="D940" t="inlineStr">
        <is>
          <t>DALARNAS LÄN</t>
        </is>
      </c>
      <c r="E940" t="inlineStr">
        <is>
          <t>MALUNG-SÄLEN</t>
        </is>
      </c>
      <c r="G940" t="n">
        <v>2.6</v>
      </c>
      <c r="H940" t="n">
        <v>0</v>
      </c>
      <c r="I940" t="n">
        <v>0</v>
      </c>
      <c r="J940" t="n">
        <v>0</v>
      </c>
      <c r="K940" t="n">
        <v>0</v>
      </c>
      <c r="L940" t="n">
        <v>0</v>
      </c>
      <c r="M940" t="n">
        <v>0</v>
      </c>
      <c r="N940" t="n">
        <v>0</v>
      </c>
      <c r="O940" t="n">
        <v>0</v>
      </c>
      <c r="P940" t="n">
        <v>0</v>
      </c>
      <c r="Q940" t="n">
        <v>0</v>
      </c>
      <c r="R940" s="2" t="inlineStr"/>
    </row>
    <row r="941" ht="15" customHeight="1">
      <c r="A941" t="inlineStr">
        <is>
          <t>A 7330-2024</t>
        </is>
      </c>
      <c r="B941" s="1" t="n">
        <v>45345</v>
      </c>
      <c r="C941" s="1" t="n">
        <v>45828</v>
      </c>
      <c r="D941" t="inlineStr">
        <is>
          <t>DALARNAS LÄN</t>
        </is>
      </c>
      <c r="E941" t="inlineStr">
        <is>
          <t>MALUNG-SÄLEN</t>
        </is>
      </c>
      <c r="G941" t="n">
        <v>3.9</v>
      </c>
      <c r="H941" t="n">
        <v>0</v>
      </c>
      <c r="I941" t="n">
        <v>0</v>
      </c>
      <c r="J941" t="n">
        <v>0</v>
      </c>
      <c r="K941" t="n">
        <v>0</v>
      </c>
      <c r="L941" t="n">
        <v>0</v>
      </c>
      <c r="M941" t="n">
        <v>0</v>
      </c>
      <c r="N941" t="n">
        <v>0</v>
      </c>
      <c r="O941" t="n">
        <v>0</v>
      </c>
      <c r="P941" t="n">
        <v>0</v>
      </c>
      <c r="Q941" t="n">
        <v>0</v>
      </c>
      <c r="R941" s="2" t="inlineStr"/>
    </row>
    <row r="942" ht="15" customHeight="1">
      <c r="A942" t="inlineStr">
        <is>
          <t>A 7427-2024</t>
        </is>
      </c>
      <c r="B942" s="1" t="n">
        <v>45345</v>
      </c>
      <c r="C942" s="1" t="n">
        <v>45828</v>
      </c>
      <c r="D942" t="inlineStr">
        <is>
          <t>DALARNAS LÄN</t>
        </is>
      </c>
      <c r="E942" t="inlineStr">
        <is>
          <t>MALUNG-SÄLEN</t>
        </is>
      </c>
      <c r="G942" t="n">
        <v>8</v>
      </c>
      <c r="H942" t="n">
        <v>0</v>
      </c>
      <c r="I942" t="n">
        <v>0</v>
      </c>
      <c r="J942" t="n">
        <v>0</v>
      </c>
      <c r="K942" t="n">
        <v>0</v>
      </c>
      <c r="L942" t="n">
        <v>0</v>
      </c>
      <c r="M942" t="n">
        <v>0</v>
      </c>
      <c r="N942" t="n">
        <v>0</v>
      </c>
      <c r="O942" t="n">
        <v>0</v>
      </c>
      <c r="P942" t="n">
        <v>0</v>
      </c>
      <c r="Q942" t="n">
        <v>0</v>
      </c>
      <c r="R942" s="2" t="inlineStr"/>
    </row>
    <row r="943" ht="15" customHeight="1">
      <c r="A943" t="inlineStr">
        <is>
          <t>A 8588-2024</t>
        </is>
      </c>
      <c r="B943" s="1" t="n">
        <v>45352</v>
      </c>
      <c r="C943" s="1" t="n">
        <v>45828</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8568-2024</t>
        </is>
      </c>
      <c r="B944" s="1" t="n">
        <v>45352</v>
      </c>
      <c r="C944" s="1" t="n">
        <v>45828</v>
      </c>
      <c r="D944" t="inlineStr">
        <is>
          <t>DALARNAS LÄN</t>
        </is>
      </c>
      <c r="E944" t="inlineStr">
        <is>
          <t>MALUNG-SÄLEN</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8583-2024</t>
        </is>
      </c>
      <c r="B945" s="1" t="n">
        <v>45352</v>
      </c>
      <c r="C945" s="1" t="n">
        <v>45828</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8825-2024</t>
        </is>
      </c>
      <c r="B946" s="1" t="n">
        <v>45355</v>
      </c>
      <c r="C946" s="1" t="n">
        <v>45828</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8824-2024</t>
        </is>
      </c>
      <c r="B947" s="1" t="n">
        <v>45355</v>
      </c>
      <c r="C947" s="1" t="n">
        <v>45828</v>
      </c>
      <c r="D947" t="inlineStr">
        <is>
          <t>DALARNAS LÄN</t>
        </is>
      </c>
      <c r="E947" t="inlineStr">
        <is>
          <t>MALUNG-SÄLEN</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8907-2024</t>
        </is>
      </c>
      <c r="B948" s="1" t="n">
        <v>45357</v>
      </c>
      <c r="C948" s="1" t="n">
        <v>45828</v>
      </c>
      <c r="D948" t="inlineStr">
        <is>
          <t>DALARNAS LÄN</t>
        </is>
      </c>
      <c r="E948" t="inlineStr">
        <is>
          <t>MALUNG-SÄLEN</t>
        </is>
      </c>
      <c r="G948" t="n">
        <v>12</v>
      </c>
      <c r="H948" t="n">
        <v>0</v>
      </c>
      <c r="I948" t="n">
        <v>0</v>
      </c>
      <c r="J948" t="n">
        <v>0</v>
      </c>
      <c r="K948" t="n">
        <v>0</v>
      </c>
      <c r="L948" t="n">
        <v>0</v>
      </c>
      <c r="M948" t="n">
        <v>0</v>
      </c>
      <c r="N948" t="n">
        <v>0</v>
      </c>
      <c r="O948" t="n">
        <v>0</v>
      </c>
      <c r="P948" t="n">
        <v>0</v>
      </c>
      <c r="Q948" t="n">
        <v>0</v>
      </c>
      <c r="R948" s="2" t="inlineStr"/>
    </row>
    <row r="949" ht="15" customHeight="1">
      <c r="A949" t="inlineStr">
        <is>
          <t>A 8905-2024</t>
        </is>
      </c>
      <c r="B949" s="1" t="n">
        <v>45357</v>
      </c>
      <c r="C949" s="1" t="n">
        <v>45828</v>
      </c>
      <c r="D949" t="inlineStr">
        <is>
          <t>DALARNAS LÄN</t>
        </is>
      </c>
      <c r="E949" t="inlineStr">
        <is>
          <t>MALUNG-SÄLEN</t>
        </is>
      </c>
      <c r="G949" t="n">
        <v>5.2</v>
      </c>
      <c r="H949" t="n">
        <v>0</v>
      </c>
      <c r="I949" t="n">
        <v>0</v>
      </c>
      <c r="J949" t="n">
        <v>0</v>
      </c>
      <c r="K949" t="n">
        <v>0</v>
      </c>
      <c r="L949" t="n">
        <v>0</v>
      </c>
      <c r="M949" t="n">
        <v>0</v>
      </c>
      <c r="N949" t="n">
        <v>0</v>
      </c>
      <c r="O949" t="n">
        <v>0</v>
      </c>
      <c r="P949" t="n">
        <v>0</v>
      </c>
      <c r="Q949" t="n">
        <v>0</v>
      </c>
      <c r="R949" s="2" t="inlineStr"/>
    </row>
    <row r="950" ht="15" customHeight="1">
      <c r="A950" t="inlineStr">
        <is>
          <t>A 9365-2024</t>
        </is>
      </c>
      <c r="B950" s="1" t="n">
        <v>45359</v>
      </c>
      <c r="C950" s="1" t="n">
        <v>45828</v>
      </c>
      <c r="D950" t="inlineStr">
        <is>
          <t>DALARNAS LÄN</t>
        </is>
      </c>
      <c r="E950" t="inlineStr">
        <is>
          <t>MALUNG-SÄLEN</t>
        </is>
      </c>
      <c r="G950" t="n">
        <v>3.5</v>
      </c>
      <c r="H950" t="n">
        <v>0</v>
      </c>
      <c r="I950" t="n">
        <v>0</v>
      </c>
      <c r="J950" t="n">
        <v>0</v>
      </c>
      <c r="K950" t="n">
        <v>0</v>
      </c>
      <c r="L950" t="n">
        <v>0</v>
      </c>
      <c r="M950" t="n">
        <v>0</v>
      </c>
      <c r="N950" t="n">
        <v>0</v>
      </c>
      <c r="O950" t="n">
        <v>0</v>
      </c>
      <c r="P950" t="n">
        <v>0</v>
      </c>
      <c r="Q950" t="n">
        <v>0</v>
      </c>
      <c r="R950" s="2" t="inlineStr"/>
    </row>
    <row r="951" ht="15" customHeight="1">
      <c r="A951" t="inlineStr">
        <is>
          <t>A 10444-2024</t>
        </is>
      </c>
      <c r="B951" s="1" t="n">
        <v>45366</v>
      </c>
      <c r="C951" s="1" t="n">
        <v>45828</v>
      </c>
      <c r="D951" t="inlineStr">
        <is>
          <t>DALARNAS LÄN</t>
        </is>
      </c>
      <c r="E951" t="inlineStr">
        <is>
          <t>MALUNG-SÄLEN</t>
        </is>
      </c>
      <c r="G951" t="n">
        <v>4</v>
      </c>
      <c r="H951" t="n">
        <v>0</v>
      </c>
      <c r="I951" t="n">
        <v>0</v>
      </c>
      <c r="J951" t="n">
        <v>0</v>
      </c>
      <c r="K951" t="n">
        <v>0</v>
      </c>
      <c r="L951" t="n">
        <v>0</v>
      </c>
      <c r="M951" t="n">
        <v>0</v>
      </c>
      <c r="N951" t="n">
        <v>0</v>
      </c>
      <c r="O951" t="n">
        <v>0</v>
      </c>
      <c r="P951" t="n">
        <v>0</v>
      </c>
      <c r="Q951" t="n">
        <v>0</v>
      </c>
      <c r="R951" s="2" t="inlineStr"/>
    </row>
    <row r="952" ht="15" customHeight="1">
      <c r="A952" t="inlineStr">
        <is>
          <t>A 11246-2024</t>
        </is>
      </c>
      <c r="B952" s="1" t="n">
        <v>45371</v>
      </c>
      <c r="C952" s="1" t="n">
        <v>45828</v>
      </c>
      <c r="D952" t="inlineStr">
        <is>
          <t>DALARNAS LÄN</t>
        </is>
      </c>
      <c r="E952" t="inlineStr">
        <is>
          <t>MALUNG-SÄLEN</t>
        </is>
      </c>
      <c r="G952" t="n">
        <v>4.3</v>
      </c>
      <c r="H952" t="n">
        <v>0</v>
      </c>
      <c r="I952" t="n">
        <v>0</v>
      </c>
      <c r="J952" t="n">
        <v>0</v>
      </c>
      <c r="K952" t="n">
        <v>0</v>
      </c>
      <c r="L952" t="n">
        <v>0</v>
      </c>
      <c r="M952" t="n">
        <v>0</v>
      </c>
      <c r="N952" t="n">
        <v>0</v>
      </c>
      <c r="O952" t="n">
        <v>0</v>
      </c>
      <c r="P952" t="n">
        <v>0</v>
      </c>
      <c r="Q952" t="n">
        <v>0</v>
      </c>
      <c r="R952" s="2" t="inlineStr"/>
    </row>
    <row r="953" ht="15" customHeight="1">
      <c r="A953" t="inlineStr">
        <is>
          <t>A 11343-2024</t>
        </is>
      </c>
      <c r="B953" s="1" t="n">
        <v>45372</v>
      </c>
      <c r="C953" s="1" t="n">
        <v>45828</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11344-2024</t>
        </is>
      </c>
      <c r="B954" s="1" t="n">
        <v>45372</v>
      </c>
      <c r="C954" s="1" t="n">
        <v>45828</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11454-2024</t>
        </is>
      </c>
      <c r="B955" s="1" t="n">
        <v>45372</v>
      </c>
      <c r="C955" s="1" t="n">
        <v>45828</v>
      </c>
      <c r="D955" t="inlineStr">
        <is>
          <t>DALARNAS LÄN</t>
        </is>
      </c>
      <c r="E955" t="inlineStr">
        <is>
          <t>MALUNG-SÄLEN</t>
        </is>
      </c>
      <c r="G955" t="n">
        <v>1</v>
      </c>
      <c r="H955" t="n">
        <v>0</v>
      </c>
      <c r="I955" t="n">
        <v>0</v>
      </c>
      <c r="J955" t="n">
        <v>0</v>
      </c>
      <c r="K955" t="n">
        <v>0</v>
      </c>
      <c r="L955" t="n">
        <v>0</v>
      </c>
      <c r="M955" t="n">
        <v>0</v>
      </c>
      <c r="N955" t="n">
        <v>0</v>
      </c>
      <c r="O955" t="n">
        <v>0</v>
      </c>
      <c r="P955" t="n">
        <v>0</v>
      </c>
      <c r="Q955" t="n">
        <v>0</v>
      </c>
      <c r="R955" s="2" t="inlineStr"/>
    </row>
    <row r="956" ht="15" customHeight="1">
      <c r="A956" t="inlineStr">
        <is>
          <t>A 11558-2024</t>
        </is>
      </c>
      <c r="B956" s="1" t="n">
        <v>45373</v>
      </c>
      <c r="C956" s="1" t="n">
        <v>45828</v>
      </c>
      <c r="D956" t="inlineStr">
        <is>
          <t>DALARNAS LÄN</t>
        </is>
      </c>
      <c r="E956" t="inlineStr">
        <is>
          <t>MALUNG-SÄLEN</t>
        </is>
      </c>
      <c r="G956" t="n">
        <v>6.4</v>
      </c>
      <c r="H956" t="n">
        <v>0</v>
      </c>
      <c r="I956" t="n">
        <v>0</v>
      </c>
      <c r="J956" t="n">
        <v>0</v>
      </c>
      <c r="K956" t="n">
        <v>0</v>
      </c>
      <c r="L956" t="n">
        <v>0</v>
      </c>
      <c r="M956" t="n">
        <v>0</v>
      </c>
      <c r="N956" t="n">
        <v>0</v>
      </c>
      <c r="O956" t="n">
        <v>0</v>
      </c>
      <c r="P956" t="n">
        <v>0</v>
      </c>
      <c r="Q956" t="n">
        <v>0</v>
      </c>
      <c r="R956" s="2" t="inlineStr"/>
    </row>
    <row r="957" ht="15" customHeight="1">
      <c r="A957" t="inlineStr">
        <is>
          <t>A 12392-2024</t>
        </is>
      </c>
      <c r="B957" s="1" t="n">
        <v>45379</v>
      </c>
      <c r="C957" s="1" t="n">
        <v>45828</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12417-2024</t>
        </is>
      </c>
      <c r="B958" s="1" t="n">
        <v>45379</v>
      </c>
      <c r="C958" s="1" t="n">
        <v>45828</v>
      </c>
      <c r="D958" t="inlineStr">
        <is>
          <t>DALARNAS LÄN</t>
        </is>
      </c>
      <c r="E958" t="inlineStr">
        <is>
          <t>MALUNG-SÄLEN</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13898-2024</t>
        </is>
      </c>
      <c r="B959" s="1" t="n">
        <v>45391</v>
      </c>
      <c r="C959" s="1" t="n">
        <v>45828</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14077-2024</t>
        </is>
      </c>
      <c r="B960" s="1" t="n">
        <v>45392</v>
      </c>
      <c r="C960" s="1" t="n">
        <v>45828</v>
      </c>
      <c r="D960" t="inlineStr">
        <is>
          <t>DALARNAS LÄN</t>
        </is>
      </c>
      <c r="E960" t="inlineStr">
        <is>
          <t>MALUNG-SÄLEN</t>
        </is>
      </c>
      <c r="G960" t="n">
        <v>1.5</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v>
      </c>
      <c r="C961" s="1" t="n">
        <v>45828</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15782-2024</t>
        </is>
      </c>
      <c r="B962" s="1" t="n">
        <v>45404</v>
      </c>
      <c r="C962" s="1" t="n">
        <v>45828</v>
      </c>
      <c r="D962" t="inlineStr">
        <is>
          <t>DALARNAS LÄN</t>
        </is>
      </c>
      <c r="E962" t="inlineStr">
        <is>
          <t>MALUNG-SÄLEN</t>
        </is>
      </c>
      <c r="G962" t="n">
        <v>5.1</v>
      </c>
      <c r="H962" t="n">
        <v>0</v>
      </c>
      <c r="I962" t="n">
        <v>0</v>
      </c>
      <c r="J962" t="n">
        <v>0</v>
      </c>
      <c r="K962" t="n">
        <v>0</v>
      </c>
      <c r="L962" t="n">
        <v>0</v>
      </c>
      <c r="M962" t="n">
        <v>0</v>
      </c>
      <c r="N962" t="n">
        <v>0</v>
      </c>
      <c r="O962" t="n">
        <v>0</v>
      </c>
      <c r="P962" t="n">
        <v>0</v>
      </c>
      <c r="Q962" t="n">
        <v>0</v>
      </c>
      <c r="R962" s="2" t="inlineStr"/>
    </row>
    <row r="963" ht="15" customHeight="1">
      <c r="A963" t="inlineStr">
        <is>
          <t>A 15916-2024</t>
        </is>
      </c>
      <c r="B963" s="1" t="n">
        <v>45405</v>
      </c>
      <c r="C963" s="1" t="n">
        <v>45828</v>
      </c>
      <c r="D963" t="inlineStr">
        <is>
          <t>DALARNAS LÄN</t>
        </is>
      </c>
      <c r="E963" t="inlineStr">
        <is>
          <t>MALUNG-SÄLEN</t>
        </is>
      </c>
      <c r="F963" t="inlineStr">
        <is>
          <t>Bergvik skog öst AB</t>
        </is>
      </c>
      <c r="G963" t="n">
        <v>12.5</v>
      </c>
      <c r="H963" t="n">
        <v>0</v>
      </c>
      <c r="I963" t="n">
        <v>0</v>
      </c>
      <c r="J963" t="n">
        <v>0</v>
      </c>
      <c r="K963" t="n">
        <v>0</v>
      </c>
      <c r="L963" t="n">
        <v>0</v>
      </c>
      <c r="M963" t="n">
        <v>0</v>
      </c>
      <c r="N963" t="n">
        <v>0</v>
      </c>
      <c r="O963" t="n">
        <v>0</v>
      </c>
      <c r="P963" t="n">
        <v>0</v>
      </c>
      <c r="Q963" t="n">
        <v>0</v>
      </c>
      <c r="R963" s="2" t="inlineStr"/>
    </row>
    <row r="964" ht="15" customHeight="1">
      <c r="A964" t="inlineStr">
        <is>
          <t>A 15904-2024</t>
        </is>
      </c>
      <c r="B964" s="1" t="n">
        <v>45405</v>
      </c>
      <c r="C964" s="1" t="n">
        <v>45828</v>
      </c>
      <c r="D964" t="inlineStr">
        <is>
          <t>DALARNAS LÄN</t>
        </is>
      </c>
      <c r="E964" t="inlineStr">
        <is>
          <t>MALUNG-SÄLEN</t>
        </is>
      </c>
      <c r="G964" t="n">
        <v>9.9</v>
      </c>
      <c r="H964" t="n">
        <v>0</v>
      </c>
      <c r="I964" t="n">
        <v>0</v>
      </c>
      <c r="J964" t="n">
        <v>0</v>
      </c>
      <c r="K964" t="n">
        <v>0</v>
      </c>
      <c r="L964" t="n">
        <v>0</v>
      </c>
      <c r="M964" t="n">
        <v>0</v>
      </c>
      <c r="N964" t="n">
        <v>0</v>
      </c>
      <c r="O964" t="n">
        <v>0</v>
      </c>
      <c r="P964" t="n">
        <v>0</v>
      </c>
      <c r="Q964" t="n">
        <v>0</v>
      </c>
      <c r="R964" s="2" t="inlineStr"/>
    </row>
    <row r="965" ht="15" customHeight="1">
      <c r="A965" t="inlineStr">
        <is>
          <t>A 16157-2024</t>
        </is>
      </c>
      <c r="B965" s="1" t="n">
        <v>45406</v>
      </c>
      <c r="C965" s="1" t="n">
        <v>45828</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16391-2024</t>
        </is>
      </c>
      <c r="B966" s="1" t="n">
        <v>45407</v>
      </c>
      <c r="C966" s="1" t="n">
        <v>45828</v>
      </c>
      <c r="D966" t="inlineStr">
        <is>
          <t>DALARNAS LÄN</t>
        </is>
      </c>
      <c r="E966" t="inlineStr">
        <is>
          <t>MALUNG-SÄLEN</t>
        </is>
      </c>
      <c r="G966" t="n">
        <v>0.6</v>
      </c>
      <c r="H966" t="n">
        <v>0</v>
      </c>
      <c r="I966" t="n">
        <v>0</v>
      </c>
      <c r="J966" t="n">
        <v>0</v>
      </c>
      <c r="K966" t="n">
        <v>0</v>
      </c>
      <c r="L966" t="n">
        <v>0</v>
      </c>
      <c r="M966" t="n">
        <v>0</v>
      </c>
      <c r="N966" t="n">
        <v>0</v>
      </c>
      <c r="O966" t="n">
        <v>0</v>
      </c>
      <c r="P966" t="n">
        <v>0</v>
      </c>
      <c r="Q966" t="n">
        <v>0</v>
      </c>
      <c r="R966" s="2" t="inlineStr"/>
    </row>
    <row r="967" ht="15" customHeight="1">
      <c r="A967" t="inlineStr">
        <is>
          <t>A 16889-2024</t>
        </is>
      </c>
      <c r="B967" s="1" t="n">
        <v>45411</v>
      </c>
      <c r="C967" s="1" t="n">
        <v>45828</v>
      </c>
      <c r="D967" t="inlineStr">
        <is>
          <t>DALARNAS LÄN</t>
        </is>
      </c>
      <c r="E967" t="inlineStr">
        <is>
          <t>MALUNG-SÄLEN</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18054-2024</t>
        </is>
      </c>
      <c r="B968" s="1" t="n">
        <v>45420</v>
      </c>
      <c r="C968" s="1" t="n">
        <v>45828</v>
      </c>
      <c r="D968" t="inlineStr">
        <is>
          <t>DALARNAS LÄN</t>
        </is>
      </c>
      <c r="E968" t="inlineStr">
        <is>
          <t>MALUNG-SÄLEN</t>
        </is>
      </c>
      <c r="F968" t="inlineStr">
        <is>
          <t>Övriga statliga verk och myndigheter</t>
        </is>
      </c>
      <c r="G968" t="n">
        <v>4</v>
      </c>
      <c r="H968" t="n">
        <v>0</v>
      </c>
      <c r="I968" t="n">
        <v>0</v>
      </c>
      <c r="J968" t="n">
        <v>0</v>
      </c>
      <c r="K968" t="n">
        <v>0</v>
      </c>
      <c r="L968" t="n">
        <v>0</v>
      </c>
      <c r="M968" t="n">
        <v>0</v>
      </c>
      <c r="N968" t="n">
        <v>0</v>
      </c>
      <c r="O968" t="n">
        <v>0</v>
      </c>
      <c r="P968" t="n">
        <v>0</v>
      </c>
      <c r="Q968" t="n">
        <v>0</v>
      </c>
      <c r="R968" s="2" t="inlineStr"/>
    </row>
    <row r="969" ht="15" customHeight="1">
      <c r="A969" t="inlineStr">
        <is>
          <t>A 18045-2024</t>
        </is>
      </c>
      <c r="B969" s="1" t="n">
        <v>45420</v>
      </c>
      <c r="C969" s="1" t="n">
        <v>45828</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18093-2024</t>
        </is>
      </c>
      <c r="B970" s="1" t="n">
        <v>45420</v>
      </c>
      <c r="C970" s="1" t="n">
        <v>45828</v>
      </c>
      <c r="D970" t="inlineStr">
        <is>
          <t>DALARNAS LÄN</t>
        </is>
      </c>
      <c r="E970" t="inlineStr">
        <is>
          <t>MALUNG-SÄLEN</t>
        </is>
      </c>
      <c r="F970" t="inlineStr">
        <is>
          <t>Bergvik skog öst AB</t>
        </is>
      </c>
      <c r="G970" t="n">
        <v>11.2</v>
      </c>
      <c r="H970" t="n">
        <v>0</v>
      </c>
      <c r="I970" t="n">
        <v>0</v>
      </c>
      <c r="J970" t="n">
        <v>0</v>
      </c>
      <c r="K970" t="n">
        <v>0</v>
      </c>
      <c r="L970" t="n">
        <v>0</v>
      </c>
      <c r="M970" t="n">
        <v>0</v>
      </c>
      <c r="N970" t="n">
        <v>0</v>
      </c>
      <c r="O970" t="n">
        <v>0</v>
      </c>
      <c r="P970" t="n">
        <v>0</v>
      </c>
      <c r="Q970" t="n">
        <v>0</v>
      </c>
      <c r="R970" s="2" t="inlineStr"/>
    </row>
    <row r="971" ht="15" customHeight="1">
      <c r="A971" t="inlineStr">
        <is>
          <t>A 18521-2024</t>
        </is>
      </c>
      <c r="B971" s="1" t="n">
        <v>45425</v>
      </c>
      <c r="C971" s="1" t="n">
        <v>45828</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18906-2024</t>
        </is>
      </c>
      <c r="B972" s="1" t="n">
        <v>45427</v>
      </c>
      <c r="C972" s="1" t="n">
        <v>45828</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18927-2024</t>
        </is>
      </c>
      <c r="B973" s="1" t="n">
        <v>45427</v>
      </c>
      <c r="C973" s="1" t="n">
        <v>45828</v>
      </c>
      <c r="D973" t="inlineStr">
        <is>
          <t>DALARNAS LÄN</t>
        </is>
      </c>
      <c r="E973" t="inlineStr">
        <is>
          <t>MALUNG-SÄLEN</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19275-2024</t>
        </is>
      </c>
      <c r="B974" s="1" t="n">
        <v>45428</v>
      </c>
      <c r="C974" s="1" t="n">
        <v>45828</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19311-2024</t>
        </is>
      </c>
      <c r="B975" s="1" t="n">
        <v>45428</v>
      </c>
      <c r="C975" s="1" t="n">
        <v>45828</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19720-2024</t>
        </is>
      </c>
      <c r="B976" s="1" t="n">
        <v>45428</v>
      </c>
      <c r="C976" s="1" t="n">
        <v>45828</v>
      </c>
      <c r="D976" t="inlineStr">
        <is>
          <t>DALARNAS LÄN</t>
        </is>
      </c>
      <c r="E976" t="inlineStr">
        <is>
          <t>MALUNG-SÄLEN</t>
        </is>
      </c>
      <c r="G976" t="n">
        <v>1.8</v>
      </c>
      <c r="H976" t="n">
        <v>0</v>
      </c>
      <c r="I976" t="n">
        <v>0</v>
      </c>
      <c r="J976" t="n">
        <v>0</v>
      </c>
      <c r="K976" t="n">
        <v>0</v>
      </c>
      <c r="L976" t="n">
        <v>0</v>
      </c>
      <c r="M976" t="n">
        <v>0</v>
      </c>
      <c r="N976" t="n">
        <v>0</v>
      </c>
      <c r="O976" t="n">
        <v>0</v>
      </c>
      <c r="P976" t="n">
        <v>0</v>
      </c>
      <c r="Q976" t="n">
        <v>0</v>
      </c>
      <c r="R976" s="2" t="inlineStr"/>
    </row>
    <row r="977" ht="15" customHeight="1">
      <c r="A977" t="inlineStr">
        <is>
          <t>A 19312-2024</t>
        </is>
      </c>
      <c r="B977" s="1" t="n">
        <v>45428</v>
      </c>
      <c r="C977" s="1" t="n">
        <v>45828</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19717-2024</t>
        </is>
      </c>
      <c r="B978" s="1" t="n">
        <v>45428</v>
      </c>
      <c r="C978" s="1" t="n">
        <v>45828</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19315-2024</t>
        </is>
      </c>
      <c r="B979" s="1" t="n">
        <v>45428</v>
      </c>
      <c r="C979" s="1" t="n">
        <v>45828</v>
      </c>
      <c r="D979" t="inlineStr">
        <is>
          <t>DALARNAS LÄN</t>
        </is>
      </c>
      <c r="E979" t="inlineStr">
        <is>
          <t>MALUNG-SÄLEN</t>
        </is>
      </c>
      <c r="G979" t="n">
        <v>7.8</v>
      </c>
      <c r="H979" t="n">
        <v>0</v>
      </c>
      <c r="I979" t="n">
        <v>0</v>
      </c>
      <c r="J979" t="n">
        <v>0</v>
      </c>
      <c r="K979" t="n">
        <v>0</v>
      </c>
      <c r="L979" t="n">
        <v>0</v>
      </c>
      <c r="M979" t="n">
        <v>0</v>
      </c>
      <c r="N979" t="n">
        <v>0</v>
      </c>
      <c r="O979" t="n">
        <v>0</v>
      </c>
      <c r="P979" t="n">
        <v>0</v>
      </c>
      <c r="Q979" t="n">
        <v>0</v>
      </c>
      <c r="R979" s="2" t="inlineStr"/>
    </row>
    <row r="980" ht="15" customHeight="1">
      <c r="A980" t="inlineStr">
        <is>
          <t>A 19719-2024</t>
        </is>
      </c>
      <c r="B980" s="1" t="n">
        <v>45428</v>
      </c>
      <c r="C980" s="1" t="n">
        <v>45828</v>
      </c>
      <c r="D980" t="inlineStr">
        <is>
          <t>DALARNAS LÄN</t>
        </is>
      </c>
      <c r="E980" t="inlineStr">
        <is>
          <t>MALUNG-SÄLEN</t>
        </is>
      </c>
      <c r="G980" t="n">
        <v>27.6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45828</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19415-2024</t>
        </is>
      </c>
      <c r="B982" s="1" t="n">
        <v>45429</v>
      </c>
      <c r="C982" s="1" t="n">
        <v>45828</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19597-2024</t>
        </is>
      </c>
      <c r="B983" s="1" t="n">
        <v>45430</v>
      </c>
      <c r="C983" s="1" t="n">
        <v>45828</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19596-2024</t>
        </is>
      </c>
      <c r="B984" s="1" t="n">
        <v>45430</v>
      </c>
      <c r="C984" s="1" t="n">
        <v>45828</v>
      </c>
      <c r="D984" t="inlineStr">
        <is>
          <t>DALARNAS LÄN</t>
        </is>
      </c>
      <c r="E984" t="inlineStr">
        <is>
          <t>MALUNG-SÄLEN</t>
        </is>
      </c>
      <c r="G984" t="n">
        <v>3.6</v>
      </c>
      <c r="H984" t="n">
        <v>0</v>
      </c>
      <c r="I984" t="n">
        <v>0</v>
      </c>
      <c r="J984" t="n">
        <v>0</v>
      </c>
      <c r="K984" t="n">
        <v>0</v>
      </c>
      <c r="L984" t="n">
        <v>0</v>
      </c>
      <c r="M984" t="n">
        <v>0</v>
      </c>
      <c r="N984" t="n">
        <v>0</v>
      </c>
      <c r="O984" t="n">
        <v>0</v>
      </c>
      <c r="P984" t="n">
        <v>0</v>
      </c>
      <c r="Q984" t="n">
        <v>0</v>
      </c>
      <c r="R984" s="2" t="inlineStr"/>
    </row>
    <row r="985" ht="15" customHeight="1">
      <c r="A985" t="inlineStr">
        <is>
          <t>A 19659-2024</t>
        </is>
      </c>
      <c r="B985" s="1" t="n">
        <v>45432</v>
      </c>
      <c r="C985" s="1" t="n">
        <v>45828</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19660-2024</t>
        </is>
      </c>
      <c r="B986" s="1" t="n">
        <v>45432</v>
      </c>
      <c r="C986" s="1" t="n">
        <v>45828</v>
      </c>
      <c r="D986" t="inlineStr">
        <is>
          <t>DALARNAS LÄN</t>
        </is>
      </c>
      <c r="E986" t="inlineStr">
        <is>
          <t>MALUNG-SÄLEN</t>
        </is>
      </c>
      <c r="G986" t="n">
        <v>1.4</v>
      </c>
      <c r="H986" t="n">
        <v>0</v>
      </c>
      <c r="I986" t="n">
        <v>0</v>
      </c>
      <c r="J986" t="n">
        <v>0</v>
      </c>
      <c r="K986" t="n">
        <v>0</v>
      </c>
      <c r="L986" t="n">
        <v>0</v>
      </c>
      <c r="M986" t="n">
        <v>0</v>
      </c>
      <c r="N986" t="n">
        <v>0</v>
      </c>
      <c r="O986" t="n">
        <v>0</v>
      </c>
      <c r="P986" t="n">
        <v>0</v>
      </c>
      <c r="Q986" t="n">
        <v>0</v>
      </c>
      <c r="R986" s="2" t="inlineStr"/>
    </row>
    <row r="987" ht="15" customHeight="1">
      <c r="A987" t="inlineStr">
        <is>
          <t>A 19907-2024</t>
        </is>
      </c>
      <c r="B987" s="1" t="n">
        <v>45433</v>
      </c>
      <c r="C987" s="1" t="n">
        <v>45828</v>
      </c>
      <c r="D987" t="inlineStr">
        <is>
          <t>DALARNAS LÄN</t>
        </is>
      </c>
      <c r="E987" t="inlineStr">
        <is>
          <t>MALUNG-SÄLEN</t>
        </is>
      </c>
      <c r="G987" t="n">
        <v>5.8</v>
      </c>
      <c r="H987" t="n">
        <v>0</v>
      </c>
      <c r="I987" t="n">
        <v>0</v>
      </c>
      <c r="J987" t="n">
        <v>0</v>
      </c>
      <c r="K987" t="n">
        <v>0</v>
      </c>
      <c r="L987" t="n">
        <v>0</v>
      </c>
      <c r="M987" t="n">
        <v>0</v>
      </c>
      <c r="N987" t="n">
        <v>0</v>
      </c>
      <c r="O987" t="n">
        <v>0</v>
      </c>
      <c r="P987" t="n">
        <v>0</v>
      </c>
      <c r="Q987" t="n">
        <v>0</v>
      </c>
      <c r="R987" s="2" t="inlineStr"/>
    </row>
    <row r="988" ht="15" customHeight="1">
      <c r="A988" t="inlineStr">
        <is>
          <t>A 20100-2024</t>
        </is>
      </c>
      <c r="B988" s="1" t="n">
        <v>45434</v>
      </c>
      <c r="C988" s="1" t="n">
        <v>45828</v>
      </c>
      <c r="D988" t="inlineStr">
        <is>
          <t>DALARNAS LÄN</t>
        </is>
      </c>
      <c r="E988" t="inlineStr">
        <is>
          <t>MALUNG-SÄLEN</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20174-2024</t>
        </is>
      </c>
      <c r="B989" s="1" t="n">
        <v>45434</v>
      </c>
      <c r="C989" s="1" t="n">
        <v>45828</v>
      </c>
      <c r="D989" t="inlineStr">
        <is>
          <t>DALARNAS LÄN</t>
        </is>
      </c>
      <c r="E989" t="inlineStr">
        <is>
          <t>MALUNG-SÄLEN</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20109-2024</t>
        </is>
      </c>
      <c r="B990" s="1" t="n">
        <v>45434</v>
      </c>
      <c r="C990" s="1" t="n">
        <v>45828</v>
      </c>
      <c r="D990" t="inlineStr">
        <is>
          <t>DALARNAS LÄN</t>
        </is>
      </c>
      <c r="E990" t="inlineStr">
        <is>
          <t>MALUNG-SÄLEN</t>
        </is>
      </c>
      <c r="G990" t="n">
        <v>5.4</v>
      </c>
      <c r="H990" t="n">
        <v>0</v>
      </c>
      <c r="I990" t="n">
        <v>0</v>
      </c>
      <c r="J990" t="n">
        <v>0</v>
      </c>
      <c r="K990" t="n">
        <v>0</v>
      </c>
      <c r="L990" t="n">
        <v>0</v>
      </c>
      <c r="M990" t="n">
        <v>0</v>
      </c>
      <c r="N990" t="n">
        <v>0</v>
      </c>
      <c r="O990" t="n">
        <v>0</v>
      </c>
      <c r="P990" t="n">
        <v>0</v>
      </c>
      <c r="Q990" t="n">
        <v>0</v>
      </c>
      <c r="R990" s="2" t="inlineStr"/>
    </row>
    <row r="991" ht="15" customHeight="1">
      <c r="A991" t="inlineStr">
        <is>
          <t>A 20361-2024</t>
        </is>
      </c>
      <c r="B991" s="1" t="n">
        <v>45435</v>
      </c>
      <c r="C991" s="1" t="n">
        <v>45828</v>
      </c>
      <c r="D991" t="inlineStr">
        <is>
          <t>DALARNAS LÄN</t>
        </is>
      </c>
      <c r="E991" t="inlineStr">
        <is>
          <t>MALUNG-SÄLEN</t>
        </is>
      </c>
      <c r="F991" t="inlineStr">
        <is>
          <t>Bergvik skog öst AB</t>
        </is>
      </c>
      <c r="G991" t="n">
        <v>7.5</v>
      </c>
      <c r="H991" t="n">
        <v>0</v>
      </c>
      <c r="I991" t="n">
        <v>0</v>
      </c>
      <c r="J991" t="n">
        <v>0</v>
      </c>
      <c r="K991" t="n">
        <v>0</v>
      </c>
      <c r="L991" t="n">
        <v>0</v>
      </c>
      <c r="M991" t="n">
        <v>0</v>
      </c>
      <c r="N991" t="n">
        <v>0</v>
      </c>
      <c r="O991" t="n">
        <v>0</v>
      </c>
      <c r="P991" t="n">
        <v>0</v>
      </c>
      <c r="Q991" t="n">
        <v>0</v>
      </c>
      <c r="R991" s="2" t="inlineStr"/>
    </row>
    <row r="992" ht="15" customHeight="1">
      <c r="A992" t="inlineStr">
        <is>
          <t>A 20849-2024</t>
        </is>
      </c>
      <c r="B992" s="1" t="n">
        <v>45439</v>
      </c>
      <c r="C992" s="1" t="n">
        <v>45828</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20852-2024</t>
        </is>
      </c>
      <c r="B993" s="1" t="n">
        <v>45439</v>
      </c>
      <c r="C993" s="1" t="n">
        <v>45828</v>
      </c>
      <c r="D993" t="inlineStr">
        <is>
          <t>DALARNAS LÄN</t>
        </is>
      </c>
      <c r="E993" t="inlineStr">
        <is>
          <t>MALUNG-SÄLEN</t>
        </is>
      </c>
      <c r="F993" t="inlineStr">
        <is>
          <t>Bergvik skog öst AB</t>
        </is>
      </c>
      <c r="G993" t="n">
        <v>12.7</v>
      </c>
      <c r="H993" t="n">
        <v>0</v>
      </c>
      <c r="I993" t="n">
        <v>0</v>
      </c>
      <c r="J993" t="n">
        <v>0</v>
      </c>
      <c r="K993" t="n">
        <v>0</v>
      </c>
      <c r="L993" t="n">
        <v>0</v>
      </c>
      <c r="M993" t="n">
        <v>0</v>
      </c>
      <c r="N993" t="n">
        <v>0</v>
      </c>
      <c r="O993" t="n">
        <v>0</v>
      </c>
      <c r="P993" t="n">
        <v>0</v>
      </c>
      <c r="Q993" t="n">
        <v>0</v>
      </c>
      <c r="R993" s="2" t="inlineStr"/>
    </row>
    <row r="994" ht="15" customHeight="1">
      <c r="A994" t="inlineStr">
        <is>
          <t>A 20848-2024</t>
        </is>
      </c>
      <c r="B994" s="1" t="n">
        <v>45439</v>
      </c>
      <c r="C994" s="1" t="n">
        <v>45828</v>
      </c>
      <c r="D994" t="inlineStr">
        <is>
          <t>DALARNAS LÄN</t>
        </is>
      </c>
      <c r="E994" t="inlineStr">
        <is>
          <t>MALUNG-SÄLEN</t>
        </is>
      </c>
      <c r="F994" t="inlineStr">
        <is>
          <t>Bergvik skog öst AB</t>
        </is>
      </c>
      <c r="G994" t="n">
        <v>5.6</v>
      </c>
      <c r="H994" t="n">
        <v>0</v>
      </c>
      <c r="I994" t="n">
        <v>0</v>
      </c>
      <c r="J994" t="n">
        <v>0</v>
      </c>
      <c r="K994" t="n">
        <v>0</v>
      </c>
      <c r="L994" t="n">
        <v>0</v>
      </c>
      <c r="M994" t="n">
        <v>0</v>
      </c>
      <c r="N994" t="n">
        <v>0</v>
      </c>
      <c r="O994" t="n">
        <v>0</v>
      </c>
      <c r="P994" t="n">
        <v>0</v>
      </c>
      <c r="Q994" t="n">
        <v>0</v>
      </c>
      <c r="R994" s="2" t="inlineStr"/>
    </row>
    <row r="995" ht="15" customHeight="1">
      <c r="A995" t="inlineStr">
        <is>
          <t>A 20861-2024</t>
        </is>
      </c>
      <c r="B995" s="1" t="n">
        <v>45439</v>
      </c>
      <c r="C995" s="1" t="n">
        <v>45828</v>
      </c>
      <c r="D995" t="inlineStr">
        <is>
          <t>DALARNAS LÄN</t>
        </is>
      </c>
      <c r="E995" t="inlineStr">
        <is>
          <t>MALUNG-SÄLEN</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20962-2024</t>
        </is>
      </c>
      <c r="B996" s="1" t="n">
        <v>45439</v>
      </c>
      <c r="C996" s="1" t="n">
        <v>45828</v>
      </c>
      <c r="D996" t="inlineStr">
        <is>
          <t>DALARNAS LÄN</t>
        </is>
      </c>
      <c r="E996" t="inlineStr">
        <is>
          <t>MALUNG-SÄLEN</t>
        </is>
      </c>
      <c r="F996" t="inlineStr">
        <is>
          <t>Bergvik skog öst AB</t>
        </is>
      </c>
      <c r="G996" t="n">
        <v>3.5</v>
      </c>
      <c r="H996" t="n">
        <v>0</v>
      </c>
      <c r="I996" t="n">
        <v>0</v>
      </c>
      <c r="J996" t="n">
        <v>0</v>
      </c>
      <c r="K996" t="n">
        <v>0</v>
      </c>
      <c r="L996" t="n">
        <v>0</v>
      </c>
      <c r="M996" t="n">
        <v>0</v>
      </c>
      <c r="N996" t="n">
        <v>0</v>
      </c>
      <c r="O996" t="n">
        <v>0</v>
      </c>
      <c r="P996" t="n">
        <v>0</v>
      </c>
      <c r="Q996" t="n">
        <v>0</v>
      </c>
      <c r="R996" s="2" t="inlineStr"/>
    </row>
    <row r="997" ht="15" customHeight="1">
      <c r="A997" t="inlineStr">
        <is>
          <t>A 21450-2024</t>
        </is>
      </c>
      <c r="B997" s="1" t="n">
        <v>45441</v>
      </c>
      <c r="C997" s="1" t="n">
        <v>45828</v>
      </c>
      <c r="D997" t="inlineStr">
        <is>
          <t>DALARNAS LÄN</t>
        </is>
      </c>
      <c r="E997" t="inlineStr">
        <is>
          <t>MALUNG-SÄLEN</t>
        </is>
      </c>
      <c r="F997" t="inlineStr">
        <is>
          <t>Bergvik skog öst AB</t>
        </is>
      </c>
      <c r="G997" t="n">
        <v>4.2</v>
      </c>
      <c r="H997" t="n">
        <v>0</v>
      </c>
      <c r="I997" t="n">
        <v>0</v>
      </c>
      <c r="J997" t="n">
        <v>0</v>
      </c>
      <c r="K997" t="n">
        <v>0</v>
      </c>
      <c r="L997" t="n">
        <v>0</v>
      </c>
      <c r="M997" t="n">
        <v>0</v>
      </c>
      <c r="N997" t="n">
        <v>0</v>
      </c>
      <c r="O997" t="n">
        <v>0</v>
      </c>
      <c r="P997" t="n">
        <v>0</v>
      </c>
      <c r="Q997" t="n">
        <v>0</v>
      </c>
      <c r="R997" s="2" t="inlineStr"/>
    </row>
    <row r="998" ht="15" customHeight="1">
      <c r="A998" t="inlineStr">
        <is>
          <t>A 21445-2024</t>
        </is>
      </c>
      <c r="B998" s="1" t="n">
        <v>45441</v>
      </c>
      <c r="C998" s="1" t="n">
        <v>45828</v>
      </c>
      <c r="D998" t="inlineStr">
        <is>
          <t>DALARNAS LÄN</t>
        </is>
      </c>
      <c r="E998" t="inlineStr">
        <is>
          <t>MALUNG-SÄLEN</t>
        </is>
      </c>
      <c r="F998" t="inlineStr">
        <is>
          <t>Bergvik skog öst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21794-2024</t>
        </is>
      </c>
      <c r="B999" s="1" t="n">
        <v>45442</v>
      </c>
      <c r="C999" s="1" t="n">
        <v>45828</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v>
      </c>
      <c r="C1000" s="1" t="n">
        <v>45828</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22040-2024</t>
        </is>
      </c>
      <c r="B1001" s="1" t="n">
        <v>45443</v>
      </c>
      <c r="C1001" s="1" t="n">
        <v>45828</v>
      </c>
      <c r="D1001" t="inlineStr">
        <is>
          <t>DALARNAS LÄN</t>
        </is>
      </c>
      <c r="E1001" t="inlineStr">
        <is>
          <t>MALUNG-SÄLEN</t>
        </is>
      </c>
      <c r="F1001" t="inlineStr">
        <is>
          <t>Bergvik skog öst AB</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21876-2024</t>
        </is>
      </c>
      <c r="B1002" s="1" t="n">
        <v>45443</v>
      </c>
      <c r="C1002" s="1" t="n">
        <v>45828</v>
      </c>
      <c r="D1002" t="inlineStr">
        <is>
          <t>DALARNAS LÄN</t>
        </is>
      </c>
      <c r="E1002" t="inlineStr">
        <is>
          <t>MALUNG-SÄLEN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21950-2024</t>
        </is>
      </c>
      <c r="B1003" s="1" t="n">
        <v>45443</v>
      </c>
      <c r="C1003" s="1" t="n">
        <v>45828</v>
      </c>
      <c r="D1003" t="inlineStr">
        <is>
          <t>DALARNAS LÄN</t>
        </is>
      </c>
      <c r="E1003" t="inlineStr">
        <is>
          <t>MALUNG-SÄLEN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22237-2024</t>
        </is>
      </c>
      <c r="B1004" s="1" t="n">
        <v>45446</v>
      </c>
      <c r="C1004" s="1" t="n">
        <v>45828</v>
      </c>
      <c r="D1004" t="inlineStr">
        <is>
          <t>DALARNAS LÄN</t>
        </is>
      </c>
      <c r="E1004" t="inlineStr">
        <is>
          <t>MALUNG-SÄLEN</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22256-2024</t>
        </is>
      </c>
      <c r="B1005" s="1" t="n">
        <v>45446</v>
      </c>
      <c r="C1005" s="1" t="n">
        <v>45828</v>
      </c>
      <c r="D1005" t="inlineStr">
        <is>
          <t>DALARNAS LÄN</t>
        </is>
      </c>
      <c r="E1005" t="inlineStr">
        <is>
          <t>MALUNG-SÄLEN</t>
        </is>
      </c>
      <c r="F1005" t="inlineStr">
        <is>
          <t>Bergvik skog öst AB</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22888-2024</t>
        </is>
      </c>
      <c r="B1006" s="1" t="n">
        <v>45448</v>
      </c>
      <c r="C1006" s="1" t="n">
        <v>45828</v>
      </c>
      <c r="D1006" t="inlineStr">
        <is>
          <t>DALARNAS LÄN</t>
        </is>
      </c>
      <c r="E1006" t="inlineStr">
        <is>
          <t>MALUNG-SÄLEN</t>
        </is>
      </c>
      <c r="F1006" t="inlineStr">
        <is>
          <t>Allmännings- och besparingsskogar</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22841-2024</t>
        </is>
      </c>
      <c r="B1007" s="1" t="n">
        <v>45448</v>
      </c>
      <c r="C1007" s="1" t="n">
        <v>45828</v>
      </c>
      <c r="D1007" t="inlineStr">
        <is>
          <t>DALARNAS LÄN</t>
        </is>
      </c>
      <c r="E1007" t="inlineStr">
        <is>
          <t>MALUNG-SÄLEN</t>
        </is>
      </c>
      <c r="F1007" t="inlineStr">
        <is>
          <t>Allmännings- och besparingsskogar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22853-2024</t>
        </is>
      </c>
      <c r="B1008" s="1" t="n">
        <v>45448</v>
      </c>
      <c r="C1008" s="1" t="n">
        <v>45828</v>
      </c>
      <c r="D1008" t="inlineStr">
        <is>
          <t>DALARNAS LÄN</t>
        </is>
      </c>
      <c r="E1008" t="inlineStr">
        <is>
          <t>MALUNG-SÄLEN</t>
        </is>
      </c>
      <c r="F1008" t="inlineStr">
        <is>
          <t>Allmännings- och besparingsskogar</t>
        </is>
      </c>
      <c r="G1008" t="n">
        <v>22.9</v>
      </c>
      <c r="H1008" t="n">
        <v>0</v>
      </c>
      <c r="I1008" t="n">
        <v>0</v>
      </c>
      <c r="J1008" t="n">
        <v>0</v>
      </c>
      <c r="K1008" t="n">
        <v>0</v>
      </c>
      <c r="L1008" t="n">
        <v>0</v>
      </c>
      <c r="M1008" t="n">
        <v>0</v>
      </c>
      <c r="N1008" t="n">
        <v>0</v>
      </c>
      <c r="O1008" t="n">
        <v>0</v>
      </c>
      <c r="P1008" t="n">
        <v>0</v>
      </c>
      <c r="Q1008" t="n">
        <v>0</v>
      </c>
      <c r="R1008" s="2" t="inlineStr"/>
    </row>
    <row r="1009" ht="15" customHeight="1">
      <c r="A1009" t="inlineStr">
        <is>
          <t>A 22712-2024</t>
        </is>
      </c>
      <c r="B1009" s="1" t="n">
        <v>45448</v>
      </c>
      <c r="C1009" s="1" t="n">
        <v>45828</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22891-2024</t>
        </is>
      </c>
      <c r="B1010" s="1" t="n">
        <v>45448</v>
      </c>
      <c r="C1010" s="1" t="n">
        <v>45828</v>
      </c>
      <c r="D1010" t="inlineStr">
        <is>
          <t>DALARNAS LÄN</t>
        </is>
      </c>
      <c r="E1010" t="inlineStr">
        <is>
          <t>MALUNG-SÄLEN</t>
        </is>
      </c>
      <c r="F1010" t="inlineStr">
        <is>
          <t>Allmännings- och besparingsskogar</t>
        </is>
      </c>
      <c r="G1010" t="n">
        <v>25.9</v>
      </c>
      <c r="H1010" t="n">
        <v>0</v>
      </c>
      <c r="I1010" t="n">
        <v>0</v>
      </c>
      <c r="J1010" t="n">
        <v>0</v>
      </c>
      <c r="K1010" t="n">
        <v>0</v>
      </c>
      <c r="L1010" t="n">
        <v>0</v>
      </c>
      <c r="M1010" t="n">
        <v>0</v>
      </c>
      <c r="N1010" t="n">
        <v>0</v>
      </c>
      <c r="O1010" t="n">
        <v>0</v>
      </c>
      <c r="P1010" t="n">
        <v>0</v>
      </c>
      <c r="Q1010" t="n">
        <v>0</v>
      </c>
      <c r="R1010" s="2" t="inlineStr"/>
    </row>
    <row r="1011" ht="15" customHeight="1">
      <c r="A1011" t="inlineStr">
        <is>
          <t>A 22960-2024</t>
        </is>
      </c>
      <c r="B1011" s="1" t="n">
        <v>45449</v>
      </c>
      <c r="C1011" s="1" t="n">
        <v>45828</v>
      </c>
      <c r="D1011" t="inlineStr">
        <is>
          <t>DALARNAS LÄN</t>
        </is>
      </c>
      <c r="E1011" t="inlineStr">
        <is>
          <t>MALUNG-SÄLEN</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22957-2024</t>
        </is>
      </c>
      <c r="B1012" s="1" t="n">
        <v>45449</v>
      </c>
      <c r="C1012" s="1" t="n">
        <v>45828</v>
      </c>
      <c r="D1012" t="inlineStr">
        <is>
          <t>DALARNAS LÄN</t>
        </is>
      </c>
      <c r="E1012" t="inlineStr">
        <is>
          <t>MALUNG-SÄLEN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22961-2024</t>
        </is>
      </c>
      <c r="B1013" s="1" t="n">
        <v>45449</v>
      </c>
      <c r="C1013" s="1" t="n">
        <v>45828</v>
      </c>
      <c r="D1013" t="inlineStr">
        <is>
          <t>DALARNAS LÄN</t>
        </is>
      </c>
      <c r="E1013" t="inlineStr">
        <is>
          <t>MALUNG-SÄLEN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23079-2024</t>
        </is>
      </c>
      <c r="B1014" s="1" t="n">
        <v>45450</v>
      </c>
      <c r="C1014" s="1" t="n">
        <v>45828</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23329-2024</t>
        </is>
      </c>
      <c r="B1015" s="1" t="n">
        <v>45453</v>
      </c>
      <c r="C1015" s="1" t="n">
        <v>45828</v>
      </c>
      <c r="D1015" t="inlineStr">
        <is>
          <t>DALARNAS LÄN</t>
        </is>
      </c>
      <c r="E1015" t="inlineStr">
        <is>
          <t>MALUNG-SÄLEN</t>
        </is>
      </c>
      <c r="F1015" t="inlineStr">
        <is>
          <t>Bergvik skog öst AB</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23413-2024</t>
        </is>
      </c>
      <c r="B1016" s="1" t="n">
        <v>45453</v>
      </c>
      <c r="C1016" s="1" t="n">
        <v>45828</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23473-2024</t>
        </is>
      </c>
      <c r="B1017" s="1" t="n">
        <v>45453</v>
      </c>
      <c r="C1017" s="1" t="n">
        <v>45828</v>
      </c>
      <c r="D1017" t="inlineStr">
        <is>
          <t>DALARNAS LÄN</t>
        </is>
      </c>
      <c r="E1017" t="inlineStr">
        <is>
          <t>MALUNG-SÄLEN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23795-2024</t>
        </is>
      </c>
      <c r="B1018" s="1" t="n">
        <v>45455</v>
      </c>
      <c r="C1018" s="1" t="n">
        <v>45828</v>
      </c>
      <c r="D1018" t="inlineStr">
        <is>
          <t>DALARNAS LÄN</t>
        </is>
      </c>
      <c r="E1018" t="inlineStr">
        <is>
          <t>MALUNG-SÄLEN</t>
        </is>
      </c>
      <c r="F1018" t="inlineStr">
        <is>
          <t>Kommuner</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23799-2024</t>
        </is>
      </c>
      <c r="B1019" s="1" t="n">
        <v>45455</v>
      </c>
      <c r="C1019" s="1" t="n">
        <v>45828</v>
      </c>
      <c r="D1019" t="inlineStr">
        <is>
          <t>DALARNAS LÄN</t>
        </is>
      </c>
      <c r="E1019" t="inlineStr">
        <is>
          <t>MALUNG-SÄLEN</t>
        </is>
      </c>
      <c r="F1019" t="inlineStr">
        <is>
          <t>Kommuner</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23803-2024</t>
        </is>
      </c>
      <c r="B1020" s="1" t="n">
        <v>45455</v>
      </c>
      <c r="C1020" s="1" t="n">
        <v>45828</v>
      </c>
      <c r="D1020" t="inlineStr">
        <is>
          <t>DALARNAS LÄN</t>
        </is>
      </c>
      <c r="E1020" t="inlineStr">
        <is>
          <t>MALUNG-SÄLEN</t>
        </is>
      </c>
      <c r="F1020" t="inlineStr">
        <is>
          <t>Kommuner</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23785-2024</t>
        </is>
      </c>
      <c r="B1021" s="1" t="n">
        <v>45455</v>
      </c>
      <c r="C1021" s="1" t="n">
        <v>45828</v>
      </c>
      <c r="D1021" t="inlineStr">
        <is>
          <t>DALARNAS LÄN</t>
        </is>
      </c>
      <c r="E1021" t="inlineStr">
        <is>
          <t>MALUNG-SÄLEN</t>
        </is>
      </c>
      <c r="F1021" t="inlineStr">
        <is>
          <t>Kommuner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23790-2024</t>
        </is>
      </c>
      <c r="B1022" s="1" t="n">
        <v>45455</v>
      </c>
      <c r="C1022" s="1" t="n">
        <v>45828</v>
      </c>
      <c r="D1022" t="inlineStr">
        <is>
          <t>DALARNAS LÄN</t>
        </is>
      </c>
      <c r="E1022" t="inlineStr">
        <is>
          <t>MALUNG-SÄLEN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24065-2024</t>
        </is>
      </c>
      <c r="B1023" s="1" t="n">
        <v>45456</v>
      </c>
      <c r="C1023" s="1" t="n">
        <v>45828</v>
      </c>
      <c r="D1023" t="inlineStr">
        <is>
          <t>DALARNAS LÄN</t>
        </is>
      </c>
      <c r="E1023" t="inlineStr">
        <is>
          <t>MALUNG-SÄLEN</t>
        </is>
      </c>
      <c r="F1023" t="inlineStr">
        <is>
          <t>Bergvik skog öst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24066-2024</t>
        </is>
      </c>
      <c r="B1024" s="1" t="n">
        <v>45456</v>
      </c>
      <c r="C1024" s="1" t="n">
        <v>45828</v>
      </c>
      <c r="D1024" t="inlineStr">
        <is>
          <t>DALARNAS LÄN</t>
        </is>
      </c>
      <c r="E1024" t="inlineStr">
        <is>
          <t>MALUNG-SÄLEN</t>
        </is>
      </c>
      <c r="F1024" t="inlineStr">
        <is>
          <t>Bergvik skog väst AB</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24105-2024</t>
        </is>
      </c>
      <c r="B1025" s="1" t="n">
        <v>45456</v>
      </c>
      <c r="C1025" s="1" t="n">
        <v>45828</v>
      </c>
      <c r="D1025" t="inlineStr">
        <is>
          <t>DALARNAS LÄN</t>
        </is>
      </c>
      <c r="E1025" t="inlineStr">
        <is>
          <t>MALUNG-SÄLEN</t>
        </is>
      </c>
      <c r="F1025" t="inlineStr">
        <is>
          <t>Bergvik skog öst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24282-2024</t>
        </is>
      </c>
      <c r="B1026" s="1" t="n">
        <v>45457</v>
      </c>
      <c r="C1026" s="1" t="n">
        <v>45828</v>
      </c>
      <c r="D1026" t="inlineStr">
        <is>
          <t>DALARNAS LÄN</t>
        </is>
      </c>
      <c r="E1026" t="inlineStr">
        <is>
          <t>MALUNG-SÄLEN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24353-2024</t>
        </is>
      </c>
      <c r="B1027" s="1" t="n">
        <v>45457</v>
      </c>
      <c r="C1027" s="1" t="n">
        <v>45828</v>
      </c>
      <c r="D1027" t="inlineStr">
        <is>
          <t>DALARNAS LÄN</t>
        </is>
      </c>
      <c r="E1027" t="inlineStr">
        <is>
          <t>MALUNG-SÄLEN</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24727-2024</t>
        </is>
      </c>
      <c r="B1028" s="1" t="n">
        <v>45460</v>
      </c>
      <c r="C1028" s="1" t="n">
        <v>45828</v>
      </c>
      <c r="D1028" t="inlineStr">
        <is>
          <t>DALARNAS LÄN</t>
        </is>
      </c>
      <c r="E1028" t="inlineStr">
        <is>
          <t>MALUNG-SÄLEN</t>
        </is>
      </c>
      <c r="F1028" t="inlineStr">
        <is>
          <t>Bergvik skog öst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24511-2024</t>
        </is>
      </c>
      <c r="B1029" s="1" t="n">
        <v>45460</v>
      </c>
      <c r="C1029" s="1" t="n">
        <v>45828</v>
      </c>
      <c r="D1029" t="inlineStr">
        <is>
          <t>DALARNAS LÄN</t>
        </is>
      </c>
      <c r="E1029" t="inlineStr">
        <is>
          <t>MALUNG-SÄLEN</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24959-2024</t>
        </is>
      </c>
      <c r="B1030" s="1" t="n">
        <v>45461</v>
      </c>
      <c r="C1030" s="1" t="n">
        <v>45828</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24962-2024</t>
        </is>
      </c>
      <c r="B1031" s="1" t="n">
        <v>45461</v>
      </c>
      <c r="C1031" s="1" t="n">
        <v>45828</v>
      </c>
      <c r="D1031" t="inlineStr">
        <is>
          <t>DALARNAS LÄN</t>
        </is>
      </c>
      <c r="E1031" t="inlineStr">
        <is>
          <t>MALUNG-SÄLEN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24966-2024</t>
        </is>
      </c>
      <c r="B1032" s="1" t="n">
        <v>45461</v>
      </c>
      <c r="C1032" s="1" t="n">
        <v>45828</v>
      </c>
      <c r="D1032" t="inlineStr">
        <is>
          <t>DALARNAS LÄN</t>
        </is>
      </c>
      <c r="E1032" t="inlineStr">
        <is>
          <t>MALUNG-SÄLEN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24957-2024</t>
        </is>
      </c>
      <c r="B1033" s="1" t="n">
        <v>45461</v>
      </c>
      <c r="C1033" s="1" t="n">
        <v>45828</v>
      </c>
      <c r="D1033" t="inlineStr">
        <is>
          <t>DALARNAS LÄN</t>
        </is>
      </c>
      <c r="E1033" t="inlineStr">
        <is>
          <t>MALUNG-SÄLEN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24952-2024</t>
        </is>
      </c>
      <c r="B1034" s="1" t="n">
        <v>45461</v>
      </c>
      <c r="C1034" s="1" t="n">
        <v>45828</v>
      </c>
      <c r="D1034" t="inlineStr">
        <is>
          <t>DALARNAS LÄN</t>
        </is>
      </c>
      <c r="E1034" t="inlineStr">
        <is>
          <t>MALUNG-SÄLEN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25205-2024</t>
        </is>
      </c>
      <c r="B1035" s="1" t="n">
        <v>45462</v>
      </c>
      <c r="C1035" s="1" t="n">
        <v>45828</v>
      </c>
      <c r="D1035" t="inlineStr">
        <is>
          <t>DALARNAS LÄN</t>
        </is>
      </c>
      <c r="E1035" t="inlineStr">
        <is>
          <t>MALUNG-SÄLEN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25098-2024</t>
        </is>
      </c>
      <c r="B1036" s="1" t="n">
        <v>45462</v>
      </c>
      <c r="C1036" s="1" t="n">
        <v>45828</v>
      </c>
      <c r="D1036" t="inlineStr">
        <is>
          <t>DALARNAS LÄN</t>
        </is>
      </c>
      <c r="E1036" t="inlineStr">
        <is>
          <t>MALUNG-SÄLEN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25168-2024</t>
        </is>
      </c>
      <c r="B1037" s="1" t="n">
        <v>45462</v>
      </c>
      <c r="C1037" s="1" t="n">
        <v>45828</v>
      </c>
      <c r="D1037" t="inlineStr">
        <is>
          <t>DALARNAS LÄN</t>
        </is>
      </c>
      <c r="E1037" t="inlineStr">
        <is>
          <t>MALUNG-SÄLEN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25202-2024</t>
        </is>
      </c>
      <c r="B1038" s="1" t="n">
        <v>45462</v>
      </c>
      <c r="C1038" s="1" t="n">
        <v>45828</v>
      </c>
      <c r="D1038" t="inlineStr">
        <is>
          <t>DALARNAS LÄN</t>
        </is>
      </c>
      <c r="E1038" t="inlineStr">
        <is>
          <t>MALUNG-SÄLEN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25425-2024</t>
        </is>
      </c>
      <c r="B1039" s="1" t="n">
        <v>45463</v>
      </c>
      <c r="C1039" s="1" t="n">
        <v>45828</v>
      </c>
      <c r="D1039" t="inlineStr">
        <is>
          <t>DALARNAS LÄN</t>
        </is>
      </c>
      <c r="E1039" t="inlineStr">
        <is>
          <t>MALUNG-SÄLEN</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25917-2024</t>
        </is>
      </c>
      <c r="B1040" s="1" t="n">
        <v>45467</v>
      </c>
      <c r="C1040" s="1" t="n">
        <v>45828</v>
      </c>
      <c r="D1040" t="inlineStr">
        <is>
          <t>DALARNAS LÄN</t>
        </is>
      </c>
      <c r="E1040" t="inlineStr">
        <is>
          <t>MALUNG-SÄLEN</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26674-2024</t>
        </is>
      </c>
      <c r="B1041" s="1" t="n">
        <v>45469</v>
      </c>
      <c r="C1041" s="1" t="n">
        <v>45828</v>
      </c>
      <c r="D1041" t="inlineStr">
        <is>
          <t>DALARNAS LÄN</t>
        </is>
      </c>
      <c r="E1041" t="inlineStr">
        <is>
          <t>MALUNG-SÄLEN</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26836-2024</t>
        </is>
      </c>
      <c r="B1042" s="1" t="n">
        <v>45470</v>
      </c>
      <c r="C1042" s="1" t="n">
        <v>45828</v>
      </c>
      <c r="D1042" t="inlineStr">
        <is>
          <t>DALARNAS LÄN</t>
        </is>
      </c>
      <c r="E1042" t="inlineStr">
        <is>
          <t>MALUNG-SÄLEN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26837-2024</t>
        </is>
      </c>
      <c r="B1043" s="1" t="n">
        <v>45470</v>
      </c>
      <c r="C1043" s="1" t="n">
        <v>45828</v>
      </c>
      <c r="D1043" t="inlineStr">
        <is>
          <t>DALARNAS LÄN</t>
        </is>
      </c>
      <c r="E1043" t="inlineStr">
        <is>
          <t>MALUNG-SÄLEN</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27465-2024</t>
        </is>
      </c>
      <c r="B1044" s="1" t="n">
        <v>45474</v>
      </c>
      <c r="C1044" s="1" t="n">
        <v>45828</v>
      </c>
      <c r="D1044" t="inlineStr">
        <is>
          <t>DALARNAS LÄN</t>
        </is>
      </c>
      <c r="E1044" t="inlineStr">
        <is>
          <t>MALUNG-SÄLEN</t>
        </is>
      </c>
      <c r="F1044" t="inlineStr">
        <is>
          <t>Allmännings- och besparingsskogar</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28020-2024</t>
        </is>
      </c>
      <c r="B1045" s="1" t="n">
        <v>45476</v>
      </c>
      <c r="C1045" s="1" t="n">
        <v>45828</v>
      </c>
      <c r="D1045" t="inlineStr">
        <is>
          <t>DALARNAS LÄN</t>
        </is>
      </c>
      <c r="E1045" t="inlineStr">
        <is>
          <t>MALUNG-SÄLEN</t>
        </is>
      </c>
      <c r="F1045" t="inlineStr">
        <is>
          <t>Bergvik skog öst AB</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28055-2024</t>
        </is>
      </c>
      <c r="B1046" s="1" t="n">
        <v>45476</v>
      </c>
      <c r="C1046" s="1" t="n">
        <v>45828</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27964-2024</t>
        </is>
      </c>
      <c r="B1047" s="1" t="n">
        <v>45476</v>
      </c>
      <c r="C1047" s="1" t="n">
        <v>45828</v>
      </c>
      <c r="D1047" t="inlineStr">
        <is>
          <t>DALARNAS LÄN</t>
        </is>
      </c>
      <c r="E1047" t="inlineStr">
        <is>
          <t>MALUNG-SÄLEN</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28373-2024</t>
        </is>
      </c>
      <c r="B1048" s="1" t="n">
        <v>45477</v>
      </c>
      <c r="C1048" s="1" t="n">
        <v>45828</v>
      </c>
      <c r="D1048" t="inlineStr">
        <is>
          <t>DALARNAS LÄN</t>
        </is>
      </c>
      <c r="E1048" t="inlineStr">
        <is>
          <t>MALUNG-SÄLEN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28282-2024</t>
        </is>
      </c>
      <c r="B1049" s="1" t="n">
        <v>45477</v>
      </c>
      <c r="C1049" s="1" t="n">
        <v>45828</v>
      </c>
      <c r="D1049" t="inlineStr">
        <is>
          <t>DALARNAS LÄN</t>
        </is>
      </c>
      <c r="E1049" t="inlineStr">
        <is>
          <t>MALUNG-SÄLEN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28800-2024</t>
        </is>
      </c>
      <c r="B1050" s="1" t="n">
        <v>45478</v>
      </c>
      <c r="C1050" s="1" t="n">
        <v>45828</v>
      </c>
      <c r="D1050" t="inlineStr">
        <is>
          <t>DALARNAS LÄN</t>
        </is>
      </c>
      <c r="E1050" t="inlineStr">
        <is>
          <t>MALUNG-SÄLEN</t>
        </is>
      </c>
      <c r="F1050" t="inlineStr">
        <is>
          <t>Kommuner</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28899-2024</t>
        </is>
      </c>
      <c r="B1051" s="1" t="n">
        <v>45480</v>
      </c>
      <c r="C1051" s="1" t="n">
        <v>45828</v>
      </c>
      <c r="D1051" t="inlineStr">
        <is>
          <t>DALARNAS LÄN</t>
        </is>
      </c>
      <c r="E1051" t="inlineStr">
        <is>
          <t>MALUNG-SÄLEN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29057-2024</t>
        </is>
      </c>
      <c r="B1052" s="1" t="n">
        <v>45481</v>
      </c>
      <c r="C1052" s="1" t="n">
        <v>45828</v>
      </c>
      <c r="D1052" t="inlineStr">
        <is>
          <t>DALARNAS LÄN</t>
        </is>
      </c>
      <c r="E1052" t="inlineStr">
        <is>
          <t>MALUNG-SÄLEN</t>
        </is>
      </c>
      <c r="F1052" t="inlineStr">
        <is>
          <t>Bergvik skog öst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29049-2024</t>
        </is>
      </c>
      <c r="B1053" s="1" t="n">
        <v>45481</v>
      </c>
      <c r="C1053" s="1" t="n">
        <v>45828</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29217-2024</t>
        </is>
      </c>
      <c r="B1054" s="1" t="n">
        <v>45482</v>
      </c>
      <c r="C1054" s="1" t="n">
        <v>45828</v>
      </c>
      <c r="D1054" t="inlineStr">
        <is>
          <t>DALARNAS LÄN</t>
        </is>
      </c>
      <c r="E1054" t="inlineStr">
        <is>
          <t>MALUNG-SÄLEN</t>
        </is>
      </c>
      <c r="F1054" t="inlineStr">
        <is>
          <t>Kommuner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29218-2024</t>
        </is>
      </c>
      <c r="B1055" s="1" t="n">
        <v>45482</v>
      </c>
      <c r="C1055" s="1" t="n">
        <v>45828</v>
      </c>
      <c r="D1055" t="inlineStr">
        <is>
          <t>DALARNAS LÄN</t>
        </is>
      </c>
      <c r="E1055" t="inlineStr">
        <is>
          <t>MALUNG-SÄLEN</t>
        </is>
      </c>
      <c r="F1055" t="inlineStr">
        <is>
          <t>Kommuner</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29214-2024</t>
        </is>
      </c>
      <c r="B1056" s="1" t="n">
        <v>45482</v>
      </c>
      <c r="C1056" s="1" t="n">
        <v>45828</v>
      </c>
      <c r="D1056" t="inlineStr">
        <is>
          <t>DALARNAS LÄN</t>
        </is>
      </c>
      <c r="E1056" t="inlineStr">
        <is>
          <t>MALUNG-SÄLEN</t>
        </is>
      </c>
      <c r="F1056" t="inlineStr">
        <is>
          <t>Kommuner</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29350-2024</t>
        </is>
      </c>
      <c r="B1057" s="1" t="n">
        <v>45483</v>
      </c>
      <c r="C1057" s="1" t="n">
        <v>45828</v>
      </c>
      <c r="D1057" t="inlineStr">
        <is>
          <t>DALARNAS LÄN</t>
        </is>
      </c>
      <c r="E1057" t="inlineStr">
        <is>
          <t>MALUNG-SÄLEN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29386-2024</t>
        </is>
      </c>
      <c r="B1058" s="1" t="n">
        <v>45483</v>
      </c>
      <c r="C1058" s="1" t="n">
        <v>45828</v>
      </c>
      <c r="D1058" t="inlineStr">
        <is>
          <t>DALARNAS LÄN</t>
        </is>
      </c>
      <c r="E1058" t="inlineStr">
        <is>
          <t>MALUNG-SÄLEN</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29344-2024</t>
        </is>
      </c>
      <c r="B1059" s="1" t="n">
        <v>45483</v>
      </c>
      <c r="C1059" s="1" t="n">
        <v>45828</v>
      </c>
      <c r="D1059" t="inlineStr">
        <is>
          <t>DALARNAS LÄN</t>
        </is>
      </c>
      <c r="E1059" t="inlineStr">
        <is>
          <t>MALUNG-SÄLEN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29364-2024</t>
        </is>
      </c>
      <c r="B1060" s="1" t="n">
        <v>45483</v>
      </c>
      <c r="C1060" s="1" t="n">
        <v>45828</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29771-2024</t>
        </is>
      </c>
      <c r="B1061" s="1" t="n">
        <v>45485</v>
      </c>
      <c r="C1061" s="1" t="n">
        <v>45828</v>
      </c>
      <c r="D1061" t="inlineStr">
        <is>
          <t>DALARNAS LÄN</t>
        </is>
      </c>
      <c r="E1061" t="inlineStr">
        <is>
          <t>MALUNG-SÄLEN</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30005-2024</t>
        </is>
      </c>
      <c r="B1062" s="1" t="n">
        <v>45488</v>
      </c>
      <c r="C1062" s="1" t="n">
        <v>45828</v>
      </c>
      <c r="D1062" t="inlineStr">
        <is>
          <t>DALARNAS LÄN</t>
        </is>
      </c>
      <c r="E1062" t="inlineStr">
        <is>
          <t>MALUNG-SÄLEN</t>
        </is>
      </c>
      <c r="F1062" t="inlineStr">
        <is>
          <t>Bergvik skog öst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29930-2024</t>
        </is>
      </c>
      <c r="B1063" s="1" t="n">
        <v>45488</v>
      </c>
      <c r="C1063" s="1" t="n">
        <v>45828</v>
      </c>
      <c r="D1063" t="inlineStr">
        <is>
          <t>DALARNAS LÄN</t>
        </is>
      </c>
      <c r="E1063" t="inlineStr">
        <is>
          <t>MALUNG-SÄLEN</t>
        </is>
      </c>
      <c r="F1063" t="inlineStr">
        <is>
          <t>Bergvik skog öst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30360-2024</t>
        </is>
      </c>
      <c r="B1064" s="1" t="n">
        <v>45491</v>
      </c>
      <c r="C1064" s="1" t="n">
        <v>45828</v>
      </c>
      <c r="D1064" t="inlineStr">
        <is>
          <t>DALARNAS LÄN</t>
        </is>
      </c>
      <c r="E1064" t="inlineStr">
        <is>
          <t>MALUNG-SÄLEN</t>
        </is>
      </c>
      <c r="F1064" t="inlineStr">
        <is>
          <t>Bergvik skog öst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30398-2024</t>
        </is>
      </c>
      <c r="B1065" s="1" t="n">
        <v>45491</v>
      </c>
      <c r="C1065" s="1" t="n">
        <v>45828</v>
      </c>
      <c r="D1065" t="inlineStr">
        <is>
          <t>DALARNAS LÄN</t>
        </is>
      </c>
      <c r="E1065" t="inlineStr">
        <is>
          <t>MALUNG-SÄLEN</t>
        </is>
      </c>
      <c r="F1065" t="inlineStr">
        <is>
          <t>Bergvik skog öst AB</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30372-2024</t>
        </is>
      </c>
      <c r="B1066" s="1" t="n">
        <v>45491</v>
      </c>
      <c r="C1066" s="1" t="n">
        <v>45828</v>
      </c>
      <c r="D1066" t="inlineStr">
        <is>
          <t>DALARNAS LÄN</t>
        </is>
      </c>
      <c r="E1066" t="inlineStr">
        <is>
          <t>MALUNG-SÄLEN</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30400-2024</t>
        </is>
      </c>
      <c r="B1067" s="1" t="n">
        <v>45491</v>
      </c>
      <c r="C1067" s="1" t="n">
        <v>45828</v>
      </c>
      <c r="D1067" t="inlineStr">
        <is>
          <t>DALARNAS LÄN</t>
        </is>
      </c>
      <c r="E1067" t="inlineStr">
        <is>
          <t>MALUNG-SÄLEN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30366-2024</t>
        </is>
      </c>
      <c r="B1068" s="1" t="n">
        <v>45491</v>
      </c>
      <c r="C1068" s="1" t="n">
        <v>45828</v>
      </c>
      <c r="D1068" t="inlineStr">
        <is>
          <t>DALARNAS LÄN</t>
        </is>
      </c>
      <c r="E1068" t="inlineStr">
        <is>
          <t>MALUNG-SÄLEN</t>
        </is>
      </c>
      <c r="F1068" t="inlineStr">
        <is>
          <t>Bergvik skog öst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30716-2024</t>
        </is>
      </c>
      <c r="B1069" s="1" t="n">
        <v>45496</v>
      </c>
      <c r="C1069" s="1" t="n">
        <v>45828</v>
      </c>
      <c r="D1069" t="inlineStr">
        <is>
          <t>DALARNAS LÄN</t>
        </is>
      </c>
      <c r="E1069" t="inlineStr">
        <is>
          <t>MALUNG-SÄLEN</t>
        </is>
      </c>
      <c r="F1069" t="inlineStr">
        <is>
          <t>Bergvik skog öst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30719-2024</t>
        </is>
      </c>
      <c r="B1070" s="1" t="n">
        <v>45496</v>
      </c>
      <c r="C1070" s="1" t="n">
        <v>45828</v>
      </c>
      <c r="D1070" t="inlineStr">
        <is>
          <t>DALARNAS LÄN</t>
        </is>
      </c>
      <c r="E1070" t="inlineStr">
        <is>
          <t>MALUNG-SÄLEN</t>
        </is>
      </c>
      <c r="F1070" t="inlineStr">
        <is>
          <t>Bergvik skog öst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31211-2024</t>
        </is>
      </c>
      <c r="B1071" s="1" t="n">
        <v>45503</v>
      </c>
      <c r="C1071" s="1" t="n">
        <v>45828</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31223-2024</t>
        </is>
      </c>
      <c r="B1072" s="1" t="n">
        <v>45503</v>
      </c>
      <c r="C1072" s="1" t="n">
        <v>45828</v>
      </c>
      <c r="D1072" t="inlineStr">
        <is>
          <t>DALARNAS LÄN</t>
        </is>
      </c>
      <c r="E1072" t="inlineStr">
        <is>
          <t>MALUNG-SÄLEN</t>
        </is>
      </c>
      <c r="F1072" t="inlineStr">
        <is>
          <t>Övriga statliga verk och myndigheter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31823-2024</t>
        </is>
      </c>
      <c r="B1073" s="1" t="n">
        <v>45509</v>
      </c>
      <c r="C1073" s="1" t="n">
        <v>45828</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31996-2024</t>
        </is>
      </c>
      <c r="B1074" s="1" t="n">
        <v>45510</v>
      </c>
      <c r="C1074" s="1" t="n">
        <v>45828</v>
      </c>
      <c r="D1074" t="inlineStr">
        <is>
          <t>DALARNAS LÄN</t>
        </is>
      </c>
      <c r="E1074" t="inlineStr">
        <is>
          <t>MALUNG-SÄLEN</t>
        </is>
      </c>
      <c r="F1074" t="inlineStr">
        <is>
          <t>Bergvik skog väst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32004-2024</t>
        </is>
      </c>
      <c r="B1075" s="1" t="n">
        <v>45510</v>
      </c>
      <c r="C1075" s="1" t="n">
        <v>45828</v>
      </c>
      <c r="D1075" t="inlineStr">
        <is>
          <t>DALARNAS LÄN</t>
        </is>
      </c>
      <c r="E1075" t="inlineStr">
        <is>
          <t>MALUNG-SÄLEN</t>
        </is>
      </c>
      <c r="F1075" t="inlineStr">
        <is>
          <t>Bergvik skog väst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32012-2024</t>
        </is>
      </c>
      <c r="B1076" s="1" t="n">
        <v>45510</v>
      </c>
      <c r="C1076" s="1" t="n">
        <v>45828</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32015-2024</t>
        </is>
      </c>
      <c r="B1077" s="1" t="n">
        <v>45510</v>
      </c>
      <c r="C1077" s="1" t="n">
        <v>45828</v>
      </c>
      <c r="D1077" t="inlineStr">
        <is>
          <t>DALARNAS LÄN</t>
        </is>
      </c>
      <c r="E1077" t="inlineStr">
        <is>
          <t>MALUNG-SÄLEN</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31954-2024</t>
        </is>
      </c>
      <c r="B1078" s="1" t="n">
        <v>45510</v>
      </c>
      <c r="C1078" s="1" t="n">
        <v>45828</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32014-2024</t>
        </is>
      </c>
      <c r="B1079" s="1" t="n">
        <v>45510</v>
      </c>
      <c r="C1079" s="1" t="n">
        <v>45828</v>
      </c>
      <c r="D1079" t="inlineStr">
        <is>
          <t>DALARNAS LÄN</t>
        </is>
      </c>
      <c r="E1079" t="inlineStr">
        <is>
          <t>MALUNG-SÄLEN</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31953-2024</t>
        </is>
      </c>
      <c r="B1080" s="1" t="n">
        <v>45510</v>
      </c>
      <c r="C1080" s="1" t="n">
        <v>45828</v>
      </c>
      <c r="D1080" t="inlineStr">
        <is>
          <t>DALARNAS LÄN</t>
        </is>
      </c>
      <c r="E1080" t="inlineStr">
        <is>
          <t>MALUNG-SÄLEN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32167-2024</t>
        </is>
      </c>
      <c r="B1081" s="1" t="n">
        <v>45511</v>
      </c>
      <c r="C1081" s="1" t="n">
        <v>45828</v>
      </c>
      <c r="D1081" t="inlineStr">
        <is>
          <t>DALARNAS LÄN</t>
        </is>
      </c>
      <c r="E1081" t="inlineStr">
        <is>
          <t>MALUNG-SÄLEN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32750-2024</t>
        </is>
      </c>
      <c r="B1082" s="1" t="n">
        <v>45516</v>
      </c>
      <c r="C1082" s="1" t="n">
        <v>45828</v>
      </c>
      <c r="D1082" t="inlineStr">
        <is>
          <t>DALARNAS LÄN</t>
        </is>
      </c>
      <c r="E1082" t="inlineStr">
        <is>
          <t>MALUNG-SÄLEN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32930-2024</t>
        </is>
      </c>
      <c r="B1083" s="1" t="n">
        <v>45517</v>
      </c>
      <c r="C1083" s="1" t="n">
        <v>45828</v>
      </c>
      <c r="D1083" t="inlineStr">
        <is>
          <t>DALARNAS LÄN</t>
        </is>
      </c>
      <c r="E1083" t="inlineStr">
        <is>
          <t>MALUNG-SÄLEN</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33177-2024</t>
        </is>
      </c>
      <c r="B1084" s="1" t="n">
        <v>45518</v>
      </c>
      <c r="C1084" s="1" t="n">
        <v>45828</v>
      </c>
      <c r="D1084" t="inlineStr">
        <is>
          <t>DALARNAS LÄN</t>
        </is>
      </c>
      <c r="E1084" t="inlineStr">
        <is>
          <t>MALUNG-SÄLEN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33426-2024</t>
        </is>
      </c>
      <c r="B1085" s="1" t="n">
        <v>45519</v>
      </c>
      <c r="C1085" s="1" t="n">
        <v>45828</v>
      </c>
      <c r="D1085" t="inlineStr">
        <is>
          <t>DALARNAS LÄN</t>
        </is>
      </c>
      <c r="E1085" t="inlineStr">
        <is>
          <t>MALUNG-SÄLEN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33651-2024</t>
        </is>
      </c>
      <c r="B1086" s="1" t="n">
        <v>45520</v>
      </c>
      <c r="C1086" s="1" t="n">
        <v>45828</v>
      </c>
      <c r="D1086" t="inlineStr">
        <is>
          <t>DALARNAS LÄN</t>
        </is>
      </c>
      <c r="E1086" t="inlineStr">
        <is>
          <t>MALUNG-SÄLEN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33642-2024</t>
        </is>
      </c>
      <c r="B1087" s="1" t="n">
        <v>45520</v>
      </c>
      <c r="C1087" s="1" t="n">
        <v>45828</v>
      </c>
      <c r="D1087" t="inlineStr">
        <is>
          <t>DALARNAS LÄN</t>
        </is>
      </c>
      <c r="E1087" t="inlineStr">
        <is>
          <t>MALUNG-SÄLEN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34446-2024</t>
        </is>
      </c>
      <c r="B1088" s="1" t="n">
        <v>45525</v>
      </c>
      <c r="C1088" s="1" t="n">
        <v>45828</v>
      </c>
      <c r="D1088" t="inlineStr">
        <is>
          <t>DALARNAS LÄN</t>
        </is>
      </c>
      <c r="E1088" t="inlineStr">
        <is>
          <t>MALUNG-SÄLEN</t>
        </is>
      </c>
      <c r="F1088" t="inlineStr">
        <is>
          <t>Bergvik skog öst AB</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34395-2024</t>
        </is>
      </c>
      <c r="B1089" s="1" t="n">
        <v>45525</v>
      </c>
      <c r="C1089" s="1" t="n">
        <v>45828</v>
      </c>
      <c r="D1089" t="inlineStr">
        <is>
          <t>DALARNAS LÄN</t>
        </is>
      </c>
      <c r="E1089" t="inlineStr">
        <is>
          <t>MALUNG-SÄLEN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34519-2024</t>
        </is>
      </c>
      <c r="B1090" s="1" t="n">
        <v>45525</v>
      </c>
      <c r="C1090" s="1" t="n">
        <v>45828</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34397-2024</t>
        </is>
      </c>
      <c r="B1091" s="1" t="n">
        <v>45525</v>
      </c>
      <c r="C1091" s="1" t="n">
        <v>45828</v>
      </c>
      <c r="D1091" t="inlineStr">
        <is>
          <t>DALARNAS LÄN</t>
        </is>
      </c>
      <c r="E1091" t="inlineStr">
        <is>
          <t>MALUNG-SÄLEN</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34957-2024</t>
        </is>
      </c>
      <c r="B1092" s="1" t="n">
        <v>45527</v>
      </c>
      <c r="C1092" s="1" t="n">
        <v>45828</v>
      </c>
      <c r="D1092" t="inlineStr">
        <is>
          <t>DALARNAS LÄN</t>
        </is>
      </c>
      <c r="E1092" t="inlineStr">
        <is>
          <t>MALUNG-SÄLEN</t>
        </is>
      </c>
      <c r="F1092" t="inlineStr">
        <is>
          <t>Allmännings- och besparingsskogar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35261-2024</t>
        </is>
      </c>
      <c r="B1093" s="1" t="n">
        <v>45530</v>
      </c>
      <c r="C1093" s="1" t="n">
        <v>45828</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35439-2024</t>
        </is>
      </c>
      <c r="B1094" s="1" t="n">
        <v>45531</v>
      </c>
      <c r="C1094" s="1" t="n">
        <v>45828</v>
      </c>
      <c r="D1094" t="inlineStr">
        <is>
          <t>DALARNAS LÄN</t>
        </is>
      </c>
      <c r="E1094" t="inlineStr">
        <is>
          <t>MALUNG-SÄLEN</t>
        </is>
      </c>
      <c r="F1094" t="inlineStr">
        <is>
          <t>Bergvik skog väst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35923-2024</t>
        </is>
      </c>
      <c r="B1095" s="1" t="n">
        <v>45533</v>
      </c>
      <c r="C1095" s="1" t="n">
        <v>45828</v>
      </c>
      <c r="D1095" t="inlineStr">
        <is>
          <t>DALARNAS LÄN</t>
        </is>
      </c>
      <c r="E1095" t="inlineStr">
        <is>
          <t>MALUNG-SÄLEN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36052-2024</t>
        </is>
      </c>
      <c r="B1096" s="1" t="n">
        <v>45533</v>
      </c>
      <c r="C1096" s="1" t="n">
        <v>45828</v>
      </c>
      <c r="D1096" t="inlineStr">
        <is>
          <t>DALARNAS LÄN</t>
        </is>
      </c>
      <c r="E1096" t="inlineStr">
        <is>
          <t>MALUNG-SÄLEN</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36181-2024</t>
        </is>
      </c>
      <c r="B1097" s="1" t="n">
        <v>45534</v>
      </c>
      <c r="C1097" s="1" t="n">
        <v>45828</v>
      </c>
      <c r="D1097" t="inlineStr">
        <is>
          <t>DALARNAS LÄN</t>
        </is>
      </c>
      <c r="E1097" t="inlineStr">
        <is>
          <t>MALUNG-SÄLEN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36870-2024</t>
        </is>
      </c>
      <c r="B1098" s="1" t="n">
        <v>45538</v>
      </c>
      <c r="C1098" s="1" t="n">
        <v>45828</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36865-2024</t>
        </is>
      </c>
      <c r="B1099" s="1" t="n">
        <v>45538</v>
      </c>
      <c r="C1099" s="1" t="n">
        <v>45828</v>
      </c>
      <c r="D1099" t="inlineStr">
        <is>
          <t>DALARNAS LÄN</t>
        </is>
      </c>
      <c r="E1099" t="inlineStr">
        <is>
          <t>MALUNG-SÄLEN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36841-2024</t>
        </is>
      </c>
      <c r="B1100" s="1" t="n">
        <v>45538</v>
      </c>
      <c r="C1100" s="1" t="n">
        <v>45828</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36884-2024</t>
        </is>
      </c>
      <c r="B1101" s="1" t="n">
        <v>45538</v>
      </c>
      <c r="C1101" s="1" t="n">
        <v>45828</v>
      </c>
      <c r="D1101" t="inlineStr">
        <is>
          <t>DALARNAS LÄN</t>
        </is>
      </c>
      <c r="E1101" t="inlineStr">
        <is>
          <t>MALUNG-SÄLEN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36928-2024</t>
        </is>
      </c>
      <c r="B1102" s="1" t="n">
        <v>45538</v>
      </c>
      <c r="C1102" s="1" t="n">
        <v>45828</v>
      </c>
      <c r="D1102" t="inlineStr">
        <is>
          <t>DALARNAS LÄN</t>
        </is>
      </c>
      <c r="E1102" t="inlineStr">
        <is>
          <t>MALUNG-SÄLEN</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37193-2024</t>
        </is>
      </c>
      <c r="B1103" s="1" t="n">
        <v>45539</v>
      </c>
      <c r="C1103" s="1" t="n">
        <v>45828</v>
      </c>
      <c r="D1103" t="inlineStr">
        <is>
          <t>DALARNAS LÄN</t>
        </is>
      </c>
      <c r="E1103" t="inlineStr">
        <is>
          <t>MALUNG-SÄLEN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37200-2024</t>
        </is>
      </c>
      <c r="B1104" s="1" t="n">
        <v>45539</v>
      </c>
      <c r="C1104" s="1" t="n">
        <v>45828</v>
      </c>
      <c r="D1104" t="inlineStr">
        <is>
          <t>DALARNAS LÄN</t>
        </is>
      </c>
      <c r="E1104" t="inlineStr">
        <is>
          <t>MALUNG-SÄLEN</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37186-2024</t>
        </is>
      </c>
      <c r="B1105" s="1" t="n">
        <v>45539</v>
      </c>
      <c r="C1105" s="1" t="n">
        <v>45828</v>
      </c>
      <c r="D1105" t="inlineStr">
        <is>
          <t>DALARNAS LÄN</t>
        </is>
      </c>
      <c r="E1105" t="inlineStr">
        <is>
          <t>MALUNG-SÄLEN</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37280-2024</t>
        </is>
      </c>
      <c r="B1106" s="1" t="n">
        <v>45540</v>
      </c>
      <c r="C1106" s="1" t="n">
        <v>45828</v>
      </c>
      <c r="D1106" t="inlineStr">
        <is>
          <t>DALARNAS LÄN</t>
        </is>
      </c>
      <c r="E1106" t="inlineStr">
        <is>
          <t>MALUNG-SÄLEN</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37301-2024</t>
        </is>
      </c>
      <c r="B1107" s="1" t="n">
        <v>45540</v>
      </c>
      <c r="C1107" s="1" t="n">
        <v>45828</v>
      </c>
      <c r="D1107" t="inlineStr">
        <is>
          <t>DALARNAS LÄN</t>
        </is>
      </c>
      <c r="E1107" t="inlineStr">
        <is>
          <t>MALUNG-SÄLEN</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37386-2024</t>
        </is>
      </c>
      <c r="B1108" s="1" t="n">
        <v>45540</v>
      </c>
      <c r="C1108" s="1" t="n">
        <v>45828</v>
      </c>
      <c r="D1108" t="inlineStr">
        <is>
          <t>DALARNAS LÄN</t>
        </is>
      </c>
      <c r="E1108" t="inlineStr">
        <is>
          <t>MALUNG-SÄLEN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37678-2024</t>
        </is>
      </c>
      <c r="B1109" s="1" t="n">
        <v>45541</v>
      </c>
      <c r="C1109" s="1" t="n">
        <v>45828</v>
      </c>
      <c r="D1109" t="inlineStr">
        <is>
          <t>DALARNAS LÄN</t>
        </is>
      </c>
      <c r="E1109" t="inlineStr">
        <is>
          <t>MALUNG-SÄLEN</t>
        </is>
      </c>
      <c r="F1109" t="inlineStr">
        <is>
          <t>Bergvik skog öst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37675-2024</t>
        </is>
      </c>
      <c r="B1110" s="1" t="n">
        <v>45541</v>
      </c>
      <c r="C1110" s="1" t="n">
        <v>45828</v>
      </c>
      <c r="D1110" t="inlineStr">
        <is>
          <t>DALARNAS LÄN</t>
        </is>
      </c>
      <c r="E1110" t="inlineStr">
        <is>
          <t>MALUNG-SÄLEN</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37677-2024</t>
        </is>
      </c>
      <c r="B1111" s="1" t="n">
        <v>45541</v>
      </c>
      <c r="C1111" s="1" t="n">
        <v>45828</v>
      </c>
      <c r="D1111" t="inlineStr">
        <is>
          <t>DALARNAS LÄN</t>
        </is>
      </c>
      <c r="E1111" t="inlineStr">
        <is>
          <t>MALUNG-SÄLEN</t>
        </is>
      </c>
      <c r="F1111" t="inlineStr">
        <is>
          <t>Bergvik skog öst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37681-2024</t>
        </is>
      </c>
      <c r="B1112" s="1" t="n">
        <v>45541</v>
      </c>
      <c r="C1112" s="1" t="n">
        <v>45828</v>
      </c>
      <c r="D1112" t="inlineStr">
        <is>
          <t>DALARNAS LÄN</t>
        </is>
      </c>
      <c r="E1112" t="inlineStr">
        <is>
          <t>MALUNG-SÄLEN</t>
        </is>
      </c>
      <c r="F1112" t="inlineStr">
        <is>
          <t>Bergvik skog öst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37920-2024</t>
        </is>
      </c>
      <c r="B1113" s="1" t="n">
        <v>45544</v>
      </c>
      <c r="C1113" s="1" t="n">
        <v>45828</v>
      </c>
      <c r="D1113" t="inlineStr">
        <is>
          <t>DALARNAS LÄN</t>
        </is>
      </c>
      <c r="E1113" t="inlineStr">
        <is>
          <t>MALUNG-SÄLEN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38018-2024</t>
        </is>
      </c>
      <c r="B1114" s="1" t="n">
        <v>45544</v>
      </c>
      <c r="C1114" s="1" t="n">
        <v>45828</v>
      </c>
      <c r="D1114" t="inlineStr">
        <is>
          <t>DALARNAS LÄN</t>
        </is>
      </c>
      <c r="E1114" t="inlineStr">
        <is>
          <t>MALUNG-SÄLEN</t>
        </is>
      </c>
      <c r="F1114" t="inlineStr">
        <is>
          <t>Bergvik skog väst AB</t>
        </is>
      </c>
      <c r="G1114" t="n">
        <v>19.3</v>
      </c>
      <c r="H1114" t="n">
        <v>0</v>
      </c>
      <c r="I1114" t="n">
        <v>0</v>
      </c>
      <c r="J1114" t="n">
        <v>0</v>
      </c>
      <c r="K1114" t="n">
        <v>0</v>
      </c>
      <c r="L1114" t="n">
        <v>0</v>
      </c>
      <c r="M1114" t="n">
        <v>0</v>
      </c>
      <c r="N1114" t="n">
        <v>0</v>
      </c>
      <c r="O1114" t="n">
        <v>0</v>
      </c>
      <c r="P1114" t="n">
        <v>0</v>
      </c>
      <c r="Q1114" t="n">
        <v>0</v>
      </c>
      <c r="R1114" s="2" t="inlineStr"/>
    </row>
    <row r="1115" ht="15" customHeight="1">
      <c r="A1115" t="inlineStr">
        <is>
          <t>A 38349-2024</t>
        </is>
      </c>
      <c r="B1115" s="1" t="n">
        <v>45545</v>
      </c>
      <c r="C1115" s="1" t="n">
        <v>45828</v>
      </c>
      <c r="D1115" t="inlineStr">
        <is>
          <t>DALARNAS LÄN</t>
        </is>
      </c>
      <c r="E1115" t="inlineStr">
        <is>
          <t>MALUNG-SÄLEN</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38352-2024</t>
        </is>
      </c>
      <c r="B1116" s="1" t="n">
        <v>45545</v>
      </c>
      <c r="C1116" s="1" t="n">
        <v>45828</v>
      </c>
      <c r="D1116" t="inlineStr">
        <is>
          <t>DALARNAS LÄN</t>
        </is>
      </c>
      <c r="E1116" t="inlineStr">
        <is>
          <t>MALUNG-SÄLEN</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38795-2024</t>
        </is>
      </c>
      <c r="B1117" s="1" t="n">
        <v>45547</v>
      </c>
      <c r="C1117" s="1" t="n">
        <v>45828</v>
      </c>
      <c r="D1117" t="inlineStr">
        <is>
          <t>DALARNAS LÄN</t>
        </is>
      </c>
      <c r="E1117" t="inlineStr">
        <is>
          <t>MALUNG-SÄLEN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38900-2024</t>
        </is>
      </c>
      <c r="B1118" s="1" t="n">
        <v>45547</v>
      </c>
      <c r="C1118" s="1" t="n">
        <v>45828</v>
      </c>
      <c r="D1118" t="inlineStr">
        <is>
          <t>DALARNAS LÄN</t>
        </is>
      </c>
      <c r="E1118" t="inlineStr">
        <is>
          <t>MALUNG-SÄLEN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38954-2024</t>
        </is>
      </c>
      <c r="B1119" s="1" t="n">
        <v>45548</v>
      </c>
      <c r="C1119" s="1" t="n">
        <v>45828</v>
      </c>
      <c r="D1119" t="inlineStr">
        <is>
          <t>DALARNAS LÄN</t>
        </is>
      </c>
      <c r="E1119" t="inlineStr">
        <is>
          <t>MALUNG-SÄLEN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38932-2024</t>
        </is>
      </c>
      <c r="B1120" s="1" t="n">
        <v>45548</v>
      </c>
      <c r="C1120" s="1" t="n">
        <v>45828</v>
      </c>
      <c r="D1120" t="inlineStr">
        <is>
          <t>DALARNAS LÄN</t>
        </is>
      </c>
      <c r="E1120" t="inlineStr">
        <is>
          <t>MALUNG-SÄLEN</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38978-2024</t>
        </is>
      </c>
      <c r="B1121" s="1" t="n">
        <v>45548</v>
      </c>
      <c r="C1121" s="1" t="n">
        <v>45828</v>
      </c>
      <c r="D1121" t="inlineStr">
        <is>
          <t>DALARNAS LÄN</t>
        </is>
      </c>
      <c r="E1121" t="inlineStr">
        <is>
          <t>MALUNG-SÄLEN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38977-2024</t>
        </is>
      </c>
      <c r="B1122" s="1" t="n">
        <v>45548</v>
      </c>
      <c r="C1122" s="1" t="n">
        <v>45828</v>
      </c>
      <c r="D1122" t="inlineStr">
        <is>
          <t>DALARNAS LÄN</t>
        </is>
      </c>
      <c r="E1122" t="inlineStr">
        <is>
          <t>MALUNG-SÄLEN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39204-2024</t>
        </is>
      </c>
      <c r="B1123" s="1" t="n">
        <v>45548</v>
      </c>
      <c r="C1123" s="1" t="n">
        <v>45828</v>
      </c>
      <c r="D1123" t="inlineStr">
        <is>
          <t>DALARNAS LÄN</t>
        </is>
      </c>
      <c r="E1123" t="inlineStr">
        <is>
          <t>MALUNG-SÄLEN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39435-2024</t>
        </is>
      </c>
      <c r="B1124" s="1" t="n">
        <v>45551</v>
      </c>
      <c r="C1124" s="1" t="n">
        <v>45828</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39551-2024</t>
        </is>
      </c>
      <c r="B1125" s="1" t="n">
        <v>45552</v>
      </c>
      <c r="C1125" s="1" t="n">
        <v>45828</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39562-2024</t>
        </is>
      </c>
      <c r="B1126" s="1" t="n">
        <v>45552</v>
      </c>
      <c r="C1126" s="1" t="n">
        <v>45828</v>
      </c>
      <c r="D1126" t="inlineStr">
        <is>
          <t>DALARNAS LÄN</t>
        </is>
      </c>
      <c r="E1126" t="inlineStr">
        <is>
          <t>MALUNG-SÄLEN</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39560-2024</t>
        </is>
      </c>
      <c r="B1127" s="1" t="n">
        <v>45552</v>
      </c>
      <c r="C1127" s="1" t="n">
        <v>45828</v>
      </c>
      <c r="D1127" t="inlineStr">
        <is>
          <t>DALARNAS LÄN</t>
        </is>
      </c>
      <c r="E1127" t="inlineStr">
        <is>
          <t>MALUNG-SÄLEN</t>
        </is>
      </c>
      <c r="F1127" t="inlineStr">
        <is>
          <t>Bergvik skog öst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39574-2024</t>
        </is>
      </c>
      <c r="B1128" s="1" t="n">
        <v>45552</v>
      </c>
      <c r="C1128" s="1" t="n">
        <v>45828</v>
      </c>
      <c r="D1128" t="inlineStr">
        <is>
          <t>DALARNAS LÄN</t>
        </is>
      </c>
      <c r="E1128" t="inlineStr">
        <is>
          <t>MALUNG-SÄLEN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39544-2024</t>
        </is>
      </c>
      <c r="B1129" s="1" t="n">
        <v>45552</v>
      </c>
      <c r="C1129" s="1" t="n">
        <v>45828</v>
      </c>
      <c r="D1129" t="inlineStr">
        <is>
          <t>DALARNAS LÄN</t>
        </is>
      </c>
      <c r="E1129" t="inlineStr">
        <is>
          <t>MALUNG-SÄLEN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39974-2024</t>
        </is>
      </c>
      <c r="B1130" s="1" t="n">
        <v>45553</v>
      </c>
      <c r="C1130" s="1" t="n">
        <v>45828</v>
      </c>
      <c r="D1130" t="inlineStr">
        <is>
          <t>DALARNAS LÄN</t>
        </is>
      </c>
      <c r="E1130" t="inlineStr">
        <is>
          <t>MALUNG-SÄLEN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39971-2024</t>
        </is>
      </c>
      <c r="B1131" s="1" t="n">
        <v>45553</v>
      </c>
      <c r="C1131" s="1" t="n">
        <v>45828</v>
      </c>
      <c r="D1131" t="inlineStr">
        <is>
          <t>DALARNAS LÄN</t>
        </is>
      </c>
      <c r="E1131" t="inlineStr">
        <is>
          <t>MALUNG-SÄLEN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39788-2024</t>
        </is>
      </c>
      <c r="B1132" s="1" t="n">
        <v>45553</v>
      </c>
      <c r="C1132" s="1" t="n">
        <v>45828</v>
      </c>
      <c r="D1132" t="inlineStr">
        <is>
          <t>DALARNAS LÄN</t>
        </is>
      </c>
      <c r="E1132" t="inlineStr">
        <is>
          <t>MALUNG-SÄLEN</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39940-2024</t>
        </is>
      </c>
      <c r="B1133" s="1" t="n">
        <v>45553</v>
      </c>
      <c r="C1133" s="1" t="n">
        <v>45828</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39972-2024</t>
        </is>
      </c>
      <c r="B1134" s="1" t="n">
        <v>45553</v>
      </c>
      <c r="C1134" s="1" t="n">
        <v>45828</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40128-2024</t>
        </is>
      </c>
      <c r="B1135" s="1" t="n">
        <v>45554</v>
      </c>
      <c r="C1135" s="1" t="n">
        <v>45828</v>
      </c>
      <c r="D1135" t="inlineStr">
        <is>
          <t>DALARNAS LÄN</t>
        </is>
      </c>
      <c r="E1135" t="inlineStr">
        <is>
          <t>MALUNG-SÄLEN</t>
        </is>
      </c>
      <c r="F1135" t="inlineStr">
        <is>
          <t>Allmännings- och besparingsskogar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40225-2024</t>
        </is>
      </c>
      <c r="B1136" s="1" t="n">
        <v>45554</v>
      </c>
      <c r="C1136" s="1" t="n">
        <v>45828</v>
      </c>
      <c r="D1136" t="inlineStr">
        <is>
          <t>DALARNAS LÄN</t>
        </is>
      </c>
      <c r="E1136" t="inlineStr">
        <is>
          <t>MALUNG-SÄLEN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40150-2024</t>
        </is>
      </c>
      <c r="B1137" s="1" t="n">
        <v>45554</v>
      </c>
      <c r="C1137" s="1" t="n">
        <v>45828</v>
      </c>
      <c r="D1137" t="inlineStr">
        <is>
          <t>DALARNAS LÄN</t>
        </is>
      </c>
      <c r="E1137" t="inlineStr">
        <is>
          <t>MALUNG-SÄLEN</t>
        </is>
      </c>
      <c r="F1137" t="inlineStr">
        <is>
          <t>Bergvik skog väst AB</t>
        </is>
      </c>
      <c r="G1137" t="n">
        <v>20.9</v>
      </c>
      <c r="H1137" t="n">
        <v>0</v>
      </c>
      <c r="I1137" t="n">
        <v>0</v>
      </c>
      <c r="J1137" t="n">
        <v>0</v>
      </c>
      <c r="K1137" t="n">
        <v>0</v>
      </c>
      <c r="L1137" t="n">
        <v>0</v>
      </c>
      <c r="M1137" t="n">
        <v>0</v>
      </c>
      <c r="N1137" t="n">
        <v>0</v>
      </c>
      <c r="O1137" t="n">
        <v>0</v>
      </c>
      <c r="P1137" t="n">
        <v>0</v>
      </c>
      <c r="Q1137" t="n">
        <v>0</v>
      </c>
      <c r="R1137" s="2" t="inlineStr"/>
    </row>
    <row r="1138" ht="15" customHeight="1">
      <c r="A1138" t="inlineStr">
        <is>
          <t>A 40117-2024</t>
        </is>
      </c>
      <c r="B1138" s="1" t="n">
        <v>45554</v>
      </c>
      <c r="C1138" s="1" t="n">
        <v>45828</v>
      </c>
      <c r="D1138" t="inlineStr">
        <is>
          <t>DALARNAS LÄN</t>
        </is>
      </c>
      <c r="E1138" t="inlineStr">
        <is>
          <t>MALUNG-SÄLEN</t>
        </is>
      </c>
      <c r="F1138" t="inlineStr">
        <is>
          <t>Allmännings- och besparingsskogar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40267-2024</t>
        </is>
      </c>
      <c r="B1139" s="1" t="n">
        <v>45554</v>
      </c>
      <c r="C1139" s="1" t="n">
        <v>45828</v>
      </c>
      <c r="D1139" t="inlineStr">
        <is>
          <t>DALARNAS LÄN</t>
        </is>
      </c>
      <c r="E1139" t="inlineStr">
        <is>
          <t>MALUNG-SÄLEN</t>
        </is>
      </c>
      <c r="F1139" t="inlineStr">
        <is>
          <t>Bergvik skog väst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40461-2024</t>
        </is>
      </c>
      <c r="B1140" s="1" t="n">
        <v>45555</v>
      </c>
      <c r="C1140" s="1" t="n">
        <v>45828</v>
      </c>
      <c r="D1140" t="inlineStr">
        <is>
          <t>DALARNAS LÄN</t>
        </is>
      </c>
      <c r="E1140" t="inlineStr">
        <is>
          <t>MALUNG-SÄLEN</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40470-2024</t>
        </is>
      </c>
      <c r="B1141" s="1" t="n">
        <v>45555</v>
      </c>
      <c r="C1141" s="1" t="n">
        <v>45828</v>
      </c>
      <c r="D1141" t="inlineStr">
        <is>
          <t>DALARNAS LÄN</t>
        </is>
      </c>
      <c r="E1141" t="inlineStr">
        <is>
          <t>MALUNG-SÄLEN</t>
        </is>
      </c>
      <c r="F1141" t="inlineStr">
        <is>
          <t>Bergvik skog väst AB</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41324-2024</t>
        </is>
      </c>
      <c r="B1142" s="1" t="n">
        <v>45559</v>
      </c>
      <c r="C1142" s="1" t="n">
        <v>45828</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41433-2024</t>
        </is>
      </c>
      <c r="B1143" s="1" t="n">
        <v>45560</v>
      </c>
      <c r="C1143" s="1" t="n">
        <v>45828</v>
      </c>
      <c r="D1143" t="inlineStr">
        <is>
          <t>DALARNAS LÄN</t>
        </is>
      </c>
      <c r="E1143" t="inlineStr">
        <is>
          <t>MALUNG-SÄLEN</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41574-2024</t>
        </is>
      </c>
      <c r="B1144" s="1" t="n">
        <v>45560</v>
      </c>
      <c r="C1144" s="1" t="n">
        <v>45828</v>
      </c>
      <c r="D1144" t="inlineStr">
        <is>
          <t>DALARNAS LÄN</t>
        </is>
      </c>
      <c r="E1144" t="inlineStr">
        <is>
          <t>MALUNG-SÄLEN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41409-2024</t>
        </is>
      </c>
      <c r="B1145" s="1" t="n">
        <v>45560</v>
      </c>
      <c r="C1145" s="1" t="n">
        <v>45828</v>
      </c>
      <c r="D1145" t="inlineStr">
        <is>
          <t>DALARNAS LÄN</t>
        </is>
      </c>
      <c r="E1145" t="inlineStr">
        <is>
          <t>MALUNG-SÄLEN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41880-2024</t>
        </is>
      </c>
      <c r="B1146" s="1" t="n">
        <v>45561</v>
      </c>
      <c r="C1146" s="1" t="n">
        <v>45828</v>
      </c>
      <c r="D1146" t="inlineStr">
        <is>
          <t>DALARNAS LÄN</t>
        </is>
      </c>
      <c r="E1146" t="inlineStr">
        <is>
          <t>MALUNG-SÄLEN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41775-2024</t>
        </is>
      </c>
      <c r="B1147" s="1" t="n">
        <v>45561</v>
      </c>
      <c r="C1147" s="1" t="n">
        <v>45828</v>
      </c>
      <c r="D1147" t="inlineStr">
        <is>
          <t>DALARNAS LÄN</t>
        </is>
      </c>
      <c r="E1147" t="inlineStr">
        <is>
          <t>MALUNG-SÄLEN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42022-2024</t>
        </is>
      </c>
      <c r="B1148" s="1" t="n">
        <v>45561</v>
      </c>
      <c r="C1148" s="1" t="n">
        <v>45828</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42020-2024</t>
        </is>
      </c>
      <c r="B1149" s="1" t="n">
        <v>45561</v>
      </c>
      <c r="C1149" s="1" t="n">
        <v>45828</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42081-2024</t>
        </is>
      </c>
      <c r="B1150" s="1" t="n">
        <v>45562</v>
      </c>
      <c r="C1150" s="1" t="n">
        <v>45828</v>
      </c>
      <c r="D1150" t="inlineStr">
        <is>
          <t>DALARNAS LÄN</t>
        </is>
      </c>
      <c r="E1150" t="inlineStr">
        <is>
          <t>MALUNG-SÄLEN</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42561-2024</t>
        </is>
      </c>
      <c r="B1151" s="1" t="n">
        <v>45565</v>
      </c>
      <c r="C1151" s="1" t="n">
        <v>45828</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42802-2024</t>
        </is>
      </c>
      <c r="B1152" s="1" t="n">
        <v>45566</v>
      </c>
      <c r="C1152" s="1" t="n">
        <v>45828</v>
      </c>
      <c r="D1152" t="inlineStr">
        <is>
          <t>DALARNAS LÄN</t>
        </is>
      </c>
      <c r="E1152" t="inlineStr">
        <is>
          <t>MALUNG-SÄLEN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42759-2024</t>
        </is>
      </c>
      <c r="B1153" s="1" t="n">
        <v>45566</v>
      </c>
      <c r="C1153" s="1" t="n">
        <v>45828</v>
      </c>
      <c r="D1153" t="inlineStr">
        <is>
          <t>DALARNAS LÄN</t>
        </is>
      </c>
      <c r="E1153" t="inlineStr">
        <is>
          <t>MALUNG-SÄLEN</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42652-2024</t>
        </is>
      </c>
      <c r="B1154" s="1" t="n">
        <v>45566</v>
      </c>
      <c r="C1154" s="1" t="n">
        <v>45828</v>
      </c>
      <c r="D1154" t="inlineStr">
        <is>
          <t>DALARNAS LÄN</t>
        </is>
      </c>
      <c r="E1154" t="inlineStr">
        <is>
          <t>MALUNG-SÄLEN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42924-2024</t>
        </is>
      </c>
      <c r="B1155" s="1" t="n">
        <v>45567</v>
      </c>
      <c r="C1155" s="1" t="n">
        <v>45828</v>
      </c>
      <c r="D1155" t="inlineStr">
        <is>
          <t>DALARNAS LÄN</t>
        </is>
      </c>
      <c r="E1155" t="inlineStr">
        <is>
          <t>MALUNG-SÄLEN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43258-2024</t>
        </is>
      </c>
      <c r="B1156" s="1" t="n">
        <v>45568</v>
      </c>
      <c r="C1156" s="1" t="n">
        <v>45828</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43520-2024</t>
        </is>
      </c>
      <c r="B1157" s="1" t="n">
        <v>45569</v>
      </c>
      <c r="C1157" s="1" t="n">
        <v>45828</v>
      </c>
      <c r="D1157" t="inlineStr">
        <is>
          <t>DALARNAS LÄN</t>
        </is>
      </c>
      <c r="E1157" t="inlineStr">
        <is>
          <t>MALUNG-SÄLEN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43677-2024</t>
        </is>
      </c>
      <c r="B1158" s="1" t="n">
        <v>45569</v>
      </c>
      <c r="C1158" s="1" t="n">
        <v>45828</v>
      </c>
      <c r="D1158" t="inlineStr">
        <is>
          <t>DALARNAS LÄN</t>
        </is>
      </c>
      <c r="E1158" t="inlineStr">
        <is>
          <t>MALUNG-SÄLEN</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43581-2024</t>
        </is>
      </c>
      <c r="B1159" s="1" t="n">
        <v>45569</v>
      </c>
      <c r="C1159" s="1" t="n">
        <v>45828</v>
      </c>
      <c r="D1159" t="inlineStr">
        <is>
          <t>DALARNAS LÄN</t>
        </is>
      </c>
      <c r="E1159" t="inlineStr">
        <is>
          <t>MALUNG-SÄLEN</t>
        </is>
      </c>
      <c r="F1159" t="inlineStr">
        <is>
          <t>Allmännings- och besparingsskogar</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44570-2024</t>
        </is>
      </c>
      <c r="B1160" s="1" t="n">
        <v>45574</v>
      </c>
      <c r="C1160" s="1" t="n">
        <v>45828</v>
      </c>
      <c r="D1160" t="inlineStr">
        <is>
          <t>DALARNAS LÄN</t>
        </is>
      </c>
      <c r="E1160" t="inlineStr">
        <is>
          <t>MALUNG-SÄLEN</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44574-2024</t>
        </is>
      </c>
      <c r="B1161" s="1" t="n">
        <v>45574</v>
      </c>
      <c r="C1161" s="1" t="n">
        <v>45828</v>
      </c>
      <c r="D1161" t="inlineStr">
        <is>
          <t>DALARNAS LÄN</t>
        </is>
      </c>
      <c r="E1161" t="inlineStr">
        <is>
          <t>MALUNG-SÄLEN</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44761-2024</t>
        </is>
      </c>
      <c r="B1162" s="1" t="n">
        <v>45574</v>
      </c>
      <c r="C1162" s="1" t="n">
        <v>45828</v>
      </c>
      <c r="D1162" t="inlineStr">
        <is>
          <t>DALARNAS LÄN</t>
        </is>
      </c>
      <c r="E1162" t="inlineStr">
        <is>
          <t>MALUNG-SÄLEN</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44576-2024</t>
        </is>
      </c>
      <c r="B1163" s="1" t="n">
        <v>45574</v>
      </c>
      <c r="C1163" s="1" t="n">
        <v>45828</v>
      </c>
      <c r="D1163" t="inlineStr">
        <is>
          <t>DALARNAS LÄN</t>
        </is>
      </c>
      <c r="E1163" t="inlineStr">
        <is>
          <t>MALUNG-SÄLEN</t>
        </is>
      </c>
      <c r="F1163" t="inlineStr">
        <is>
          <t>Bergvik skog öst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45163-2024</t>
        </is>
      </c>
      <c r="B1164" s="1" t="n">
        <v>45575</v>
      </c>
      <c r="C1164" s="1" t="n">
        <v>45828</v>
      </c>
      <c r="D1164" t="inlineStr">
        <is>
          <t>DALARNAS LÄN</t>
        </is>
      </c>
      <c r="E1164" t="inlineStr">
        <is>
          <t>MALUNG-SÄLEN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44944-2024</t>
        </is>
      </c>
      <c r="B1165" s="1" t="n">
        <v>45575</v>
      </c>
      <c r="C1165" s="1" t="n">
        <v>45828</v>
      </c>
      <c r="D1165" t="inlineStr">
        <is>
          <t>DALARNAS LÄN</t>
        </is>
      </c>
      <c r="E1165" t="inlineStr">
        <is>
          <t>MALUNG-SÄLEN</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45416-2024</t>
        </is>
      </c>
      <c r="B1166" s="1" t="n">
        <v>45576</v>
      </c>
      <c r="C1166" s="1" t="n">
        <v>45828</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45616-2024</t>
        </is>
      </c>
      <c r="B1167" s="1" t="n">
        <v>45579</v>
      </c>
      <c r="C1167" s="1" t="n">
        <v>45828</v>
      </c>
      <c r="D1167" t="inlineStr">
        <is>
          <t>DALARNAS LÄN</t>
        </is>
      </c>
      <c r="E1167" t="inlineStr">
        <is>
          <t>MALUNG-SÄLEN</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45540-2024</t>
        </is>
      </c>
      <c r="B1168" s="1" t="n">
        <v>45579</v>
      </c>
      <c r="C1168" s="1" t="n">
        <v>45828</v>
      </c>
      <c r="D1168" t="inlineStr">
        <is>
          <t>DALARNAS LÄN</t>
        </is>
      </c>
      <c r="E1168" t="inlineStr">
        <is>
          <t>MALUNG-SÄLEN</t>
        </is>
      </c>
      <c r="F1168" t="inlineStr">
        <is>
          <t>Allmännings- och besparingsskogar</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45874-2024</t>
        </is>
      </c>
      <c r="B1169" s="1" t="n">
        <v>45580</v>
      </c>
      <c r="C1169" s="1" t="n">
        <v>45828</v>
      </c>
      <c r="D1169" t="inlineStr">
        <is>
          <t>DALARNAS LÄN</t>
        </is>
      </c>
      <c r="E1169" t="inlineStr">
        <is>
          <t>MALUNG-SÄLEN</t>
        </is>
      </c>
      <c r="F1169" t="inlineStr">
        <is>
          <t>Allmännings- och besparingsskogar</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45963-2024</t>
        </is>
      </c>
      <c r="B1170" s="1" t="n">
        <v>45580</v>
      </c>
      <c r="C1170" s="1" t="n">
        <v>45828</v>
      </c>
      <c r="D1170" t="inlineStr">
        <is>
          <t>DALARNAS LÄN</t>
        </is>
      </c>
      <c r="E1170" t="inlineStr">
        <is>
          <t>MALUNG-SÄLEN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45890-2024</t>
        </is>
      </c>
      <c r="B1171" s="1" t="n">
        <v>45580</v>
      </c>
      <c r="C1171" s="1" t="n">
        <v>45828</v>
      </c>
      <c r="D1171" t="inlineStr">
        <is>
          <t>DALARNAS LÄN</t>
        </is>
      </c>
      <c r="E1171" t="inlineStr">
        <is>
          <t>MALUNG-SÄLEN</t>
        </is>
      </c>
      <c r="F1171" t="inlineStr">
        <is>
          <t>Allmännings- och besparingsskogar</t>
        </is>
      </c>
      <c r="G1171" t="n">
        <v>48.9</v>
      </c>
      <c r="H1171" t="n">
        <v>0</v>
      </c>
      <c r="I1171" t="n">
        <v>0</v>
      </c>
      <c r="J1171" t="n">
        <v>0</v>
      </c>
      <c r="K1171" t="n">
        <v>0</v>
      </c>
      <c r="L1171" t="n">
        <v>0</v>
      </c>
      <c r="M1171" t="n">
        <v>0</v>
      </c>
      <c r="N1171" t="n">
        <v>0</v>
      </c>
      <c r="O1171" t="n">
        <v>0</v>
      </c>
      <c r="P1171" t="n">
        <v>0</v>
      </c>
      <c r="Q1171" t="n">
        <v>0</v>
      </c>
      <c r="R1171" s="2" t="inlineStr"/>
    </row>
    <row r="1172" ht="15" customHeight="1">
      <c r="A1172" t="inlineStr">
        <is>
          <t>A 47336-2024</t>
        </is>
      </c>
      <c r="B1172" s="1" t="n">
        <v>45583</v>
      </c>
      <c r="C1172" s="1" t="n">
        <v>45828</v>
      </c>
      <c r="D1172" t="inlineStr">
        <is>
          <t>DALARNAS LÄN</t>
        </is>
      </c>
      <c r="E1172" t="inlineStr">
        <is>
          <t>MALUNG-SÄLEN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46887-2024</t>
        </is>
      </c>
      <c r="B1173" s="1" t="n">
        <v>45583</v>
      </c>
      <c r="C1173" s="1" t="n">
        <v>45828</v>
      </c>
      <c r="D1173" t="inlineStr">
        <is>
          <t>DALARNAS LÄN</t>
        </is>
      </c>
      <c r="E1173" t="inlineStr">
        <is>
          <t>MALUNG-SÄLEN</t>
        </is>
      </c>
      <c r="F1173" t="inlineStr">
        <is>
          <t>Bergvik skog väst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46885-2024</t>
        </is>
      </c>
      <c r="B1174" s="1" t="n">
        <v>45583</v>
      </c>
      <c r="C1174" s="1" t="n">
        <v>45828</v>
      </c>
      <c r="D1174" t="inlineStr">
        <is>
          <t>DALARNAS LÄN</t>
        </is>
      </c>
      <c r="E1174" t="inlineStr">
        <is>
          <t>MALUNG-SÄLEN</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48493-2024</t>
        </is>
      </c>
      <c r="B1175" s="1" t="n">
        <v>45592</v>
      </c>
      <c r="C1175" s="1" t="n">
        <v>45828</v>
      </c>
      <c r="D1175" t="inlineStr">
        <is>
          <t>DALARNAS LÄN</t>
        </is>
      </c>
      <c r="E1175" t="inlineStr">
        <is>
          <t>MALUNG-SÄLEN</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48728-2024</t>
        </is>
      </c>
      <c r="B1176" s="1" t="n">
        <v>45593</v>
      </c>
      <c r="C1176" s="1" t="n">
        <v>45828</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49343-2024</t>
        </is>
      </c>
      <c r="B1177" s="1" t="n">
        <v>45595</v>
      </c>
      <c r="C1177" s="1" t="n">
        <v>45828</v>
      </c>
      <c r="D1177" t="inlineStr">
        <is>
          <t>DALARNAS LÄN</t>
        </is>
      </c>
      <c r="E1177" t="inlineStr">
        <is>
          <t>MALUNG-SÄLEN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49962-2024</t>
        </is>
      </c>
      <c r="B1178" s="1" t="n">
        <v>45597</v>
      </c>
      <c r="C1178" s="1" t="n">
        <v>45828</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49807-2024</t>
        </is>
      </c>
      <c r="B1179" s="1" t="n">
        <v>45597</v>
      </c>
      <c r="C1179" s="1" t="n">
        <v>45828</v>
      </c>
      <c r="D1179" t="inlineStr">
        <is>
          <t>DALARNAS LÄN</t>
        </is>
      </c>
      <c r="E1179" t="inlineStr">
        <is>
          <t>MALUNG-SÄLEN</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49800-2024</t>
        </is>
      </c>
      <c r="B1180" s="1" t="n">
        <v>45597</v>
      </c>
      <c r="C1180" s="1" t="n">
        <v>45828</v>
      </c>
      <c r="D1180" t="inlineStr">
        <is>
          <t>DALARNAS LÄN</t>
        </is>
      </c>
      <c r="E1180" t="inlineStr">
        <is>
          <t>MALUNG-SÄLEN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50091-2024</t>
        </is>
      </c>
      <c r="B1181" s="1" t="n">
        <v>45600</v>
      </c>
      <c r="C1181" s="1" t="n">
        <v>45828</v>
      </c>
      <c r="D1181" t="inlineStr">
        <is>
          <t>DALARNAS LÄN</t>
        </is>
      </c>
      <c r="E1181" t="inlineStr">
        <is>
          <t>MALUNG-SÄLEN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50256-2024</t>
        </is>
      </c>
      <c r="B1182" s="1" t="n">
        <v>45600</v>
      </c>
      <c r="C1182" s="1" t="n">
        <v>45828</v>
      </c>
      <c r="D1182" t="inlineStr">
        <is>
          <t>DALARNAS LÄN</t>
        </is>
      </c>
      <c r="E1182" t="inlineStr">
        <is>
          <t>MALUNG-SÄLEN</t>
        </is>
      </c>
      <c r="F1182" t="inlineStr">
        <is>
          <t>Bergvik skog öst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50214-2024</t>
        </is>
      </c>
      <c r="B1183" s="1" t="n">
        <v>45600</v>
      </c>
      <c r="C1183" s="1" t="n">
        <v>45828</v>
      </c>
      <c r="D1183" t="inlineStr">
        <is>
          <t>DALARNAS LÄN</t>
        </is>
      </c>
      <c r="E1183" t="inlineStr">
        <is>
          <t>MALUNG-SÄLEN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50697-2024</t>
        </is>
      </c>
      <c r="B1184" s="1" t="n">
        <v>45602</v>
      </c>
      <c r="C1184" s="1" t="n">
        <v>45828</v>
      </c>
      <c r="D1184" t="inlineStr">
        <is>
          <t>DALARNAS LÄN</t>
        </is>
      </c>
      <c r="E1184" t="inlineStr">
        <is>
          <t>MALUNG-SÄLEN</t>
        </is>
      </c>
      <c r="F1184" t="inlineStr">
        <is>
          <t>Bergvik skog öst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51282-2024</t>
        </is>
      </c>
      <c r="B1185" s="1" t="n">
        <v>45603</v>
      </c>
      <c r="C1185" s="1" t="n">
        <v>45828</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51388-2024</t>
        </is>
      </c>
      <c r="B1186" s="1" t="n">
        <v>45604</v>
      </c>
      <c r="C1186" s="1" t="n">
        <v>45828</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51395-2024</t>
        </is>
      </c>
      <c r="B1187" s="1" t="n">
        <v>45604</v>
      </c>
      <c r="C1187" s="1" t="n">
        <v>45828</v>
      </c>
      <c r="D1187" t="inlineStr">
        <is>
          <t>DALARNAS LÄN</t>
        </is>
      </c>
      <c r="E1187" t="inlineStr">
        <is>
          <t>MALUNG-SÄLEN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51399-2024</t>
        </is>
      </c>
      <c r="B1188" s="1" t="n">
        <v>45604</v>
      </c>
      <c r="C1188" s="1" t="n">
        <v>45828</v>
      </c>
      <c r="D1188" t="inlineStr">
        <is>
          <t>DALARNAS LÄN</t>
        </is>
      </c>
      <c r="E1188" t="inlineStr">
        <is>
          <t>MALUNG-SÄLEN</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51503-2024</t>
        </is>
      </c>
      <c r="B1189" s="1" t="n">
        <v>45604</v>
      </c>
      <c r="C1189" s="1" t="n">
        <v>45828</v>
      </c>
      <c r="D1189" t="inlineStr">
        <is>
          <t>DALARNAS LÄN</t>
        </is>
      </c>
      <c r="E1189" t="inlineStr">
        <is>
          <t>MALUNG-SÄLEN</t>
        </is>
      </c>
      <c r="F1189" t="inlineStr">
        <is>
          <t>Allmännings- och besparingsskogar</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51768-2024</t>
        </is>
      </c>
      <c r="B1190" s="1" t="n">
        <v>45607</v>
      </c>
      <c r="C1190" s="1" t="n">
        <v>45828</v>
      </c>
      <c r="D1190" t="inlineStr">
        <is>
          <t>DALARNAS LÄN</t>
        </is>
      </c>
      <c r="E1190" t="inlineStr">
        <is>
          <t>MALUNG-SÄLEN</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51825-2024</t>
        </is>
      </c>
      <c r="B1191" s="1" t="n">
        <v>45607</v>
      </c>
      <c r="C1191" s="1" t="n">
        <v>45828</v>
      </c>
      <c r="D1191" t="inlineStr">
        <is>
          <t>DALARNAS LÄN</t>
        </is>
      </c>
      <c r="E1191" t="inlineStr">
        <is>
          <t>MALUNG-SÄLEN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51794-2024</t>
        </is>
      </c>
      <c r="B1192" s="1" t="n">
        <v>45607</v>
      </c>
      <c r="C1192" s="1" t="n">
        <v>45828</v>
      </c>
      <c r="D1192" t="inlineStr">
        <is>
          <t>DALARNAS LÄN</t>
        </is>
      </c>
      <c r="E1192" t="inlineStr">
        <is>
          <t>MALUNG-SÄLEN</t>
        </is>
      </c>
      <c r="F1192" t="inlineStr">
        <is>
          <t>Bergvik skog öst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52142-2024</t>
        </is>
      </c>
      <c r="B1193" s="1" t="n">
        <v>45608</v>
      </c>
      <c r="C1193" s="1" t="n">
        <v>45828</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52141-2024</t>
        </is>
      </c>
      <c r="B1194" s="1" t="n">
        <v>45608</v>
      </c>
      <c r="C1194" s="1" t="n">
        <v>45828</v>
      </c>
      <c r="D1194" t="inlineStr">
        <is>
          <t>DALARNAS LÄN</t>
        </is>
      </c>
      <c r="E1194" t="inlineStr">
        <is>
          <t>MALUNG-SÄLEN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52238-2024</t>
        </is>
      </c>
      <c r="B1195" s="1" t="n">
        <v>45608</v>
      </c>
      <c r="C1195" s="1" t="n">
        <v>45828</v>
      </c>
      <c r="D1195" t="inlineStr">
        <is>
          <t>DALARNAS LÄN</t>
        </is>
      </c>
      <c r="E1195" t="inlineStr">
        <is>
          <t>MALUNG-SÄLEN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52358-2024</t>
        </is>
      </c>
      <c r="B1196" s="1" t="n">
        <v>45609</v>
      </c>
      <c r="C1196" s="1" t="n">
        <v>45828</v>
      </c>
      <c r="D1196" t="inlineStr">
        <is>
          <t>DALARNAS LÄN</t>
        </is>
      </c>
      <c r="E1196" t="inlineStr">
        <is>
          <t>MALUNG-SÄLEN</t>
        </is>
      </c>
      <c r="F1196" t="inlineStr">
        <is>
          <t>Bergvik skog öst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52639-2024</t>
        </is>
      </c>
      <c r="B1197" s="1" t="n">
        <v>45610</v>
      </c>
      <c r="C1197" s="1" t="n">
        <v>45828</v>
      </c>
      <c r="D1197" t="inlineStr">
        <is>
          <t>DALARNAS LÄN</t>
        </is>
      </c>
      <c r="E1197" t="inlineStr">
        <is>
          <t>MALUNG-SÄLEN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53490-2024</t>
        </is>
      </c>
      <c r="B1198" s="1" t="n">
        <v>45614</v>
      </c>
      <c r="C1198" s="1" t="n">
        <v>45828</v>
      </c>
      <c r="D1198" t="inlineStr">
        <is>
          <t>DALARNAS LÄN</t>
        </is>
      </c>
      <c r="E1198" t="inlineStr">
        <is>
          <t>MALUNG-SÄLEN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53333-2024</t>
        </is>
      </c>
      <c r="B1199" s="1" t="n">
        <v>45614</v>
      </c>
      <c r="C1199" s="1" t="n">
        <v>45828</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53267-2024</t>
        </is>
      </c>
      <c r="B1200" s="1" t="n">
        <v>45614</v>
      </c>
      <c r="C1200" s="1" t="n">
        <v>45828</v>
      </c>
      <c r="D1200" t="inlineStr">
        <is>
          <t>DALARNAS LÄN</t>
        </is>
      </c>
      <c r="E1200" t="inlineStr">
        <is>
          <t>MALUNG-SÄLEN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53659-2024</t>
        </is>
      </c>
      <c r="B1201" s="1" t="n">
        <v>45615</v>
      </c>
      <c r="C1201" s="1" t="n">
        <v>45828</v>
      </c>
      <c r="D1201" t="inlineStr">
        <is>
          <t>DALARNAS LÄN</t>
        </is>
      </c>
      <c r="E1201" t="inlineStr">
        <is>
          <t>MALUNG-SÄLEN</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53800-2024</t>
        </is>
      </c>
      <c r="B1202" s="1" t="n">
        <v>45615</v>
      </c>
      <c r="C1202" s="1" t="n">
        <v>45828</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53863-2024</t>
        </is>
      </c>
      <c r="B1203" s="1" t="n">
        <v>45615</v>
      </c>
      <c r="C1203" s="1" t="n">
        <v>45828</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54887-2024</t>
        </is>
      </c>
      <c r="B1204" s="1" t="n">
        <v>45618</v>
      </c>
      <c r="C1204" s="1" t="n">
        <v>45828</v>
      </c>
      <c r="D1204" t="inlineStr">
        <is>
          <t>DALARNAS LÄN</t>
        </is>
      </c>
      <c r="E1204" t="inlineStr">
        <is>
          <t>MALUNG-SÄLEN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54842-2024</t>
        </is>
      </c>
      <c r="B1205" s="1" t="n">
        <v>45618</v>
      </c>
      <c r="C1205" s="1" t="n">
        <v>45828</v>
      </c>
      <c r="D1205" t="inlineStr">
        <is>
          <t>DALARNAS LÄN</t>
        </is>
      </c>
      <c r="E1205" t="inlineStr">
        <is>
          <t>MALUNG-SÄLEN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55307-2024</t>
        </is>
      </c>
      <c r="B1206" s="1" t="n">
        <v>45621</v>
      </c>
      <c r="C1206" s="1" t="n">
        <v>45828</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55024-2024</t>
        </is>
      </c>
      <c r="B1207" s="1" t="n">
        <v>45621</v>
      </c>
      <c r="C1207" s="1" t="n">
        <v>45828</v>
      </c>
      <c r="D1207" t="inlineStr">
        <is>
          <t>DALARNAS LÄN</t>
        </is>
      </c>
      <c r="E1207" t="inlineStr">
        <is>
          <t>MALUNG-SÄLEN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55075-2024</t>
        </is>
      </c>
      <c r="B1208" s="1" t="n">
        <v>45621</v>
      </c>
      <c r="C1208" s="1" t="n">
        <v>45828</v>
      </c>
      <c r="D1208" t="inlineStr">
        <is>
          <t>DALARNAS LÄN</t>
        </is>
      </c>
      <c r="E1208" t="inlineStr">
        <is>
          <t>MALUNG-SÄLEN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55058-2024</t>
        </is>
      </c>
      <c r="B1209" s="1" t="n">
        <v>45621</v>
      </c>
      <c r="C1209" s="1" t="n">
        <v>45828</v>
      </c>
      <c r="D1209" t="inlineStr">
        <is>
          <t>DALARNAS LÄN</t>
        </is>
      </c>
      <c r="E1209" t="inlineStr">
        <is>
          <t>MALUNG-SÄLEN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55230-2024</t>
        </is>
      </c>
      <c r="B1210" s="1" t="n">
        <v>45621</v>
      </c>
      <c r="C1210" s="1" t="n">
        <v>45828</v>
      </c>
      <c r="D1210" t="inlineStr">
        <is>
          <t>DALARNAS LÄN</t>
        </is>
      </c>
      <c r="E1210" t="inlineStr">
        <is>
          <t>MALUNG-SÄLEN</t>
        </is>
      </c>
      <c r="F1210" t="inlineStr">
        <is>
          <t>Kommuner</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55579-2024</t>
        </is>
      </c>
      <c r="B1211" s="1" t="n">
        <v>45621</v>
      </c>
      <c r="C1211" s="1" t="n">
        <v>45828</v>
      </c>
      <c r="D1211" t="inlineStr">
        <is>
          <t>DALARNAS LÄN</t>
        </is>
      </c>
      <c r="E1211" t="inlineStr">
        <is>
          <t>MALUNG-SÄLEN</t>
        </is>
      </c>
      <c r="F1211" t="inlineStr">
        <is>
          <t>Allmännings- och besparingsskogar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55638-2024</t>
        </is>
      </c>
      <c r="B1212" s="1" t="n">
        <v>45622</v>
      </c>
      <c r="C1212" s="1" t="n">
        <v>45828</v>
      </c>
      <c r="D1212" t="inlineStr">
        <is>
          <t>DALARNAS LÄN</t>
        </is>
      </c>
      <c r="E1212" t="inlineStr">
        <is>
          <t>MALUNG-SÄLEN</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55827-2024</t>
        </is>
      </c>
      <c r="B1213" s="1" t="n">
        <v>45623</v>
      </c>
      <c r="C1213" s="1" t="n">
        <v>45828</v>
      </c>
      <c r="D1213" t="inlineStr">
        <is>
          <t>DALARNAS LÄN</t>
        </is>
      </c>
      <c r="E1213" t="inlineStr">
        <is>
          <t>MALUNG-SÄLEN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55975-2024</t>
        </is>
      </c>
      <c r="B1214" s="1" t="n">
        <v>45623</v>
      </c>
      <c r="C1214" s="1" t="n">
        <v>45828</v>
      </c>
      <c r="D1214" t="inlineStr">
        <is>
          <t>DALARNAS LÄN</t>
        </is>
      </c>
      <c r="E1214" t="inlineStr">
        <is>
          <t>MALUNG-SÄLEN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55969-2024</t>
        </is>
      </c>
      <c r="B1215" s="1" t="n">
        <v>45623</v>
      </c>
      <c r="C1215" s="1" t="n">
        <v>45828</v>
      </c>
      <c r="D1215" t="inlineStr">
        <is>
          <t>DALARNAS LÄN</t>
        </is>
      </c>
      <c r="E1215" t="inlineStr">
        <is>
          <t>MALUNG-SÄLEN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56297-2024</t>
        </is>
      </c>
      <c r="B1216" s="1" t="n">
        <v>45624</v>
      </c>
      <c r="C1216" s="1" t="n">
        <v>45828</v>
      </c>
      <c r="D1216" t="inlineStr">
        <is>
          <t>DALARNAS LÄN</t>
        </is>
      </c>
      <c r="E1216" t="inlineStr">
        <is>
          <t>MALUNG-SÄLEN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56110-2024</t>
        </is>
      </c>
      <c r="B1217" s="1" t="n">
        <v>45624</v>
      </c>
      <c r="C1217" s="1" t="n">
        <v>45828</v>
      </c>
      <c r="D1217" t="inlineStr">
        <is>
          <t>DALARNAS LÄN</t>
        </is>
      </c>
      <c r="E1217" t="inlineStr">
        <is>
          <t>MALUNG-SÄLEN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56289-2024</t>
        </is>
      </c>
      <c r="B1218" s="1" t="n">
        <v>45624</v>
      </c>
      <c r="C1218" s="1" t="n">
        <v>45828</v>
      </c>
      <c r="D1218" t="inlineStr">
        <is>
          <t>DALARNAS LÄN</t>
        </is>
      </c>
      <c r="E1218" t="inlineStr">
        <is>
          <t>MALUNG-SÄLEN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56750-2024</t>
        </is>
      </c>
      <c r="B1219" s="1" t="n">
        <v>45628</v>
      </c>
      <c r="C1219" s="1" t="n">
        <v>45828</v>
      </c>
      <c r="D1219" t="inlineStr">
        <is>
          <t>DALARNAS LÄN</t>
        </is>
      </c>
      <c r="E1219" t="inlineStr">
        <is>
          <t>MALUNG-SÄLEN</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56969-2024</t>
        </is>
      </c>
      <c r="B1220" s="1" t="n">
        <v>45628</v>
      </c>
      <c r="C1220" s="1" t="n">
        <v>45828</v>
      </c>
      <c r="D1220" t="inlineStr">
        <is>
          <t>DALARNAS LÄN</t>
        </is>
      </c>
      <c r="E1220" t="inlineStr">
        <is>
          <t>MALUNG-SÄLEN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56936-2024</t>
        </is>
      </c>
      <c r="B1221" s="1" t="n">
        <v>45628</v>
      </c>
      <c r="C1221" s="1" t="n">
        <v>45828</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57424-2024</t>
        </is>
      </c>
      <c r="B1222" s="1" t="n">
        <v>45629</v>
      </c>
      <c r="C1222" s="1" t="n">
        <v>45828</v>
      </c>
      <c r="D1222" t="inlineStr">
        <is>
          <t>DALARNAS LÄN</t>
        </is>
      </c>
      <c r="E1222" t="inlineStr">
        <is>
          <t>MALUNG-SÄLEN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57423-2024</t>
        </is>
      </c>
      <c r="B1223" s="1" t="n">
        <v>45629</v>
      </c>
      <c r="C1223" s="1" t="n">
        <v>45828</v>
      </c>
      <c r="D1223" t="inlineStr">
        <is>
          <t>DALARNAS LÄN</t>
        </is>
      </c>
      <c r="E1223" t="inlineStr">
        <is>
          <t>MALUNG-SÄLEN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57425-2024</t>
        </is>
      </c>
      <c r="B1224" s="1" t="n">
        <v>45629</v>
      </c>
      <c r="C1224" s="1" t="n">
        <v>45828</v>
      </c>
      <c r="D1224" t="inlineStr">
        <is>
          <t>DALARNAS LÄN</t>
        </is>
      </c>
      <c r="E1224" t="inlineStr">
        <is>
          <t>MALUNG-SÄLEN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57820-2024</t>
        </is>
      </c>
      <c r="B1225" s="1" t="n">
        <v>45631</v>
      </c>
      <c r="C1225" s="1" t="n">
        <v>45828</v>
      </c>
      <c r="D1225" t="inlineStr">
        <is>
          <t>DALARNAS LÄN</t>
        </is>
      </c>
      <c r="E1225" t="inlineStr">
        <is>
          <t>MALUNG-SÄLEN</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57965-2024</t>
        </is>
      </c>
      <c r="B1226" s="1" t="n">
        <v>45631</v>
      </c>
      <c r="C1226" s="1" t="n">
        <v>45828</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58102-2024</t>
        </is>
      </c>
      <c r="B1227" s="1" t="n">
        <v>45632</v>
      </c>
      <c r="C1227" s="1" t="n">
        <v>45828</v>
      </c>
      <c r="D1227" t="inlineStr">
        <is>
          <t>DALARNAS LÄN</t>
        </is>
      </c>
      <c r="E1227" t="inlineStr">
        <is>
          <t>MALUNG-SÄLEN</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58345-2024</t>
        </is>
      </c>
      <c r="B1228" s="1" t="n">
        <v>45632</v>
      </c>
      <c r="C1228" s="1" t="n">
        <v>45828</v>
      </c>
      <c r="D1228" t="inlineStr">
        <is>
          <t>DALARNAS LÄN</t>
        </is>
      </c>
      <c r="E1228" t="inlineStr">
        <is>
          <t>MALUNG-SÄLEN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58422-2024</t>
        </is>
      </c>
      <c r="B1229" s="1" t="n">
        <v>45634</v>
      </c>
      <c r="C1229" s="1" t="n">
        <v>45828</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58421-2024</t>
        </is>
      </c>
      <c r="B1230" s="1" t="n">
        <v>45634</v>
      </c>
      <c r="C1230" s="1" t="n">
        <v>45828</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58420-2024</t>
        </is>
      </c>
      <c r="B1231" s="1" t="n">
        <v>45634</v>
      </c>
      <c r="C1231" s="1" t="n">
        <v>45828</v>
      </c>
      <c r="D1231" t="inlineStr">
        <is>
          <t>DALARNAS LÄN</t>
        </is>
      </c>
      <c r="E1231" t="inlineStr">
        <is>
          <t>MALUNG-SÄLEN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58419-2024</t>
        </is>
      </c>
      <c r="B1232" s="1" t="n">
        <v>45634</v>
      </c>
      <c r="C1232" s="1" t="n">
        <v>45828</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58871-2024</t>
        </is>
      </c>
      <c r="B1233" s="1" t="n">
        <v>45636</v>
      </c>
      <c r="C1233" s="1" t="n">
        <v>45828</v>
      </c>
      <c r="D1233" t="inlineStr">
        <is>
          <t>DALARNAS LÄN</t>
        </is>
      </c>
      <c r="E1233" t="inlineStr">
        <is>
          <t>MALUNG-SÄLEN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58904-2024</t>
        </is>
      </c>
      <c r="B1234" s="1" t="n">
        <v>45636</v>
      </c>
      <c r="C1234" s="1" t="n">
        <v>45828</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58920-2024</t>
        </is>
      </c>
      <c r="B1235" s="1" t="n">
        <v>45636</v>
      </c>
      <c r="C1235" s="1" t="n">
        <v>45828</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59305-2024</t>
        </is>
      </c>
      <c r="B1236" s="1" t="n">
        <v>45637</v>
      </c>
      <c r="C1236" s="1" t="n">
        <v>45828</v>
      </c>
      <c r="D1236" t="inlineStr">
        <is>
          <t>DALARNAS LÄN</t>
        </is>
      </c>
      <c r="E1236" t="inlineStr">
        <is>
          <t>MALUNG-SÄLEN</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59318-2024</t>
        </is>
      </c>
      <c r="B1237" s="1" t="n">
        <v>45637</v>
      </c>
      <c r="C1237" s="1" t="n">
        <v>45828</v>
      </c>
      <c r="D1237" t="inlineStr">
        <is>
          <t>DALARNAS LÄN</t>
        </is>
      </c>
      <c r="E1237" t="inlineStr">
        <is>
          <t>MALUNG-SÄLEN</t>
        </is>
      </c>
      <c r="F1237" t="inlineStr">
        <is>
          <t>Allmännings- och besparingsskogar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59514-2024</t>
        </is>
      </c>
      <c r="B1238" s="1" t="n">
        <v>45638</v>
      </c>
      <c r="C1238" s="1" t="n">
        <v>45828</v>
      </c>
      <c r="D1238" t="inlineStr">
        <is>
          <t>DALARNAS LÄN</t>
        </is>
      </c>
      <c r="E1238" t="inlineStr">
        <is>
          <t>MALUNG-SÄLEN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59357-2024</t>
        </is>
      </c>
      <c r="B1239" s="1" t="n">
        <v>45638</v>
      </c>
      <c r="C1239" s="1" t="n">
        <v>45828</v>
      </c>
      <c r="D1239" t="inlineStr">
        <is>
          <t>DALARNAS LÄN</t>
        </is>
      </c>
      <c r="E1239" t="inlineStr">
        <is>
          <t>MALUNG-SÄLEN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59456-2024</t>
        </is>
      </c>
      <c r="B1240" s="1" t="n">
        <v>45638</v>
      </c>
      <c r="C1240" s="1" t="n">
        <v>45828</v>
      </c>
      <c r="D1240" t="inlineStr">
        <is>
          <t>DALARNAS LÄN</t>
        </is>
      </c>
      <c r="E1240" t="inlineStr">
        <is>
          <t>MALUNG-SÄLEN</t>
        </is>
      </c>
      <c r="F1240" t="inlineStr">
        <is>
          <t>Allmännings- och besparingsskogar</t>
        </is>
      </c>
      <c r="G1240" t="n">
        <v>40.3</v>
      </c>
      <c r="H1240" t="n">
        <v>0</v>
      </c>
      <c r="I1240" t="n">
        <v>0</v>
      </c>
      <c r="J1240" t="n">
        <v>0</v>
      </c>
      <c r="K1240" t="n">
        <v>0</v>
      </c>
      <c r="L1240" t="n">
        <v>0</v>
      </c>
      <c r="M1240" t="n">
        <v>0</v>
      </c>
      <c r="N1240" t="n">
        <v>0</v>
      </c>
      <c r="O1240" t="n">
        <v>0</v>
      </c>
      <c r="P1240" t="n">
        <v>0</v>
      </c>
      <c r="Q1240" t="n">
        <v>0</v>
      </c>
      <c r="R1240" s="2" t="inlineStr"/>
    </row>
    <row r="1241" ht="15" customHeight="1">
      <c r="A1241" t="inlineStr">
        <is>
          <t>A 59643-2024</t>
        </is>
      </c>
      <c r="B1241" s="1" t="n">
        <v>45639</v>
      </c>
      <c r="C1241" s="1" t="n">
        <v>45828</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60063-2024</t>
        </is>
      </c>
      <c r="B1242" s="1" t="n">
        <v>45642</v>
      </c>
      <c r="C1242" s="1" t="n">
        <v>45828</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60015-2024</t>
        </is>
      </c>
      <c r="B1243" s="1" t="n">
        <v>45642</v>
      </c>
      <c r="C1243" s="1" t="n">
        <v>45828</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60046-2024</t>
        </is>
      </c>
      <c r="B1244" s="1" t="n">
        <v>45642</v>
      </c>
      <c r="C1244" s="1" t="n">
        <v>45828</v>
      </c>
      <c r="D1244" t="inlineStr">
        <is>
          <t>DALARNAS LÄN</t>
        </is>
      </c>
      <c r="E1244" t="inlineStr">
        <is>
          <t>MALUNG-SÄLEN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60042-2024</t>
        </is>
      </c>
      <c r="B1245" s="1" t="n">
        <v>45642</v>
      </c>
      <c r="C1245" s="1" t="n">
        <v>45828</v>
      </c>
      <c r="D1245" t="inlineStr">
        <is>
          <t>DALARNAS LÄN</t>
        </is>
      </c>
      <c r="E1245" t="inlineStr">
        <is>
          <t>MALUNG-SÄLEN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59953-2024</t>
        </is>
      </c>
      <c r="B1246" s="1" t="n">
        <v>45642</v>
      </c>
      <c r="C1246" s="1" t="n">
        <v>45828</v>
      </c>
      <c r="D1246" t="inlineStr">
        <is>
          <t>DALARNAS LÄN</t>
        </is>
      </c>
      <c r="E1246" t="inlineStr">
        <is>
          <t>MALUNG-SÄLEN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60298-2024</t>
        </is>
      </c>
      <c r="B1247" s="1" t="n">
        <v>45643</v>
      </c>
      <c r="C1247" s="1" t="n">
        <v>45828</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60299-2024</t>
        </is>
      </c>
      <c r="B1248" s="1" t="n">
        <v>45643</v>
      </c>
      <c r="C1248" s="1" t="n">
        <v>45828</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60441-2024</t>
        </is>
      </c>
      <c r="B1249" s="1" t="n">
        <v>45643</v>
      </c>
      <c r="C1249" s="1" t="n">
        <v>45828</v>
      </c>
      <c r="D1249" t="inlineStr">
        <is>
          <t>DALARNAS LÄN</t>
        </is>
      </c>
      <c r="E1249" t="inlineStr">
        <is>
          <t>MALUNG-SÄLEN</t>
        </is>
      </c>
      <c r="F1249" t="inlineStr">
        <is>
          <t>Övriga statliga verk och myndigheter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60855-2024</t>
        </is>
      </c>
      <c r="B1250" s="1" t="n">
        <v>45644</v>
      </c>
      <c r="C1250" s="1" t="n">
        <v>45828</v>
      </c>
      <c r="D1250" t="inlineStr">
        <is>
          <t>DALARNAS LÄN</t>
        </is>
      </c>
      <c r="E1250" t="inlineStr">
        <is>
          <t>MALUNG-SÄLEN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60649-2024</t>
        </is>
      </c>
      <c r="B1251" s="1" t="n">
        <v>45644</v>
      </c>
      <c r="C1251" s="1" t="n">
        <v>45828</v>
      </c>
      <c r="D1251" t="inlineStr">
        <is>
          <t>DALARNAS LÄN</t>
        </is>
      </c>
      <c r="E1251" t="inlineStr">
        <is>
          <t>MALUNG-SÄLEN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61113-2024</t>
        </is>
      </c>
      <c r="B1252" s="1" t="n">
        <v>45644</v>
      </c>
      <c r="C1252" s="1" t="n">
        <v>45828</v>
      </c>
      <c r="D1252" t="inlineStr">
        <is>
          <t>DALARNAS LÄN</t>
        </is>
      </c>
      <c r="E1252" t="inlineStr">
        <is>
          <t>MALUNG-SÄLEN</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61202-2024</t>
        </is>
      </c>
      <c r="B1253" s="1" t="n">
        <v>45645</v>
      </c>
      <c r="C1253" s="1" t="n">
        <v>45828</v>
      </c>
      <c r="D1253" t="inlineStr">
        <is>
          <t>DALARNAS LÄN</t>
        </is>
      </c>
      <c r="E1253" t="inlineStr">
        <is>
          <t>MALUNG-SÄLEN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61233-2024</t>
        </is>
      </c>
      <c r="B1254" s="1" t="n">
        <v>45645</v>
      </c>
      <c r="C1254" s="1" t="n">
        <v>45828</v>
      </c>
      <c r="D1254" t="inlineStr">
        <is>
          <t>DALARNAS LÄN</t>
        </is>
      </c>
      <c r="E1254" t="inlineStr">
        <is>
          <t>MALUNG-SÄLEN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61325-2024</t>
        </is>
      </c>
      <c r="B1255" s="1" t="n">
        <v>45646</v>
      </c>
      <c r="C1255" s="1" t="n">
        <v>45828</v>
      </c>
      <c r="D1255" t="inlineStr">
        <is>
          <t>DALARNAS LÄN</t>
        </is>
      </c>
      <c r="E1255" t="inlineStr">
        <is>
          <t>MALUNG-SÄLEN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61368-2024</t>
        </is>
      </c>
      <c r="B1256" s="1" t="n">
        <v>45646</v>
      </c>
      <c r="C1256" s="1" t="n">
        <v>45828</v>
      </c>
      <c r="D1256" t="inlineStr">
        <is>
          <t>DALARNAS LÄN</t>
        </is>
      </c>
      <c r="E1256" t="inlineStr">
        <is>
          <t>MALUNG-SÄLEN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61312-2024</t>
        </is>
      </c>
      <c r="B1257" s="1" t="n">
        <v>45646</v>
      </c>
      <c r="C1257" s="1" t="n">
        <v>45828</v>
      </c>
      <c r="D1257" t="inlineStr">
        <is>
          <t>DALARNAS LÄN</t>
        </is>
      </c>
      <c r="E1257" t="inlineStr">
        <is>
          <t>MALUNG-SÄLEN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61361-2024</t>
        </is>
      </c>
      <c r="B1258" s="1" t="n">
        <v>45646</v>
      </c>
      <c r="C1258" s="1" t="n">
        <v>45828</v>
      </c>
      <c r="D1258" t="inlineStr">
        <is>
          <t>DALARNAS LÄN</t>
        </is>
      </c>
      <c r="E1258" t="inlineStr">
        <is>
          <t>MALUNG-SÄLEN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61804-2024</t>
        </is>
      </c>
      <c r="B1259" s="1" t="n">
        <v>45649</v>
      </c>
      <c r="C1259" s="1" t="n">
        <v>45828</v>
      </c>
      <c r="D1259" t="inlineStr">
        <is>
          <t>DALARNAS LÄN</t>
        </is>
      </c>
      <c r="E1259" t="inlineStr">
        <is>
          <t>MALUNG-SÄLEN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62002-2024</t>
        </is>
      </c>
      <c r="B1260" s="1" t="n">
        <v>45654</v>
      </c>
      <c r="C1260" s="1" t="n">
        <v>45828</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35-2025</t>
        </is>
      </c>
      <c r="B1261" s="1" t="n">
        <v>45659</v>
      </c>
      <c r="C1261" s="1" t="n">
        <v>45828</v>
      </c>
      <c r="D1261" t="inlineStr">
        <is>
          <t>DALARNAS LÄN</t>
        </is>
      </c>
      <c r="E1261" t="inlineStr">
        <is>
          <t>MALUNG-SÄLEN</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37-2025</t>
        </is>
      </c>
      <c r="B1262" s="1" t="n">
        <v>45659</v>
      </c>
      <c r="C1262" s="1" t="n">
        <v>45828</v>
      </c>
      <c r="D1262" t="inlineStr">
        <is>
          <t>DALARNAS LÄN</t>
        </is>
      </c>
      <c r="E1262" t="inlineStr">
        <is>
          <t>MALUNG-SÄLEN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138-2025</t>
        </is>
      </c>
      <c r="B1263" s="1" t="n">
        <v>45659</v>
      </c>
      <c r="C1263" s="1" t="n">
        <v>45828</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688-2025</t>
        </is>
      </c>
      <c r="B1264" s="1" t="n">
        <v>45665</v>
      </c>
      <c r="C1264" s="1" t="n">
        <v>45828</v>
      </c>
      <c r="D1264" t="inlineStr">
        <is>
          <t>DALARNAS LÄN</t>
        </is>
      </c>
      <c r="E1264" t="inlineStr">
        <is>
          <t>MALUNG-SÄLEN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689-2025</t>
        </is>
      </c>
      <c r="B1265" s="1" t="n">
        <v>45665</v>
      </c>
      <c r="C1265" s="1" t="n">
        <v>45828</v>
      </c>
      <c r="D1265" t="inlineStr">
        <is>
          <t>DALARNAS LÄN</t>
        </is>
      </c>
      <c r="E1265" t="inlineStr">
        <is>
          <t>MALUNG-SÄLEN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690-2025</t>
        </is>
      </c>
      <c r="B1266" s="1" t="n">
        <v>45665</v>
      </c>
      <c r="C1266" s="1" t="n">
        <v>45828</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691-2025</t>
        </is>
      </c>
      <c r="B1267" s="1" t="n">
        <v>45665</v>
      </c>
      <c r="C1267" s="1" t="n">
        <v>45828</v>
      </c>
      <c r="D1267" t="inlineStr">
        <is>
          <t>DALARNAS LÄN</t>
        </is>
      </c>
      <c r="E1267" t="inlineStr">
        <is>
          <t>MALUNG-SÄLEN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1530-2025</t>
        </is>
      </c>
      <c r="B1268" s="1" t="n">
        <v>45670</v>
      </c>
      <c r="C1268" s="1" t="n">
        <v>45828</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1526-2025</t>
        </is>
      </c>
      <c r="B1269" s="1" t="n">
        <v>45670</v>
      </c>
      <c r="C1269" s="1" t="n">
        <v>45828</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1463-2025</t>
        </is>
      </c>
      <c r="B1270" s="1" t="n">
        <v>45670</v>
      </c>
      <c r="C1270" s="1" t="n">
        <v>45828</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1760-2025</t>
        </is>
      </c>
      <c r="B1271" s="1" t="n">
        <v>45671</v>
      </c>
      <c r="C1271" s="1" t="n">
        <v>45828</v>
      </c>
      <c r="D1271" t="inlineStr">
        <is>
          <t>DALARNAS LÄN</t>
        </is>
      </c>
      <c r="E1271" t="inlineStr">
        <is>
          <t>MALUNG-SÄLEN</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1796-2025</t>
        </is>
      </c>
      <c r="B1272" s="1" t="n">
        <v>45671</v>
      </c>
      <c r="C1272" s="1" t="n">
        <v>45828</v>
      </c>
      <c r="D1272" t="inlineStr">
        <is>
          <t>DALARNAS LÄN</t>
        </is>
      </c>
      <c r="E1272" t="inlineStr">
        <is>
          <t>MALUNG-SÄLEN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1967-2025</t>
        </is>
      </c>
      <c r="B1273" s="1" t="n">
        <v>45672</v>
      </c>
      <c r="C1273" s="1" t="n">
        <v>45828</v>
      </c>
      <c r="D1273" t="inlineStr">
        <is>
          <t>DALARNAS LÄN</t>
        </is>
      </c>
      <c r="E1273" t="inlineStr">
        <is>
          <t>MALUNG-SÄLEN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1978-2025</t>
        </is>
      </c>
      <c r="B1274" s="1" t="n">
        <v>45672</v>
      </c>
      <c r="C1274" s="1" t="n">
        <v>45828</v>
      </c>
      <c r="D1274" t="inlineStr">
        <is>
          <t>DALARNAS LÄN</t>
        </is>
      </c>
      <c r="E1274" t="inlineStr">
        <is>
          <t>MALUNG-SÄLEN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1982-2025</t>
        </is>
      </c>
      <c r="B1275" s="1" t="n">
        <v>45672</v>
      </c>
      <c r="C1275" s="1" t="n">
        <v>45828</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2209-2025</t>
        </is>
      </c>
      <c r="B1276" s="1" t="n">
        <v>45673</v>
      </c>
      <c r="C1276" s="1" t="n">
        <v>45828</v>
      </c>
      <c r="D1276" t="inlineStr">
        <is>
          <t>DALARNAS LÄN</t>
        </is>
      </c>
      <c r="E1276" t="inlineStr">
        <is>
          <t>MALUNG-SÄLEN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2216-2025</t>
        </is>
      </c>
      <c r="B1277" s="1" t="n">
        <v>45673</v>
      </c>
      <c r="C1277" s="1" t="n">
        <v>45828</v>
      </c>
      <c r="D1277" t="inlineStr">
        <is>
          <t>DALARNAS LÄN</t>
        </is>
      </c>
      <c r="E1277" t="inlineStr">
        <is>
          <t>MALUNG-SÄLEN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2469-2025</t>
        </is>
      </c>
      <c r="B1278" s="1" t="n">
        <v>45674</v>
      </c>
      <c r="C1278" s="1" t="n">
        <v>45828</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2736-2025</t>
        </is>
      </c>
      <c r="B1279" s="1" t="n">
        <v>45677</v>
      </c>
      <c r="C1279" s="1" t="n">
        <v>45828</v>
      </c>
      <c r="D1279" t="inlineStr">
        <is>
          <t>DALARNAS LÄN</t>
        </is>
      </c>
      <c r="E1279" t="inlineStr">
        <is>
          <t>MALUNG-SÄLEN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2722-2025</t>
        </is>
      </c>
      <c r="B1280" s="1" t="n">
        <v>45677</v>
      </c>
      <c r="C1280" s="1" t="n">
        <v>45828</v>
      </c>
      <c r="D1280" t="inlineStr">
        <is>
          <t>DALARNAS LÄN</t>
        </is>
      </c>
      <c r="E1280" t="inlineStr">
        <is>
          <t>MALUNG-SÄLEN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2729-2025</t>
        </is>
      </c>
      <c r="B1281" s="1" t="n">
        <v>45677</v>
      </c>
      <c r="C1281" s="1" t="n">
        <v>45828</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3172-2025</t>
        </is>
      </c>
      <c r="B1282" s="1" t="n">
        <v>45679</v>
      </c>
      <c r="C1282" s="1" t="n">
        <v>45828</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3880-2025</t>
        </is>
      </c>
      <c r="B1283" s="1" t="n">
        <v>45684</v>
      </c>
      <c r="C1283" s="1" t="n">
        <v>45828</v>
      </c>
      <c r="D1283" t="inlineStr">
        <is>
          <t>DALARNAS LÄN</t>
        </is>
      </c>
      <c r="E1283" t="inlineStr">
        <is>
          <t>MALUNG-SÄLEN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4074-2025</t>
        </is>
      </c>
      <c r="B1284" s="1" t="n">
        <v>45684</v>
      </c>
      <c r="C1284" s="1" t="n">
        <v>45828</v>
      </c>
      <c r="D1284" t="inlineStr">
        <is>
          <t>DALARNAS LÄN</t>
        </is>
      </c>
      <c r="E1284" t="inlineStr">
        <is>
          <t>MALUNG-SÄLEN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4613-2025</t>
        </is>
      </c>
      <c r="B1285" s="1" t="n">
        <v>45687</v>
      </c>
      <c r="C1285" s="1" t="n">
        <v>45828</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4567-2025</t>
        </is>
      </c>
      <c r="B1286" s="1" t="n">
        <v>45687</v>
      </c>
      <c r="C1286" s="1" t="n">
        <v>45828</v>
      </c>
      <c r="D1286" t="inlineStr">
        <is>
          <t>DALARNAS LÄN</t>
        </is>
      </c>
      <c r="E1286" t="inlineStr">
        <is>
          <t>MALUNG-SÄLEN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5369-2025</t>
        </is>
      </c>
      <c r="B1287" s="1" t="n">
        <v>45692</v>
      </c>
      <c r="C1287" s="1" t="n">
        <v>45828</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5399-2025</t>
        </is>
      </c>
      <c r="B1288" s="1" t="n">
        <v>45692</v>
      </c>
      <c r="C1288" s="1" t="n">
        <v>45828</v>
      </c>
      <c r="D1288" t="inlineStr">
        <is>
          <t>DALARNAS LÄN</t>
        </is>
      </c>
      <c r="E1288" t="inlineStr">
        <is>
          <t>MALUNG-SÄLEN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5837-2025</t>
        </is>
      </c>
      <c r="B1289" s="1" t="n">
        <v>45694</v>
      </c>
      <c r="C1289" s="1" t="n">
        <v>45828</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7009-2025</t>
        </is>
      </c>
      <c r="B1290" s="1" t="n">
        <v>45701</v>
      </c>
      <c r="C1290" s="1" t="n">
        <v>45828</v>
      </c>
      <c r="D1290" t="inlineStr">
        <is>
          <t>DALARNAS LÄN</t>
        </is>
      </c>
      <c r="E1290" t="inlineStr">
        <is>
          <t>MALUNG-SÄLEN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6951-2025</t>
        </is>
      </c>
      <c r="B1291" s="1" t="n">
        <v>45701</v>
      </c>
      <c r="C1291" s="1" t="n">
        <v>45828</v>
      </c>
      <c r="D1291" t="inlineStr">
        <is>
          <t>DALARNAS LÄN</t>
        </is>
      </c>
      <c r="E1291" t="inlineStr">
        <is>
          <t>MALUNG-SÄLEN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7006-2025</t>
        </is>
      </c>
      <c r="B1292" s="1" t="n">
        <v>45701</v>
      </c>
      <c r="C1292" s="1" t="n">
        <v>45828</v>
      </c>
      <c r="D1292" t="inlineStr">
        <is>
          <t>DALARNAS LÄN</t>
        </is>
      </c>
      <c r="E1292" t="inlineStr">
        <is>
          <t>MALUNG-SÄLEN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6979-2025</t>
        </is>
      </c>
      <c r="B1293" s="1" t="n">
        <v>45701</v>
      </c>
      <c r="C1293" s="1" t="n">
        <v>45828</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7605-2025</t>
        </is>
      </c>
      <c r="B1294" s="1" t="n">
        <v>45705</v>
      </c>
      <c r="C1294" s="1" t="n">
        <v>45828</v>
      </c>
      <c r="D1294" t="inlineStr">
        <is>
          <t>DALARNAS LÄN</t>
        </is>
      </c>
      <c r="E1294" t="inlineStr">
        <is>
          <t>MALUNG-SÄLEN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8085-2025</t>
        </is>
      </c>
      <c r="B1295" s="1" t="n">
        <v>45707</v>
      </c>
      <c r="C1295" s="1" t="n">
        <v>45828</v>
      </c>
      <c r="D1295" t="inlineStr">
        <is>
          <t>DALARNAS LÄN</t>
        </is>
      </c>
      <c r="E1295" t="inlineStr">
        <is>
          <t>MALUNG-SÄLEN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7946-2025</t>
        </is>
      </c>
      <c r="B1296" s="1" t="n">
        <v>45707</v>
      </c>
      <c r="C1296" s="1" t="n">
        <v>45828</v>
      </c>
      <c r="D1296" t="inlineStr">
        <is>
          <t>DALARNAS LÄN</t>
        </is>
      </c>
      <c r="E1296" t="inlineStr">
        <is>
          <t>MALUNG-SÄLEN</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8424-2025</t>
        </is>
      </c>
      <c r="B1297" s="1" t="n">
        <v>45709</v>
      </c>
      <c r="C1297" s="1" t="n">
        <v>45828</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8458-2025</t>
        </is>
      </c>
      <c r="B1298" s="1" t="n">
        <v>45709</v>
      </c>
      <c r="C1298" s="1" t="n">
        <v>45828</v>
      </c>
      <c r="D1298" t="inlineStr">
        <is>
          <t>DALARNAS LÄN</t>
        </is>
      </c>
      <c r="E1298" t="inlineStr">
        <is>
          <t>MALUNG-SÄLEN</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8425-2025</t>
        </is>
      </c>
      <c r="B1299" s="1" t="n">
        <v>45709</v>
      </c>
      <c r="C1299" s="1" t="n">
        <v>45828</v>
      </c>
      <c r="D1299" t="inlineStr">
        <is>
          <t>DALARNAS LÄN</t>
        </is>
      </c>
      <c r="E1299" t="inlineStr">
        <is>
          <t>MALUNG-SÄLEN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8735-2025</t>
        </is>
      </c>
      <c r="B1300" s="1" t="n">
        <v>45712</v>
      </c>
      <c r="C1300" s="1" t="n">
        <v>45828</v>
      </c>
      <c r="D1300" t="inlineStr">
        <is>
          <t>DALARNAS LÄN</t>
        </is>
      </c>
      <c r="E1300" t="inlineStr">
        <is>
          <t>MALUNG-SÄLEN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8762-2025</t>
        </is>
      </c>
      <c r="B1301" s="1" t="n">
        <v>45712</v>
      </c>
      <c r="C1301" s="1" t="n">
        <v>45828</v>
      </c>
      <c r="D1301" t="inlineStr">
        <is>
          <t>DALARNAS LÄN</t>
        </is>
      </c>
      <c r="E1301" t="inlineStr">
        <is>
          <t>MALUNG-SÄLEN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9037-2025</t>
        </is>
      </c>
      <c r="B1302" s="1" t="n">
        <v>45713</v>
      </c>
      <c r="C1302" s="1" t="n">
        <v>45828</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9168-2025</t>
        </is>
      </c>
      <c r="B1303" s="1" t="n">
        <v>45713</v>
      </c>
      <c r="C1303" s="1" t="n">
        <v>45828</v>
      </c>
      <c r="D1303" t="inlineStr">
        <is>
          <t>DALARNAS LÄN</t>
        </is>
      </c>
      <c r="E1303" t="inlineStr">
        <is>
          <t>MALUNG-SÄLEN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9170-2025</t>
        </is>
      </c>
      <c r="B1304" s="1" t="n">
        <v>45713</v>
      </c>
      <c r="C1304" s="1" t="n">
        <v>45828</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9065-2025</t>
        </is>
      </c>
      <c r="B1305" s="1" t="n">
        <v>45713</v>
      </c>
      <c r="C1305" s="1" t="n">
        <v>45828</v>
      </c>
      <c r="D1305" t="inlineStr">
        <is>
          <t>DALARNAS LÄN</t>
        </is>
      </c>
      <c r="E1305" t="inlineStr">
        <is>
          <t>MALUNG-SÄLEN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9196-2025</t>
        </is>
      </c>
      <c r="B1306" s="1" t="n">
        <v>45714</v>
      </c>
      <c r="C1306" s="1" t="n">
        <v>45828</v>
      </c>
      <c r="D1306" t="inlineStr">
        <is>
          <t>DALARNAS LÄN</t>
        </is>
      </c>
      <c r="E1306" t="inlineStr">
        <is>
          <t>MALUNG-SÄLEN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9351-2025</t>
        </is>
      </c>
      <c r="B1307" s="1" t="n">
        <v>45714</v>
      </c>
      <c r="C1307" s="1" t="n">
        <v>45828</v>
      </c>
      <c r="D1307" t="inlineStr">
        <is>
          <t>DALARNAS LÄN</t>
        </is>
      </c>
      <c r="E1307" t="inlineStr">
        <is>
          <t>MALUNG-SÄLEN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10363-2025</t>
        </is>
      </c>
      <c r="B1308" s="1" t="n">
        <v>45720</v>
      </c>
      <c r="C1308" s="1" t="n">
        <v>45828</v>
      </c>
      <c r="D1308" t="inlineStr">
        <is>
          <t>DALARNAS LÄN</t>
        </is>
      </c>
      <c r="E1308" t="inlineStr">
        <is>
          <t>MALUNG-SÄLEN</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10367-2025</t>
        </is>
      </c>
      <c r="B1309" s="1" t="n">
        <v>45720</v>
      </c>
      <c r="C1309" s="1" t="n">
        <v>45828</v>
      </c>
      <c r="D1309" t="inlineStr">
        <is>
          <t>DALARNAS LÄN</t>
        </is>
      </c>
      <c r="E1309" t="inlineStr">
        <is>
          <t>MALUNG-SÄLEN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10364-2025</t>
        </is>
      </c>
      <c r="B1310" s="1" t="n">
        <v>45720</v>
      </c>
      <c r="C1310" s="1" t="n">
        <v>45828</v>
      </c>
      <c r="D1310" t="inlineStr">
        <is>
          <t>DALARNAS LÄN</t>
        </is>
      </c>
      <c r="E1310" t="inlineStr">
        <is>
          <t>MALUNG-SÄLEN</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10628-2025</t>
        </is>
      </c>
      <c r="B1311" s="1" t="n">
        <v>45721</v>
      </c>
      <c r="C1311" s="1" t="n">
        <v>45828</v>
      </c>
      <c r="D1311" t="inlineStr">
        <is>
          <t>DALARNAS LÄN</t>
        </is>
      </c>
      <c r="E1311" t="inlineStr">
        <is>
          <t>MALUNG-SÄLEN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10704-2025</t>
        </is>
      </c>
      <c r="B1312" s="1" t="n">
        <v>45722</v>
      </c>
      <c r="C1312" s="1" t="n">
        <v>45828</v>
      </c>
      <c r="D1312" t="inlineStr">
        <is>
          <t>DALARNAS LÄN</t>
        </is>
      </c>
      <c r="E1312" t="inlineStr">
        <is>
          <t>MALUNG-SÄLEN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11674-2025</t>
        </is>
      </c>
      <c r="B1313" s="1" t="n">
        <v>45726</v>
      </c>
      <c r="C1313" s="1" t="n">
        <v>45828</v>
      </c>
      <c r="D1313" t="inlineStr">
        <is>
          <t>DALARNAS LÄN</t>
        </is>
      </c>
      <c r="E1313" t="inlineStr">
        <is>
          <t>MALUNG-SÄLEN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11496-2025</t>
        </is>
      </c>
      <c r="B1314" s="1" t="n">
        <v>45726</v>
      </c>
      <c r="C1314" s="1" t="n">
        <v>45828</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11589-2025</t>
        </is>
      </c>
      <c r="B1315" s="1" t="n">
        <v>45727</v>
      </c>
      <c r="C1315" s="1" t="n">
        <v>45828</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11593-2025</t>
        </is>
      </c>
      <c r="B1316" s="1" t="n">
        <v>45727</v>
      </c>
      <c r="C1316" s="1" t="n">
        <v>45828</v>
      </c>
      <c r="D1316" t="inlineStr">
        <is>
          <t>DALARNAS LÄN</t>
        </is>
      </c>
      <c r="E1316" t="inlineStr">
        <is>
          <t>MALUNG-SÄLEN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11875-2025</t>
        </is>
      </c>
      <c r="B1317" s="1" t="n">
        <v>45728</v>
      </c>
      <c r="C1317" s="1" t="n">
        <v>45828</v>
      </c>
      <c r="D1317" t="inlineStr">
        <is>
          <t>DALARNAS LÄN</t>
        </is>
      </c>
      <c r="E1317" t="inlineStr">
        <is>
          <t>MALUNG-SÄLEN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13887-2025</t>
        </is>
      </c>
      <c r="B1318" s="1" t="n">
        <v>45737</v>
      </c>
      <c r="C1318" s="1" t="n">
        <v>45828</v>
      </c>
      <c r="D1318" t="inlineStr">
        <is>
          <t>DALARNAS LÄN</t>
        </is>
      </c>
      <c r="E1318" t="inlineStr">
        <is>
          <t>MALUNG-SÄLEN</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14077-2025</t>
        </is>
      </c>
      <c r="B1319" s="1" t="n">
        <v>45740</v>
      </c>
      <c r="C1319" s="1" t="n">
        <v>45828</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15327-2025</t>
        </is>
      </c>
      <c r="B1320" s="1" t="n">
        <v>45747</v>
      </c>
      <c r="C1320" s="1" t="n">
        <v>45828</v>
      </c>
      <c r="D1320" t="inlineStr">
        <is>
          <t>DALARNAS LÄN</t>
        </is>
      </c>
      <c r="E1320" t="inlineStr">
        <is>
          <t>MALUNG-SÄLEN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15340-2025</t>
        </is>
      </c>
      <c r="B1321" s="1" t="n">
        <v>45747</v>
      </c>
      <c r="C1321" s="1" t="n">
        <v>45828</v>
      </c>
      <c r="D1321" t="inlineStr">
        <is>
          <t>DALARNAS LÄN</t>
        </is>
      </c>
      <c r="E1321" t="inlineStr">
        <is>
          <t>MALUNG-SÄLEN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15996-2025</t>
        </is>
      </c>
      <c r="B1322" s="1" t="n">
        <v>45749</v>
      </c>
      <c r="C1322" s="1" t="n">
        <v>45828</v>
      </c>
      <c r="D1322" t="inlineStr">
        <is>
          <t>DALARNAS LÄN</t>
        </is>
      </c>
      <c r="E1322" t="inlineStr">
        <is>
          <t>MALUNG-SÄLEN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16000-2025</t>
        </is>
      </c>
      <c r="B1323" s="1" t="n">
        <v>45749</v>
      </c>
      <c r="C1323" s="1" t="n">
        <v>45828</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16012-2025</t>
        </is>
      </c>
      <c r="B1324" s="1" t="n">
        <v>45749</v>
      </c>
      <c r="C1324" s="1" t="n">
        <v>45828</v>
      </c>
      <c r="D1324" t="inlineStr">
        <is>
          <t>DALARNAS LÄN</t>
        </is>
      </c>
      <c r="E1324" t="inlineStr">
        <is>
          <t>MALUNG-SÄLEN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16026-2025</t>
        </is>
      </c>
      <c r="B1325" s="1" t="n">
        <v>45749</v>
      </c>
      <c r="C1325" s="1" t="n">
        <v>45828</v>
      </c>
      <c r="D1325" t="inlineStr">
        <is>
          <t>DALARNAS LÄN</t>
        </is>
      </c>
      <c r="E1325" t="inlineStr">
        <is>
          <t>MALUNG-SÄLEN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15994-2025</t>
        </is>
      </c>
      <c r="B1326" s="1" t="n">
        <v>45749</v>
      </c>
      <c r="C1326" s="1" t="n">
        <v>45828</v>
      </c>
      <c r="D1326" t="inlineStr">
        <is>
          <t>DALARNAS LÄN</t>
        </is>
      </c>
      <c r="E1326" t="inlineStr">
        <is>
          <t>MALUNG-SÄLEN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17209-2025</t>
        </is>
      </c>
      <c r="B1327" s="1" t="n">
        <v>45756</v>
      </c>
      <c r="C1327" s="1" t="n">
        <v>45828</v>
      </c>
      <c r="D1327" t="inlineStr">
        <is>
          <t>DALARNAS LÄN</t>
        </is>
      </c>
      <c r="E1327" t="inlineStr">
        <is>
          <t>MALUNG-SÄLEN</t>
        </is>
      </c>
      <c r="F1327" t="inlineStr">
        <is>
          <t>Bergvik skog öst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17498-2025</t>
        </is>
      </c>
      <c r="B1328" s="1" t="n">
        <v>45757</v>
      </c>
      <c r="C1328" s="1" t="n">
        <v>45828</v>
      </c>
      <c r="D1328" t="inlineStr">
        <is>
          <t>DALARNAS LÄN</t>
        </is>
      </c>
      <c r="E1328" t="inlineStr">
        <is>
          <t>MALUNG-SÄLEN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17389-2025</t>
        </is>
      </c>
      <c r="B1329" s="1" t="n">
        <v>45757</v>
      </c>
      <c r="C1329" s="1" t="n">
        <v>45828</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17383-2025</t>
        </is>
      </c>
      <c r="B1330" s="1" t="n">
        <v>45757</v>
      </c>
      <c r="C1330" s="1" t="n">
        <v>45828</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17499-2025</t>
        </is>
      </c>
      <c r="B1331" s="1" t="n">
        <v>45757</v>
      </c>
      <c r="C1331" s="1" t="n">
        <v>45828</v>
      </c>
      <c r="D1331" t="inlineStr">
        <is>
          <t>DALARNAS LÄN</t>
        </is>
      </c>
      <c r="E1331" t="inlineStr">
        <is>
          <t>MALUNG-SÄLEN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17619-2025</t>
        </is>
      </c>
      <c r="B1332" s="1" t="n">
        <v>45757</v>
      </c>
      <c r="C1332" s="1" t="n">
        <v>45828</v>
      </c>
      <c r="D1332" t="inlineStr">
        <is>
          <t>DALARNAS LÄN</t>
        </is>
      </c>
      <c r="E1332" t="inlineStr">
        <is>
          <t>MALUNG-SÄLEN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18029-2025</t>
        </is>
      </c>
      <c r="B1333" s="1" t="n">
        <v>45761</v>
      </c>
      <c r="C1333" s="1" t="n">
        <v>45828</v>
      </c>
      <c r="D1333" t="inlineStr">
        <is>
          <t>DALARNAS LÄN</t>
        </is>
      </c>
      <c r="E1333" t="inlineStr">
        <is>
          <t>MALUNG-SÄLEN</t>
        </is>
      </c>
      <c r="F1333" t="inlineStr">
        <is>
          <t>Övriga statliga verk och myndigheter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18186-2025</t>
        </is>
      </c>
      <c r="B1334" s="1" t="n">
        <v>45761</v>
      </c>
      <c r="C1334" s="1" t="n">
        <v>45828</v>
      </c>
      <c r="D1334" t="inlineStr">
        <is>
          <t>DALARNAS LÄN</t>
        </is>
      </c>
      <c r="E1334" t="inlineStr">
        <is>
          <t>MALUNG-SÄLEN</t>
        </is>
      </c>
      <c r="F1334" t="inlineStr">
        <is>
          <t>Bergvik skog öst AB</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18320-2025</t>
        </is>
      </c>
      <c r="B1335" s="1" t="n">
        <v>45762</v>
      </c>
      <c r="C1335" s="1" t="n">
        <v>45828</v>
      </c>
      <c r="D1335" t="inlineStr">
        <is>
          <t>DALARNAS LÄN</t>
        </is>
      </c>
      <c r="E1335" t="inlineStr">
        <is>
          <t>MALUNG-SÄLEN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18322-2025</t>
        </is>
      </c>
      <c r="B1336" s="1" t="n">
        <v>45762</v>
      </c>
      <c r="C1336" s="1" t="n">
        <v>45828</v>
      </c>
      <c r="D1336" t="inlineStr">
        <is>
          <t>DALARNAS LÄN</t>
        </is>
      </c>
      <c r="E1336" t="inlineStr">
        <is>
          <t>MALUNG-SÄLEN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18273-2025</t>
        </is>
      </c>
      <c r="B1337" s="1" t="n">
        <v>45762</v>
      </c>
      <c r="C1337" s="1" t="n">
        <v>45828</v>
      </c>
      <c r="D1337" t="inlineStr">
        <is>
          <t>DALARNAS LÄN</t>
        </is>
      </c>
      <c r="E1337" t="inlineStr">
        <is>
          <t>MALUNG-SÄLEN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18249-2025</t>
        </is>
      </c>
      <c r="B1338" s="1" t="n">
        <v>45762</v>
      </c>
      <c r="C1338" s="1" t="n">
        <v>45828</v>
      </c>
      <c r="D1338" t="inlineStr">
        <is>
          <t>DALARNAS LÄN</t>
        </is>
      </c>
      <c r="E1338" t="inlineStr">
        <is>
          <t>MALUNG-SÄLEN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18260-2025</t>
        </is>
      </c>
      <c r="B1339" s="1" t="n">
        <v>45762</v>
      </c>
      <c r="C1339" s="1" t="n">
        <v>45828</v>
      </c>
      <c r="D1339" t="inlineStr">
        <is>
          <t>DALARNAS LÄN</t>
        </is>
      </c>
      <c r="E1339" t="inlineStr">
        <is>
          <t>MALUNG-SÄLEN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18660-2025</t>
        </is>
      </c>
      <c r="B1340" s="1" t="n">
        <v>45763</v>
      </c>
      <c r="C1340" s="1" t="n">
        <v>45828</v>
      </c>
      <c r="D1340" t="inlineStr">
        <is>
          <t>DALARNAS LÄN</t>
        </is>
      </c>
      <c r="E1340" t="inlineStr">
        <is>
          <t>MALUNG-SÄLEN</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18992-2025</t>
        </is>
      </c>
      <c r="B1341" s="1" t="n">
        <v>45764</v>
      </c>
      <c r="C1341" s="1" t="n">
        <v>45828</v>
      </c>
      <c r="D1341" t="inlineStr">
        <is>
          <t>DALARNAS LÄN</t>
        </is>
      </c>
      <c r="E1341" t="inlineStr">
        <is>
          <t>MALUNG-SÄLEN</t>
        </is>
      </c>
      <c r="F1341" t="inlineStr">
        <is>
          <t>Bergvik skog öst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45828</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19316-2025</t>
        </is>
      </c>
      <c r="B1343" s="1" t="n">
        <v>45769</v>
      </c>
      <c r="C1343" s="1" t="n">
        <v>45828</v>
      </c>
      <c r="D1343" t="inlineStr">
        <is>
          <t>DALARNAS LÄN</t>
        </is>
      </c>
      <c r="E1343" t="inlineStr">
        <is>
          <t>MALUNG-SÄLEN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19299-2025</t>
        </is>
      </c>
      <c r="B1344" s="1" t="n">
        <v>45769</v>
      </c>
      <c r="C1344" s="1" t="n">
        <v>45828</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19355-2025</t>
        </is>
      </c>
      <c r="B1345" s="1" t="n">
        <v>45769</v>
      </c>
      <c r="C1345" s="1" t="n">
        <v>45828</v>
      </c>
      <c r="D1345" t="inlineStr">
        <is>
          <t>DALARNAS LÄN</t>
        </is>
      </c>
      <c r="E1345" t="inlineStr">
        <is>
          <t>MALUNG-SÄLEN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20472-2025</t>
        </is>
      </c>
      <c r="B1346" s="1" t="n">
        <v>45775</v>
      </c>
      <c r="C1346" s="1" t="n">
        <v>45828</v>
      </c>
      <c r="D1346" t="inlineStr">
        <is>
          <t>DALARNAS LÄN</t>
        </is>
      </c>
      <c r="E1346" t="inlineStr">
        <is>
          <t>MALUNG-SÄLEN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45828</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20446-2025</t>
        </is>
      </c>
      <c r="B1348" s="1" t="n">
        <v>45775</v>
      </c>
      <c r="C1348" s="1" t="n">
        <v>45828</v>
      </c>
      <c r="D1348" t="inlineStr">
        <is>
          <t>DALARNAS LÄN</t>
        </is>
      </c>
      <c r="E1348" t="inlineStr">
        <is>
          <t>MALUNG-SÄLEN</t>
        </is>
      </c>
      <c r="F1348" t="inlineStr">
        <is>
          <t>Bergvik skog öst AB</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20514-2025</t>
        </is>
      </c>
      <c r="B1349" s="1" t="n">
        <v>45775</v>
      </c>
      <c r="C1349" s="1" t="n">
        <v>45828</v>
      </c>
      <c r="D1349" t="inlineStr">
        <is>
          <t>DALARNAS LÄN</t>
        </is>
      </c>
      <c r="E1349" t="inlineStr">
        <is>
          <t>MALUNG-SÄLEN</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20328-2025</t>
        </is>
      </c>
      <c r="B1350" s="1" t="n">
        <v>45775</v>
      </c>
      <c r="C1350" s="1" t="n">
        <v>45828</v>
      </c>
      <c r="D1350" t="inlineStr">
        <is>
          <t>DALARNAS LÄN</t>
        </is>
      </c>
      <c r="E1350" t="inlineStr">
        <is>
          <t>MALUNG-SÄLEN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20330-2025</t>
        </is>
      </c>
      <c r="B1351" s="1" t="n">
        <v>45775</v>
      </c>
      <c r="C1351" s="1" t="n">
        <v>45828</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21323-2025</t>
        </is>
      </c>
      <c r="B1352" s="1" t="n">
        <v>45782</v>
      </c>
      <c r="C1352" s="1" t="n">
        <v>45828</v>
      </c>
      <c r="D1352" t="inlineStr">
        <is>
          <t>DALARNAS LÄN</t>
        </is>
      </c>
      <c r="E1352" t="inlineStr">
        <is>
          <t>MALUNG-SÄLEN</t>
        </is>
      </c>
      <c r="F1352" t="inlineStr">
        <is>
          <t>Bergvik skog öst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22647-2025</t>
        </is>
      </c>
      <c r="B1353" s="1" t="n">
        <v>45789</v>
      </c>
      <c r="C1353" s="1" t="n">
        <v>45828</v>
      </c>
      <c r="D1353" t="inlineStr">
        <is>
          <t>DALARNAS LÄN</t>
        </is>
      </c>
      <c r="E1353" t="inlineStr">
        <is>
          <t>MALUNG-SÄLEN</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23793-2025</t>
        </is>
      </c>
      <c r="B1354" s="1" t="n">
        <v>45793</v>
      </c>
      <c r="C1354" s="1" t="n">
        <v>45828</v>
      </c>
      <c r="D1354" t="inlineStr">
        <is>
          <t>DALARNAS LÄN</t>
        </is>
      </c>
      <c r="E1354" t="inlineStr">
        <is>
          <t>MALUNG-SÄLEN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24138-2025</t>
        </is>
      </c>
      <c r="B1355" s="1" t="n">
        <v>45796</v>
      </c>
      <c r="C1355" s="1" t="n">
        <v>45828</v>
      </c>
      <c r="D1355" t="inlineStr">
        <is>
          <t>DALARNAS LÄN</t>
        </is>
      </c>
      <c r="E1355" t="inlineStr">
        <is>
          <t>MALUNG-SÄLEN</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45828</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45828</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45828</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45828</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45828</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24377-2025</t>
        </is>
      </c>
      <c r="B1361" s="1" t="n">
        <v>45797</v>
      </c>
      <c r="C1361" s="1" t="n">
        <v>45828</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24617-2025</t>
        </is>
      </c>
      <c r="B1362" s="1" t="n">
        <v>45798</v>
      </c>
      <c r="C1362" s="1" t="n">
        <v>45828</v>
      </c>
      <c r="D1362" t="inlineStr">
        <is>
          <t>DALARNAS LÄN</t>
        </is>
      </c>
      <c r="E1362" t="inlineStr">
        <is>
          <t>MALUNG-SÄLEN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24968-2025</t>
        </is>
      </c>
      <c r="B1363" s="1" t="n">
        <v>45799</v>
      </c>
      <c r="C1363" s="1" t="n">
        <v>45828</v>
      </c>
      <c r="D1363" t="inlineStr">
        <is>
          <t>DALARNAS LÄN</t>
        </is>
      </c>
      <c r="E1363" t="inlineStr">
        <is>
          <t>MALUNG-SÄLEN</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45828</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25141-2025</t>
        </is>
      </c>
      <c r="B1365" s="1" t="n">
        <v>45800</v>
      </c>
      <c r="C1365" s="1" t="n">
        <v>45828</v>
      </c>
      <c r="D1365" t="inlineStr">
        <is>
          <t>DALARNAS LÄN</t>
        </is>
      </c>
      <c r="E1365" t="inlineStr">
        <is>
          <t>MALUNG-SÄLEN</t>
        </is>
      </c>
      <c r="F1365" t="inlineStr">
        <is>
          <t>Bergvik skog öst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25928-2025</t>
        </is>
      </c>
      <c r="B1366" s="1" t="n">
        <v>45804</v>
      </c>
      <c r="C1366" s="1" t="n">
        <v>45828</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25971-2025</t>
        </is>
      </c>
      <c r="B1367" s="1" t="n">
        <v>45804</v>
      </c>
      <c r="C1367" s="1" t="n">
        <v>45828</v>
      </c>
      <c r="D1367" t="inlineStr">
        <is>
          <t>DALARNAS LÄN</t>
        </is>
      </c>
      <c r="E1367" t="inlineStr">
        <is>
          <t>MALUNG-SÄLEN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25924-2025</t>
        </is>
      </c>
      <c r="B1368" s="1" t="n">
        <v>45804</v>
      </c>
      <c r="C1368" s="1" t="n">
        <v>45828</v>
      </c>
      <c r="D1368" t="inlineStr">
        <is>
          <t>DALARNAS LÄN</t>
        </is>
      </c>
      <c r="E1368" t="inlineStr">
        <is>
          <t>MALUNG-SÄLEN</t>
        </is>
      </c>
      <c r="F1368" t="inlineStr">
        <is>
          <t>Allmännings- och besparingsskogar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25826-2025</t>
        </is>
      </c>
      <c r="B1369" s="1" t="n">
        <v>45804</v>
      </c>
      <c r="C1369" s="1" t="n">
        <v>45828</v>
      </c>
      <c r="D1369" t="inlineStr">
        <is>
          <t>DALARNAS LÄN</t>
        </is>
      </c>
      <c r="E1369" t="inlineStr">
        <is>
          <t>MALUNG-SÄLEN</t>
        </is>
      </c>
      <c r="F1369" t="inlineStr">
        <is>
          <t>Allmännings- och besparingsskogar</t>
        </is>
      </c>
      <c r="G1369" t="n">
        <v>39.5</v>
      </c>
      <c r="H1369" t="n">
        <v>0</v>
      </c>
      <c r="I1369" t="n">
        <v>0</v>
      </c>
      <c r="J1369" t="n">
        <v>0</v>
      </c>
      <c r="K1369" t="n">
        <v>0</v>
      </c>
      <c r="L1369" t="n">
        <v>0</v>
      </c>
      <c r="M1369" t="n">
        <v>0</v>
      </c>
      <c r="N1369" t="n">
        <v>0</v>
      </c>
      <c r="O1369" t="n">
        <v>0</v>
      </c>
      <c r="P1369" t="n">
        <v>0</v>
      </c>
      <c r="Q1369" t="n">
        <v>0</v>
      </c>
      <c r="R1369" s="2" t="inlineStr"/>
    </row>
    <row r="1370" ht="15" customHeight="1">
      <c r="A1370" t="inlineStr">
        <is>
          <t>A 25858-2025</t>
        </is>
      </c>
      <c r="B1370" s="1" t="n">
        <v>45804</v>
      </c>
      <c r="C1370" s="1" t="n">
        <v>45828</v>
      </c>
      <c r="D1370" t="inlineStr">
        <is>
          <t>DALARNAS LÄN</t>
        </is>
      </c>
      <c r="E1370" t="inlineStr">
        <is>
          <t>MALUNG-SÄLEN</t>
        </is>
      </c>
      <c r="F1370" t="inlineStr">
        <is>
          <t>Allmännings- och besparingsskogar</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25759-2025</t>
        </is>
      </c>
      <c r="B1371" s="1" t="n">
        <v>45804</v>
      </c>
      <c r="C1371" s="1" t="n">
        <v>45828</v>
      </c>
      <c r="D1371" t="inlineStr">
        <is>
          <t>DALARNAS LÄN</t>
        </is>
      </c>
      <c r="E1371" t="inlineStr">
        <is>
          <t>MALUNG-SÄLEN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25891-2025</t>
        </is>
      </c>
      <c r="B1372" s="1" t="n">
        <v>45804</v>
      </c>
      <c r="C1372" s="1" t="n">
        <v>45828</v>
      </c>
      <c r="D1372" t="inlineStr">
        <is>
          <t>DALARNAS LÄN</t>
        </is>
      </c>
      <c r="E1372" t="inlineStr">
        <is>
          <t>MALUNG-SÄLEN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25765-2025</t>
        </is>
      </c>
      <c r="B1373" s="1" t="n">
        <v>45804</v>
      </c>
      <c r="C1373" s="1" t="n">
        <v>45828</v>
      </c>
      <c r="D1373" t="inlineStr">
        <is>
          <t>DALARNAS LÄN</t>
        </is>
      </c>
      <c r="E1373" t="inlineStr">
        <is>
          <t>MALUNG-SÄLEN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25766-2025</t>
        </is>
      </c>
      <c r="B1374" s="1" t="n">
        <v>45804</v>
      </c>
      <c r="C1374" s="1" t="n">
        <v>45828</v>
      </c>
      <c r="D1374" t="inlineStr">
        <is>
          <t>DALARNAS LÄN</t>
        </is>
      </c>
      <c r="E1374" t="inlineStr">
        <is>
          <t>MALUNG-SÄLEN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25777-2025</t>
        </is>
      </c>
      <c r="B1375" s="1" t="n">
        <v>45804</v>
      </c>
      <c r="C1375" s="1" t="n">
        <v>45828</v>
      </c>
      <c r="D1375" t="inlineStr">
        <is>
          <t>DALARNAS LÄN</t>
        </is>
      </c>
      <c r="E1375" t="inlineStr">
        <is>
          <t>MALUNG-SÄLEN</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45828</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25763-2025</t>
        </is>
      </c>
      <c r="B1377" s="1" t="n">
        <v>45804</v>
      </c>
      <c r="C1377" s="1" t="n">
        <v>45828</v>
      </c>
      <c r="D1377" t="inlineStr">
        <is>
          <t>DALARNAS LÄN</t>
        </is>
      </c>
      <c r="E1377" t="inlineStr">
        <is>
          <t>MALUNG-SÄLEN</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45828</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45828</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26138-2025</t>
        </is>
      </c>
      <c r="B1380" s="1" t="n">
        <v>45805</v>
      </c>
      <c r="C1380" s="1" t="n">
        <v>45828</v>
      </c>
      <c r="D1380" t="inlineStr">
        <is>
          <t>DALARNAS LÄN</t>
        </is>
      </c>
      <c r="E1380" t="inlineStr">
        <is>
          <t>MALUNG-SÄLEN</t>
        </is>
      </c>
      <c r="F1380" t="inlineStr">
        <is>
          <t>Bergvik skog öst AB</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26142-2025</t>
        </is>
      </c>
      <c r="B1381" s="1" t="n">
        <v>45805</v>
      </c>
      <c r="C1381" s="1" t="n">
        <v>45828</v>
      </c>
      <c r="D1381" t="inlineStr">
        <is>
          <t>DALARNAS LÄN</t>
        </is>
      </c>
      <c r="E1381" t="inlineStr">
        <is>
          <t>MALUNG-SÄLEN</t>
        </is>
      </c>
      <c r="F1381" t="inlineStr">
        <is>
          <t>Bergvik skog öst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45828</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26460-2025</t>
        </is>
      </c>
      <c r="B1383" s="1" t="n">
        <v>45807</v>
      </c>
      <c r="C1383" s="1" t="n">
        <v>45828</v>
      </c>
      <c r="D1383" t="inlineStr">
        <is>
          <t>DALARNAS LÄN</t>
        </is>
      </c>
      <c r="E1383" t="inlineStr">
        <is>
          <t>MALUNG-SÄLEN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45828</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26852-2025</t>
        </is>
      </c>
      <c r="B1385" s="1" t="n">
        <v>45810</v>
      </c>
      <c r="C1385" s="1" t="n">
        <v>45828</v>
      </c>
      <c r="D1385" t="inlineStr">
        <is>
          <t>DALARNAS LÄN</t>
        </is>
      </c>
      <c r="E1385" t="inlineStr">
        <is>
          <t>MALUNG-SÄLEN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28038-2025</t>
        </is>
      </c>
      <c r="B1386" s="1" t="n">
        <v>45817</v>
      </c>
      <c r="C1386" s="1" t="n">
        <v>45828</v>
      </c>
      <c r="D1386" t="inlineStr">
        <is>
          <t>DALARNAS LÄN</t>
        </is>
      </c>
      <c r="E1386" t="inlineStr">
        <is>
          <t>MALUNG-SÄLEN</t>
        </is>
      </c>
      <c r="F1386" t="inlineStr">
        <is>
          <t>Kommuner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28021-2025</t>
        </is>
      </c>
      <c r="B1387" s="1" t="n">
        <v>45817</v>
      </c>
      <c r="C1387" s="1" t="n">
        <v>45828</v>
      </c>
      <c r="D1387" t="inlineStr">
        <is>
          <t>DALARNAS LÄN</t>
        </is>
      </c>
      <c r="E1387" t="inlineStr">
        <is>
          <t>MALUNG-SÄLEN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28083-2025</t>
        </is>
      </c>
      <c r="B1388" s="1" t="n">
        <v>45817</v>
      </c>
      <c r="C1388" s="1" t="n">
        <v>45828</v>
      </c>
      <c r="D1388" t="inlineStr">
        <is>
          <t>DALARNAS LÄN</t>
        </is>
      </c>
      <c r="E1388" t="inlineStr">
        <is>
          <t>MALUNG-SÄLEN</t>
        </is>
      </c>
      <c r="F1388" t="inlineStr">
        <is>
          <t>Allmännings- och besparingsskogar</t>
        </is>
      </c>
      <c r="G1388" t="n">
        <v>28.4</v>
      </c>
      <c r="H1388" t="n">
        <v>0</v>
      </c>
      <c r="I1388" t="n">
        <v>0</v>
      </c>
      <c r="J1388" t="n">
        <v>0</v>
      </c>
      <c r="K1388" t="n">
        <v>0</v>
      </c>
      <c r="L1388" t="n">
        <v>0</v>
      </c>
      <c r="M1388" t="n">
        <v>0</v>
      </c>
      <c r="N1388" t="n">
        <v>0</v>
      </c>
      <c r="O1388" t="n">
        <v>0</v>
      </c>
      <c r="P1388" t="n">
        <v>0</v>
      </c>
      <c r="Q1388" t="n">
        <v>0</v>
      </c>
      <c r="R1388" s="2" t="inlineStr"/>
    </row>
    <row r="1389" ht="15" customHeight="1">
      <c r="A1389" t="inlineStr">
        <is>
          <t>A 28133-2025</t>
        </is>
      </c>
      <c r="B1389" s="1" t="n">
        <v>45818</v>
      </c>
      <c r="C1389" s="1" t="n">
        <v>45828</v>
      </c>
      <c r="D1389" t="inlineStr">
        <is>
          <t>DALARNAS LÄN</t>
        </is>
      </c>
      <c r="E1389" t="inlineStr">
        <is>
          <t>MALUNG-SÄLEN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28191-2025</t>
        </is>
      </c>
      <c r="B1390" s="1" t="n">
        <v>45818</v>
      </c>
      <c r="C1390" s="1" t="n">
        <v>45828</v>
      </c>
      <c r="D1390" t="inlineStr">
        <is>
          <t>DALARNAS LÄN</t>
        </is>
      </c>
      <c r="E1390" t="inlineStr">
        <is>
          <t>MALUNG-SÄLEN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28192-2025</t>
        </is>
      </c>
      <c r="B1391" s="1" t="n">
        <v>45818</v>
      </c>
      <c r="C1391" s="1" t="n">
        <v>45828</v>
      </c>
      <c r="D1391" t="inlineStr">
        <is>
          <t>DALARNAS LÄN</t>
        </is>
      </c>
      <c r="E1391" t="inlineStr">
        <is>
          <t>MALUNG-SÄLEN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28542-2025</t>
        </is>
      </c>
      <c r="B1392" s="1" t="n">
        <v>45818</v>
      </c>
      <c r="C1392" s="1" t="n">
        <v>45828</v>
      </c>
      <c r="D1392" t="inlineStr">
        <is>
          <t>DALARNAS LÄN</t>
        </is>
      </c>
      <c r="E1392" t="inlineStr">
        <is>
          <t>MALUNG-SÄLEN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28268-2025</t>
        </is>
      </c>
      <c r="B1393" s="1" t="n">
        <v>45818</v>
      </c>
      <c r="C1393" s="1" t="n">
        <v>45828</v>
      </c>
      <c r="D1393" t="inlineStr">
        <is>
          <t>DALARNAS LÄN</t>
        </is>
      </c>
      <c r="E1393" t="inlineStr">
        <is>
          <t>MALUNG-SÄLEN</t>
        </is>
      </c>
      <c r="F1393" t="inlineStr">
        <is>
          <t>Övriga statliga verk och myndigheter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28518-2025</t>
        </is>
      </c>
      <c r="B1394" s="1" t="n">
        <v>45819</v>
      </c>
      <c r="C1394" s="1" t="n">
        <v>45828</v>
      </c>
      <c r="D1394" t="inlineStr">
        <is>
          <t>DALARNAS LÄN</t>
        </is>
      </c>
      <c r="E1394" t="inlineStr">
        <is>
          <t>MALUNG-SÄLEN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28850-2025</t>
        </is>
      </c>
      <c r="B1395" s="1" t="n">
        <v>45820</v>
      </c>
      <c r="C1395" s="1" t="n">
        <v>45828</v>
      </c>
      <c r="D1395" t="inlineStr">
        <is>
          <t>DALARNAS LÄN</t>
        </is>
      </c>
      <c r="E1395" t="inlineStr">
        <is>
          <t>MALUNG-SÄLEN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28856-2025</t>
        </is>
      </c>
      <c r="B1396" s="1" t="n">
        <v>45820</v>
      </c>
      <c r="C1396" s="1" t="n">
        <v>45828</v>
      </c>
      <c r="D1396" t="inlineStr">
        <is>
          <t>DALARNAS LÄN</t>
        </is>
      </c>
      <c r="E1396" t="inlineStr">
        <is>
          <t>MALUNG-SÄLEN</t>
        </is>
      </c>
      <c r="G1396" t="n">
        <v>15.1</v>
      </c>
      <c r="H1396" t="n">
        <v>0</v>
      </c>
      <c r="I1396" t="n">
        <v>0</v>
      </c>
      <c r="J1396" t="n">
        <v>0</v>
      </c>
      <c r="K1396" t="n">
        <v>0</v>
      </c>
      <c r="L1396" t="n">
        <v>0</v>
      </c>
      <c r="M1396" t="n">
        <v>0</v>
      </c>
      <c r="N1396" t="n">
        <v>0</v>
      </c>
      <c r="O1396" t="n">
        <v>0</v>
      </c>
      <c r="P1396" t="n">
        <v>0</v>
      </c>
      <c r="Q1396" t="n">
        <v>0</v>
      </c>
      <c r="R1396" s="2" t="inlineStr"/>
    </row>
    <row r="1397" ht="15" customHeight="1">
      <c r="A1397" t="inlineStr">
        <is>
          <t>A 28864-2025</t>
        </is>
      </c>
      <c r="B1397" s="1" t="n">
        <v>45820</v>
      </c>
      <c r="C1397" s="1" t="n">
        <v>45828</v>
      </c>
      <c r="D1397" t="inlineStr">
        <is>
          <t>DALARNAS LÄN</t>
        </is>
      </c>
      <c r="E1397" t="inlineStr">
        <is>
          <t>MALUNG-SÄLEN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28764-2025</t>
        </is>
      </c>
      <c r="B1398" s="1" t="n">
        <v>45820</v>
      </c>
      <c r="C1398" s="1" t="n">
        <v>45828</v>
      </c>
      <c r="D1398" t="inlineStr">
        <is>
          <t>DALARNAS LÄN</t>
        </is>
      </c>
      <c r="E1398" t="inlineStr">
        <is>
          <t>MALUNG-SÄLEN</t>
        </is>
      </c>
      <c r="F1398" t="inlineStr">
        <is>
          <t>Allmännings- och besparingsskogar</t>
        </is>
      </c>
      <c r="G1398" t="n">
        <v>32.7</v>
      </c>
      <c r="H1398" t="n">
        <v>0</v>
      </c>
      <c r="I1398" t="n">
        <v>0</v>
      </c>
      <c r="J1398" t="n">
        <v>0</v>
      </c>
      <c r="K1398" t="n">
        <v>0</v>
      </c>
      <c r="L1398" t="n">
        <v>0</v>
      </c>
      <c r="M1398" t="n">
        <v>0</v>
      </c>
      <c r="N1398" t="n">
        <v>0</v>
      </c>
      <c r="O1398" t="n">
        <v>0</v>
      </c>
      <c r="P1398" t="n">
        <v>0</v>
      </c>
      <c r="Q1398" t="n">
        <v>0</v>
      </c>
      <c r="R1398" s="2" t="inlineStr"/>
    </row>
    <row r="1399" ht="15" customHeight="1">
      <c r="A1399" t="inlineStr">
        <is>
          <t>A 29040-2025</t>
        </is>
      </c>
      <c r="B1399" s="1" t="n">
        <v>45821</v>
      </c>
      <c r="C1399" s="1" t="n">
        <v>45828</v>
      </c>
      <c r="D1399" t="inlineStr">
        <is>
          <t>DALARNAS LÄN</t>
        </is>
      </c>
      <c r="E1399" t="inlineStr">
        <is>
          <t>MALUNG-SÄLEN</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29041-2025</t>
        </is>
      </c>
      <c r="B1400" s="1" t="n">
        <v>45821</v>
      </c>
      <c r="C1400" s="1" t="n">
        <v>45828</v>
      </c>
      <c r="D1400" t="inlineStr">
        <is>
          <t>DALARNAS LÄN</t>
        </is>
      </c>
      <c r="E1400" t="inlineStr">
        <is>
          <t>MALUNG-SÄLEN</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29052-2025</t>
        </is>
      </c>
      <c r="B1401" s="1" t="n">
        <v>45821</v>
      </c>
      <c r="C1401" s="1" t="n">
        <v>45828</v>
      </c>
      <c r="D1401" t="inlineStr">
        <is>
          <t>DALARNAS LÄN</t>
        </is>
      </c>
      <c r="E1401" t="inlineStr">
        <is>
          <t>MALUNG-SÄLEN</t>
        </is>
      </c>
      <c r="F1401" t="inlineStr">
        <is>
          <t>Bergvik skog öst AB</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29097-2025</t>
        </is>
      </c>
      <c r="B1402" s="1" t="n">
        <v>45821</v>
      </c>
      <c r="C1402" s="1" t="n">
        <v>45828</v>
      </c>
      <c r="D1402" t="inlineStr">
        <is>
          <t>DALARNAS LÄN</t>
        </is>
      </c>
      <c r="E1402" t="inlineStr">
        <is>
          <t>MALUNG-SÄLEN</t>
        </is>
      </c>
      <c r="F1402" t="inlineStr">
        <is>
          <t>Bergvik skog öst AB</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29424-2025</t>
        </is>
      </c>
      <c r="B1403" s="1" t="n">
        <v>45824</v>
      </c>
      <c r="C1403" s="1" t="n">
        <v>45828</v>
      </c>
      <c r="D1403" t="inlineStr">
        <is>
          <t>DALARNAS LÄN</t>
        </is>
      </c>
      <c r="E1403" t="inlineStr">
        <is>
          <t>MALUNG-SÄLEN</t>
        </is>
      </c>
      <c r="F1403" t="inlineStr">
        <is>
          <t>Bergvik skog väst AB</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29458-2025</t>
        </is>
      </c>
      <c r="B1404" s="1" t="n">
        <v>45824</v>
      </c>
      <c r="C1404" s="1" t="n">
        <v>45828</v>
      </c>
      <c r="D1404" t="inlineStr">
        <is>
          <t>DALARNAS LÄN</t>
        </is>
      </c>
      <c r="E1404" t="inlineStr">
        <is>
          <t>MALUNG-SÄLEN</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29259-2025</t>
        </is>
      </c>
      <c r="B1405" s="1" t="n">
        <v>45824</v>
      </c>
      <c r="C1405" s="1" t="n">
        <v>45828</v>
      </c>
      <c r="D1405" t="inlineStr">
        <is>
          <t>DALARNAS LÄN</t>
        </is>
      </c>
      <c r="E1405" t="inlineStr">
        <is>
          <t>MALUNG-SÄLEN</t>
        </is>
      </c>
      <c r="F1405" t="inlineStr">
        <is>
          <t>Bergvik skog väst AB</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29363-2025</t>
        </is>
      </c>
      <c r="B1406" s="1" t="n">
        <v>45824</v>
      </c>
      <c r="C1406" s="1" t="n">
        <v>45828</v>
      </c>
      <c r="D1406" t="inlineStr">
        <is>
          <t>DALARNAS LÄN</t>
        </is>
      </c>
      <c r="E1406" t="inlineStr">
        <is>
          <t>MALUNG-SÄLEN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29359-2025</t>
        </is>
      </c>
      <c r="B1407" s="1" t="n">
        <v>45824</v>
      </c>
      <c r="C1407" s="1" t="n">
        <v>45828</v>
      </c>
      <c r="D1407" t="inlineStr">
        <is>
          <t>DALARNAS LÄN</t>
        </is>
      </c>
      <c r="E1407" t="inlineStr">
        <is>
          <t>MALUNG-SÄLEN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29257-2025</t>
        </is>
      </c>
      <c r="B1408" s="1" t="n">
        <v>45824</v>
      </c>
      <c r="C1408" s="1" t="n">
        <v>45828</v>
      </c>
      <c r="D1408" t="inlineStr">
        <is>
          <t>DALARNAS LÄN</t>
        </is>
      </c>
      <c r="E1408" t="inlineStr">
        <is>
          <t>MALUNG-SÄLEN</t>
        </is>
      </c>
      <c r="F1408" t="inlineStr">
        <is>
          <t>Bergvik skog väst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29398-2025</t>
        </is>
      </c>
      <c r="B1409" s="1" t="n">
        <v>45824</v>
      </c>
      <c r="C1409" s="1" t="n">
        <v>45828</v>
      </c>
      <c r="D1409" t="inlineStr">
        <is>
          <t>DALARNAS LÄN</t>
        </is>
      </c>
      <c r="E1409" t="inlineStr">
        <is>
          <t>MALUNG-SÄLEN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29362-2025</t>
        </is>
      </c>
      <c r="B1410" s="1" t="n">
        <v>45824</v>
      </c>
      <c r="C1410" s="1" t="n">
        <v>45828</v>
      </c>
      <c r="D1410" t="inlineStr">
        <is>
          <t>DALARNAS LÄN</t>
        </is>
      </c>
      <c r="E1410" t="inlineStr">
        <is>
          <t>MALUNG-SÄLEN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29365-2025</t>
        </is>
      </c>
      <c r="B1411" s="1" t="n">
        <v>45824</v>
      </c>
      <c r="C1411" s="1" t="n">
        <v>45828</v>
      </c>
      <c r="D1411" t="inlineStr">
        <is>
          <t>DALARNAS LÄN</t>
        </is>
      </c>
      <c r="E1411" t="inlineStr">
        <is>
          <t>MALUNG-SÄLEN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29950-2025</t>
        </is>
      </c>
      <c r="B1412" s="1" t="n">
        <v>45826</v>
      </c>
      <c r="C1412" s="1" t="n">
        <v>45828</v>
      </c>
      <c r="D1412" t="inlineStr">
        <is>
          <t>DALARNAS LÄN</t>
        </is>
      </c>
      <c r="E1412" t="inlineStr">
        <is>
          <t>MALUNG-SÄLEN</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29913-2025</t>
        </is>
      </c>
      <c r="B1413" s="1" t="n">
        <v>45826</v>
      </c>
      <c r="C1413" s="1" t="n">
        <v>45828</v>
      </c>
      <c r="D1413" t="inlineStr">
        <is>
          <t>DALARNAS LÄN</t>
        </is>
      </c>
      <c r="E1413" t="inlineStr">
        <is>
          <t>MALUNG-SÄLEN</t>
        </is>
      </c>
      <c r="F1413" t="inlineStr">
        <is>
          <t>Allmännings- och besparingsskogar</t>
        </is>
      </c>
      <c r="G1413" t="n">
        <v>13.7</v>
      </c>
      <c r="H1413" t="n">
        <v>0</v>
      </c>
      <c r="I1413" t="n">
        <v>0</v>
      </c>
      <c r="J1413" t="n">
        <v>0</v>
      </c>
      <c r="K1413" t="n">
        <v>0</v>
      </c>
      <c r="L1413" t="n">
        <v>0</v>
      </c>
      <c r="M1413" t="n">
        <v>0</v>
      </c>
      <c r="N1413" t="n">
        <v>0</v>
      </c>
      <c r="O1413" t="n">
        <v>0</v>
      </c>
      <c r="P1413" t="n">
        <v>0</v>
      </c>
      <c r="Q1413" t="n">
        <v>0</v>
      </c>
      <c r="R1413" s="2" t="inlineStr"/>
    </row>
    <row r="1414">
      <c r="A1414" t="inlineStr">
        <is>
          <t>A 30176-2025</t>
        </is>
      </c>
      <c r="B1414" s="1" t="n">
        <v>45827</v>
      </c>
      <c r="C1414" s="1" t="n">
        <v>45828</v>
      </c>
      <c r="D1414" t="inlineStr">
        <is>
          <t>DALARNAS LÄN</t>
        </is>
      </c>
      <c r="E1414" t="inlineStr">
        <is>
          <t>MALUNG-SÄLEN</t>
        </is>
      </c>
      <c r="G1414" t="n">
        <v>0.9</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2025-06-20T19:19:14Z</dcterms:created>
  <dcterms:modified xmlns:dcterms="http://purl.org/dc/terms/" xmlns:xsi="http://www.w3.org/2001/XMLSchema-instance" xsi:type="dcterms:W3CDTF">2025-06-20T19:19:15Z</dcterms:modified>
</cp:coreProperties>
</file>