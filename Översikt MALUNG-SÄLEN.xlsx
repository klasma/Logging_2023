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45881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45881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45881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45881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45881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45881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45881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45881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45881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45881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45881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45881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45881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45881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45881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56419-2023</t>
        </is>
      </c>
      <c r="B17" s="1" t="n">
        <v>45236</v>
      </c>
      <c r="C17" s="1" t="n">
        <v>45881</v>
      </c>
      <c r="D17" t="inlineStr">
        <is>
          <t>DALARNAS LÄN</t>
        </is>
      </c>
      <c r="E17" t="inlineStr">
        <is>
          <t>MALUNG-SÄLEN</t>
        </is>
      </c>
      <c r="G17" t="n">
        <v>2.1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Garnlav
Rosenticka</t>
        </is>
      </c>
      <c r="S17">
        <f>HYPERLINK("https://klasma.github.io/Logging_2023/artfynd/A 56419-2023 artfynd.xlsx", "A 56419-2023")</f>
        <v/>
      </c>
      <c r="T17">
        <f>HYPERLINK("https://klasma.github.io/Logging_2023/kartor/A 56419-2023 karta.png", "A 56419-2023")</f>
        <v/>
      </c>
      <c r="U17">
        <f>HYPERLINK("https://klasma.github.io/Logging_2023/knärot/A 56419-2023 karta knärot.png", "A 56419-2023")</f>
        <v/>
      </c>
      <c r="V17">
        <f>HYPERLINK("https://klasma.github.io/Logging_2023/klagomål/A 56419-2023 FSC-klagomål.docx", "A 56419-2023")</f>
        <v/>
      </c>
      <c r="W17">
        <f>HYPERLINK("https://klasma.github.io/Logging_2023/klagomålsmail/A 56419-2023 FSC-klagomål mail.docx", "A 56419-2023")</f>
        <v/>
      </c>
      <c r="X17">
        <f>HYPERLINK("https://klasma.github.io/Logging_2023/tillsyn/A 56419-2023 tillsynsbegäran.docx", "A 56419-2023")</f>
        <v/>
      </c>
      <c r="Y17">
        <f>HYPERLINK("https://klasma.github.io/Logging_2023/tillsynsmail/A 56419-2023 tillsynsbegäran mail.docx", "A 56419-2023")</f>
        <v/>
      </c>
    </row>
    <row r="18" ht="15" customHeight="1">
      <c r="A18" t="inlineStr">
        <is>
          <t>A 9064-2025</t>
        </is>
      </c>
      <c r="B18" s="1" t="n">
        <v>45713</v>
      </c>
      <c r="C18" s="1" t="n">
        <v>45881</v>
      </c>
      <c r="D18" t="inlineStr">
        <is>
          <t>DALARNAS LÄN</t>
        </is>
      </c>
      <c r="E18" t="inlineStr">
        <is>
          <t>MALUNG-SÄLEN</t>
        </is>
      </c>
      <c r="G18" t="n">
        <v>10.2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Vedskivlav</t>
        </is>
      </c>
      <c r="S18">
        <f>HYPERLINK("https://klasma.github.io/Logging_2023/artfynd/A 9064-2025 artfynd.xlsx", "A 9064-2025")</f>
        <v/>
      </c>
      <c r="T18">
        <f>HYPERLINK("https://klasma.github.io/Logging_2023/kartor/A 9064-2025 karta.png", "A 9064-2025")</f>
        <v/>
      </c>
      <c r="V18">
        <f>HYPERLINK("https://klasma.github.io/Logging_2023/klagomål/A 9064-2025 FSC-klagomål.docx", "A 9064-2025")</f>
        <v/>
      </c>
      <c r="W18">
        <f>HYPERLINK("https://klasma.github.io/Logging_2023/klagomålsmail/A 9064-2025 FSC-klagomål mail.docx", "A 9064-2025")</f>
        <v/>
      </c>
      <c r="X18">
        <f>HYPERLINK("https://klasma.github.io/Logging_2023/tillsyn/A 9064-2025 tillsynsbegäran.docx", "A 9064-2025")</f>
        <v/>
      </c>
      <c r="Y18">
        <f>HYPERLINK("https://klasma.github.io/Logging_2023/tillsynsmail/A 9064-2025 tillsynsbegäran mail.docx", "A 9064-2025")</f>
        <v/>
      </c>
    </row>
    <row r="19" ht="15" customHeight="1">
      <c r="A19" t="inlineStr">
        <is>
          <t>A 34878-2022</t>
        </is>
      </c>
      <c r="B19" s="1" t="n">
        <v>44796</v>
      </c>
      <c r="C19" s="1" t="n">
        <v>45881</v>
      </c>
      <c r="D19" t="inlineStr">
        <is>
          <t>DALARNAS LÄN</t>
        </is>
      </c>
      <c r="E19" t="inlineStr">
        <is>
          <t>MALUNG-SÄLEN</t>
        </is>
      </c>
      <c r="G19" t="n">
        <v>0.7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Violettgrå tagellav</t>
        </is>
      </c>
      <c r="S19">
        <f>HYPERLINK("https://klasma.github.io/Logging_2023/artfynd/A 34878-2022 artfynd.xlsx", "A 34878-2022")</f>
        <v/>
      </c>
      <c r="T19">
        <f>HYPERLINK("https://klasma.github.io/Logging_2023/kartor/A 34878-2022 karta.png", "A 34878-2022")</f>
        <v/>
      </c>
      <c r="V19">
        <f>HYPERLINK("https://klasma.github.io/Logging_2023/klagomål/A 34878-2022 FSC-klagomål.docx", "A 34878-2022")</f>
        <v/>
      </c>
      <c r="W19">
        <f>HYPERLINK("https://klasma.github.io/Logging_2023/klagomålsmail/A 34878-2022 FSC-klagomål mail.docx", "A 34878-2022")</f>
        <v/>
      </c>
      <c r="X19">
        <f>HYPERLINK("https://klasma.github.io/Logging_2023/tillsyn/A 34878-2022 tillsynsbegäran.docx", "A 34878-2022")</f>
        <v/>
      </c>
      <c r="Y19">
        <f>HYPERLINK("https://klasma.github.io/Logging_2023/tillsynsmail/A 34878-2022 tillsynsbegäran mail.docx", "A 34878-2022")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45881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45881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45881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45881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45881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45881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45881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45881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45881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45881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45881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45881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45881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45881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45881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45881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45881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55914-2024</t>
        </is>
      </c>
      <c r="B37" s="1" t="n">
        <v>45623.59393518518</v>
      </c>
      <c r="C37" s="1" t="n">
        <v>45881</v>
      </c>
      <c r="D37" t="inlineStr">
        <is>
          <t>DALARNAS LÄN</t>
        </is>
      </c>
      <c r="E37" t="inlineStr">
        <is>
          <t>MALUNG-SÄLEN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HYPERLINK("https://klasma.github.io/Logging_2023/artfynd/A 55914-2024 artfynd.xlsx", "A 55914-2024")</f>
        <v/>
      </c>
      <c r="T37">
        <f>HYPERLINK("https://klasma.github.io/Logging_2023/kartor/A 55914-2024 karta.png", "A 55914-2024")</f>
        <v/>
      </c>
      <c r="V37">
        <f>HYPERLINK("https://klasma.github.io/Logging_2023/klagomål/A 55914-2024 FSC-klagomål.docx", "A 55914-2024")</f>
        <v/>
      </c>
      <c r="W37">
        <f>HYPERLINK("https://klasma.github.io/Logging_2023/klagomålsmail/A 55914-2024 FSC-klagomål mail.docx", "A 55914-2024")</f>
        <v/>
      </c>
      <c r="X37">
        <f>HYPERLINK("https://klasma.github.io/Logging_2023/tillsyn/A 55914-2024 tillsynsbegäran.docx", "A 55914-2024")</f>
        <v/>
      </c>
      <c r="Y37">
        <f>HYPERLINK("https://klasma.github.io/Logging_2023/tillsynsmail/A 55914-2024 tillsynsbegäran mail.docx", "A 55914-2024")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45881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45881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24972-2025</t>
        </is>
      </c>
      <c r="B40" s="1" t="n">
        <v>45799.58873842593</v>
      </c>
      <c r="C40" s="1" t="n">
        <v>45881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24972-2025 artfynd.xlsx", "A 24972-2025")</f>
        <v/>
      </c>
      <c r="T40">
        <f>HYPERLINK("https://klasma.github.io/Logging_2023/kartor/A 24972-2025 karta.png", "A 24972-2025")</f>
        <v/>
      </c>
      <c r="V40">
        <f>HYPERLINK("https://klasma.github.io/Logging_2023/klagomål/A 24972-2025 FSC-klagomål.docx", "A 24972-2025")</f>
        <v/>
      </c>
      <c r="W40">
        <f>HYPERLINK("https://klasma.github.io/Logging_2023/klagomålsmail/A 24972-2025 FSC-klagomål mail.docx", "A 24972-2025")</f>
        <v/>
      </c>
      <c r="X40">
        <f>HYPERLINK("https://klasma.github.io/Logging_2023/tillsyn/A 24972-2025 tillsynsbegäran.docx", "A 24972-2025")</f>
        <v/>
      </c>
      <c r="Y40">
        <f>HYPERLINK("https://klasma.github.io/Logging_2023/tillsynsmail/A 24972-2025 tillsynsbegäran mail.docx", "A 24972-2025")</f>
        <v/>
      </c>
    </row>
    <row r="41" ht="15" customHeight="1">
      <c r="A41" t="inlineStr">
        <is>
          <t>A 26240-2025</t>
        </is>
      </c>
      <c r="B41" s="1" t="n">
        <v>45805.5721412037</v>
      </c>
      <c r="C41" s="1" t="n">
        <v>45881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HYPERLINK("https://klasma.github.io/Logging_2023/artfynd/A 26240-2025 artfynd.xlsx", "A 26240-2025")</f>
        <v/>
      </c>
      <c r="T41">
        <f>HYPERLINK("https://klasma.github.io/Logging_2023/kartor/A 26240-2025 karta.png", "A 26240-2025")</f>
        <v/>
      </c>
      <c r="V41">
        <f>HYPERLINK("https://klasma.github.io/Logging_2023/klagomål/A 26240-2025 FSC-klagomål.docx", "A 26240-2025")</f>
        <v/>
      </c>
      <c r="W41">
        <f>HYPERLINK("https://klasma.github.io/Logging_2023/klagomålsmail/A 26240-2025 FSC-klagomål mail.docx", "A 26240-2025")</f>
        <v/>
      </c>
      <c r="X41">
        <f>HYPERLINK("https://klasma.github.io/Logging_2023/tillsyn/A 26240-2025 tillsynsbegäran.docx", "A 26240-2025")</f>
        <v/>
      </c>
      <c r="Y41">
        <f>HYPERLINK("https://klasma.github.io/Logging_2023/tillsynsmail/A 26240-2025 tillsynsbegäran mail.docx", "A 26240-2025")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45881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30728-2025</t>
        </is>
      </c>
      <c r="B43" s="1" t="n">
        <v>45831.57118055555</v>
      </c>
      <c r="C43" s="1" t="n">
        <v>45881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HYPERLINK("https://klasma.github.io/Logging_2023/artfynd/A 30728-2025 artfynd.xlsx", "A 30728-2025")</f>
        <v/>
      </c>
      <c r="T43">
        <f>HYPERLINK("https://klasma.github.io/Logging_2023/kartor/A 30728-2025 karta.png", "A 30728-2025")</f>
        <v/>
      </c>
      <c r="V43">
        <f>HYPERLINK("https://klasma.github.io/Logging_2023/klagomål/A 30728-2025 FSC-klagomål.docx", "A 30728-2025")</f>
        <v/>
      </c>
      <c r="W43">
        <f>HYPERLINK("https://klasma.github.io/Logging_2023/klagomålsmail/A 30728-2025 FSC-klagomål mail.docx", "A 30728-2025")</f>
        <v/>
      </c>
      <c r="X43">
        <f>HYPERLINK("https://klasma.github.io/Logging_2023/tillsyn/A 30728-2025 tillsynsbegäran.docx", "A 30728-2025")</f>
        <v/>
      </c>
      <c r="Y43">
        <f>HYPERLINK("https://klasma.github.io/Logging_2023/tillsynsmail/A 30728-2025 tillsynsbegäran mail.docx", "A 30728-2025")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45881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37587-2020</t>
        </is>
      </c>
      <c r="B45" s="1" t="n">
        <v>44056</v>
      </c>
      <c r="C45" s="1" t="n">
        <v>45881</v>
      </c>
      <c r="D45" t="inlineStr">
        <is>
          <t>DALARNAS LÄN</t>
        </is>
      </c>
      <c r="E45" t="inlineStr">
        <is>
          <t>MALUNG-SÄLEN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45881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52009-2020</t>
        </is>
      </c>
      <c r="B47" s="1" t="n">
        <v>44111</v>
      </c>
      <c r="C47" s="1" t="n">
        <v>45881</v>
      </c>
      <c r="D47" t="inlineStr">
        <is>
          <t>DALARNAS LÄN</t>
        </is>
      </c>
      <c r="E47" t="inlineStr">
        <is>
          <t>MALUNG-SÄLEN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45881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45881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45881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45881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45881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58899-2021</t>
        </is>
      </c>
      <c r="B53" s="1" t="n">
        <v>44489.67596064815</v>
      </c>
      <c r="C53" s="1" t="n">
        <v>45881</v>
      </c>
      <c r="D53" t="inlineStr">
        <is>
          <t>DALARNAS LÄN</t>
        </is>
      </c>
      <c r="E53" t="inlineStr">
        <is>
          <t>MALUNG-SÄLEN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50436-2020</t>
        </is>
      </c>
      <c r="B54" s="1" t="n">
        <v>44110</v>
      </c>
      <c r="C54" s="1" t="n">
        <v>45881</v>
      </c>
      <c r="D54" t="inlineStr">
        <is>
          <t>DALARNAS LÄN</t>
        </is>
      </c>
      <c r="E54" t="inlineStr">
        <is>
          <t>MALUNG-SÄLEN</t>
        </is>
      </c>
      <c r="F54" t="inlineStr">
        <is>
          <t>Övriga statliga verk och myndigheter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45881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45881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45881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45881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45881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45881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45881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45881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45881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45881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45881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45881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47007-2022</t>
        </is>
      </c>
      <c r="B67" s="1" t="n">
        <v>44852.32462962963</v>
      </c>
      <c r="C67" s="1" t="n">
        <v>45881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59612-2020</t>
        </is>
      </c>
      <c r="B68" s="1" t="n">
        <v>44149</v>
      </c>
      <c r="C68" s="1" t="n">
        <v>45881</v>
      </c>
      <c r="D68" t="inlineStr">
        <is>
          <t>DALARNAS LÄN</t>
        </is>
      </c>
      <c r="E68" t="inlineStr">
        <is>
          <t>MALUNG-SÄLEN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63903-2020</t>
        </is>
      </c>
      <c r="B69" s="1" t="n">
        <v>44166</v>
      </c>
      <c r="C69" s="1" t="n">
        <v>45881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45881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45881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45881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45881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44505-2021</t>
        </is>
      </c>
      <c r="B74" s="1" t="n">
        <v>44435</v>
      </c>
      <c r="C74" s="1" t="n">
        <v>45881</v>
      </c>
      <c r="D74" t="inlineStr">
        <is>
          <t>DALARNAS LÄN</t>
        </is>
      </c>
      <c r="E74" t="inlineStr">
        <is>
          <t>MALUNG-SÄLEN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45881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45881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45881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45881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45881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45881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45881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45881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2390-2021</t>
        </is>
      </c>
      <c r="B83" s="1" t="n">
        <v>44214</v>
      </c>
      <c r="C83" s="1" t="n">
        <v>45881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45881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45881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45881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45881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45881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45881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45881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45881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45881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38604-2020</t>
        </is>
      </c>
      <c r="B93" s="1" t="n">
        <v>44061</v>
      </c>
      <c r="C93" s="1" t="n">
        <v>45881</v>
      </c>
      <c r="D93" t="inlineStr">
        <is>
          <t>DALARNAS LÄN</t>
        </is>
      </c>
      <c r="E93" t="inlineStr">
        <is>
          <t>MALUNG-SÄLEN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45881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45881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45881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45881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45881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45881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40350-2020</t>
        </is>
      </c>
      <c r="B100" s="1" t="n">
        <v>44068</v>
      </c>
      <c r="C100" s="1" t="n">
        <v>45881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40354-2020</t>
        </is>
      </c>
      <c r="B101" s="1" t="n">
        <v>44068</v>
      </c>
      <c r="C101" s="1" t="n">
        <v>45881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22855-2021</t>
        </is>
      </c>
      <c r="B102" s="1" t="n">
        <v>44328.42916666667</v>
      </c>
      <c r="C102" s="1" t="n">
        <v>45881</v>
      </c>
      <c r="D102" t="inlineStr">
        <is>
          <t>DALARNAS LÄN</t>
        </is>
      </c>
      <c r="E102" t="inlineStr">
        <is>
          <t>MALUNG-SÄLEN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8474-2022</t>
        </is>
      </c>
      <c r="B103" s="1" t="n">
        <v>44613</v>
      </c>
      <c r="C103" s="1" t="n">
        <v>45881</v>
      </c>
      <c r="D103" t="inlineStr">
        <is>
          <t>DALARNAS LÄN</t>
        </is>
      </c>
      <c r="E103" t="inlineStr">
        <is>
          <t>MALUNG-SÄLEN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27656-2021</t>
        </is>
      </c>
      <c r="B104" s="1" t="n">
        <v>44354.39466435185</v>
      </c>
      <c r="C104" s="1" t="n">
        <v>45881</v>
      </c>
      <c r="D104" t="inlineStr">
        <is>
          <t>DALARNAS LÄN</t>
        </is>
      </c>
      <c r="E104" t="inlineStr">
        <is>
          <t>MALUNG-SÄLEN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25285-2021</t>
        </is>
      </c>
      <c r="B105" s="1" t="n">
        <v>44342</v>
      </c>
      <c r="C105" s="1" t="n">
        <v>45881</v>
      </c>
      <c r="D105" t="inlineStr">
        <is>
          <t>DALARNAS LÄN</t>
        </is>
      </c>
      <c r="E105" t="inlineStr">
        <is>
          <t>MALUNG-SÄLEN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45881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58169-2020</t>
        </is>
      </c>
      <c r="B107" s="1" t="n">
        <v>44144</v>
      </c>
      <c r="C107" s="1" t="n">
        <v>45881</v>
      </c>
      <c r="D107" t="inlineStr">
        <is>
          <t>DALARNAS LÄN</t>
        </is>
      </c>
      <c r="E107" t="inlineStr">
        <is>
          <t>MALUNG-SÄLEN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32863-2021</t>
        </is>
      </c>
      <c r="B108" s="1" t="n">
        <v>44375</v>
      </c>
      <c r="C108" s="1" t="n">
        <v>45881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71859-2021</t>
        </is>
      </c>
      <c r="B109" s="1" t="n">
        <v>44540</v>
      </c>
      <c r="C109" s="1" t="n">
        <v>45881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20804-2022</t>
        </is>
      </c>
      <c r="B110" s="1" t="n">
        <v>44701.41467592592</v>
      </c>
      <c r="C110" s="1" t="n">
        <v>45881</v>
      </c>
      <c r="D110" t="inlineStr">
        <is>
          <t>DALARNAS LÄN</t>
        </is>
      </c>
      <c r="E110" t="inlineStr">
        <is>
          <t>MALUNG-SÄLEN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27846-2022</t>
        </is>
      </c>
      <c r="B111" s="1" t="n">
        <v>44743</v>
      </c>
      <c r="C111" s="1" t="n">
        <v>45881</v>
      </c>
      <c r="D111" t="inlineStr">
        <is>
          <t>DALARNAS LÄN</t>
        </is>
      </c>
      <c r="E111" t="inlineStr">
        <is>
          <t>MALUNG-SÄLEN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27849-2022</t>
        </is>
      </c>
      <c r="B112" s="1" t="n">
        <v>44743.62524305555</v>
      </c>
      <c r="C112" s="1" t="n">
        <v>45881</v>
      </c>
      <c r="D112" t="inlineStr">
        <is>
          <t>DALARNAS LÄN</t>
        </is>
      </c>
      <c r="E112" t="inlineStr">
        <is>
          <t>MALUNG-SÄLEN</t>
        </is>
      </c>
      <c r="F112" t="inlineStr">
        <is>
          <t>Kommuner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46850-2021</t>
        </is>
      </c>
      <c r="B113" s="1" t="n">
        <v>44445</v>
      </c>
      <c r="C113" s="1" t="n">
        <v>45881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54219-2021</t>
        </is>
      </c>
      <c r="B114" s="1" t="n">
        <v>44469</v>
      </c>
      <c r="C114" s="1" t="n">
        <v>45881</v>
      </c>
      <c r="D114" t="inlineStr">
        <is>
          <t>DALARNAS LÄN</t>
        </is>
      </c>
      <c r="E114" t="inlineStr">
        <is>
          <t>MALUNG-SÄLEN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37770-2022</t>
        </is>
      </c>
      <c r="B115" s="1" t="n">
        <v>44810</v>
      </c>
      <c r="C115" s="1" t="n">
        <v>45881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30140-2021</t>
        </is>
      </c>
      <c r="B116" s="1" t="n">
        <v>44363</v>
      </c>
      <c r="C116" s="1" t="n">
        <v>45881</v>
      </c>
      <c r="D116" t="inlineStr">
        <is>
          <t>DALARNAS LÄN</t>
        </is>
      </c>
      <c r="E116" t="inlineStr">
        <is>
          <t>MALUNG-SÄLEN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26568-2021</t>
        </is>
      </c>
      <c r="B117" s="1" t="n">
        <v>44348.55862268519</v>
      </c>
      <c r="C117" s="1" t="n">
        <v>45881</v>
      </c>
      <c r="D117" t="inlineStr">
        <is>
          <t>DALARNAS LÄN</t>
        </is>
      </c>
      <c r="E117" t="inlineStr">
        <is>
          <t>MALUNG-SÄLEN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59345-2020</t>
        </is>
      </c>
      <c r="B118" s="1" t="n">
        <v>44148</v>
      </c>
      <c r="C118" s="1" t="n">
        <v>45881</v>
      </c>
      <c r="D118" t="inlineStr">
        <is>
          <t>DALARNAS LÄN</t>
        </is>
      </c>
      <c r="E118" t="inlineStr">
        <is>
          <t>MALUNG-SÄLEN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6362-2022</t>
        </is>
      </c>
      <c r="B119" s="1" t="n">
        <v>44600.60770833334</v>
      </c>
      <c r="C119" s="1" t="n">
        <v>45881</v>
      </c>
      <c r="D119" t="inlineStr">
        <is>
          <t>DALARNAS LÄN</t>
        </is>
      </c>
      <c r="E119" t="inlineStr">
        <is>
          <t>MALUNG-SÄLEN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27466-2021</t>
        </is>
      </c>
      <c r="B120" s="1" t="n">
        <v>44351</v>
      </c>
      <c r="C120" s="1" t="n">
        <v>45881</v>
      </c>
      <c r="D120" t="inlineStr">
        <is>
          <t>DALARNAS LÄN</t>
        </is>
      </c>
      <c r="E120" t="inlineStr">
        <is>
          <t>MALUNG-SÄLEN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48481-2022</t>
        </is>
      </c>
      <c r="B121" s="1" t="n">
        <v>44858</v>
      </c>
      <c r="C121" s="1" t="n">
        <v>45881</v>
      </c>
      <c r="D121" t="inlineStr">
        <is>
          <t>DALARNAS LÄN</t>
        </is>
      </c>
      <c r="E121" t="inlineStr">
        <is>
          <t>MALUNG-SÄLEN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9304-2022</t>
        </is>
      </c>
      <c r="B122" s="1" t="n">
        <v>44616</v>
      </c>
      <c r="C122" s="1" t="n">
        <v>45881</v>
      </c>
      <c r="D122" t="inlineStr">
        <is>
          <t>DALARNAS LÄN</t>
        </is>
      </c>
      <c r="E122" t="inlineStr">
        <is>
          <t>MALUNG-SÄLEN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47412-2021</t>
        </is>
      </c>
      <c r="B123" s="1" t="n">
        <v>44447.5934837963</v>
      </c>
      <c r="C123" s="1" t="n">
        <v>45881</v>
      </c>
      <c r="D123" t="inlineStr">
        <is>
          <t>DALARNAS LÄN</t>
        </is>
      </c>
      <c r="E123" t="inlineStr">
        <is>
          <t>MALUNG-SÄLEN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63508-2020</t>
        </is>
      </c>
      <c r="B124" s="1" t="n">
        <v>44165.65219907407</v>
      </c>
      <c r="C124" s="1" t="n">
        <v>45881</v>
      </c>
      <c r="D124" t="inlineStr">
        <is>
          <t>DALARNAS LÄN</t>
        </is>
      </c>
      <c r="E124" t="inlineStr">
        <is>
          <t>MALUNG-SÄLEN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27302-2021</t>
        </is>
      </c>
      <c r="B125" s="1" t="n">
        <v>44351.34210648148</v>
      </c>
      <c r="C125" s="1" t="n">
        <v>45881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41333-2022</t>
        </is>
      </c>
      <c r="B126" s="1" t="n">
        <v>44826</v>
      </c>
      <c r="C126" s="1" t="n">
        <v>45881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Allmännings- och besparingsskogar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23542-2022</t>
        </is>
      </c>
      <c r="B127" s="1" t="n">
        <v>44721.45182870371</v>
      </c>
      <c r="C127" s="1" t="n">
        <v>45881</v>
      </c>
      <c r="D127" t="inlineStr">
        <is>
          <t>DALARNAS LÄN</t>
        </is>
      </c>
      <c r="E127" t="inlineStr">
        <is>
          <t>MALUNG-SÄLEN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65252-2021</t>
        </is>
      </c>
      <c r="B128" s="1" t="n">
        <v>44515</v>
      </c>
      <c r="C128" s="1" t="n">
        <v>45881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58821-2020</t>
        </is>
      </c>
      <c r="B129" s="1" t="n">
        <v>44146</v>
      </c>
      <c r="C129" s="1" t="n">
        <v>45881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7081-2022</t>
        </is>
      </c>
      <c r="B130" s="1" t="n">
        <v>44603.5813425926</v>
      </c>
      <c r="C130" s="1" t="n">
        <v>45881</v>
      </c>
      <c r="D130" t="inlineStr">
        <is>
          <t>DALARNAS LÄN</t>
        </is>
      </c>
      <c r="E130" t="inlineStr">
        <is>
          <t>MALUNG-SÄLEN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49375-2020</t>
        </is>
      </c>
      <c r="B131" s="1" t="n">
        <v>44105.59841435185</v>
      </c>
      <c r="C131" s="1" t="n">
        <v>45881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27841-2022</t>
        </is>
      </c>
      <c r="B132" s="1" t="n">
        <v>44743.61864583333</v>
      </c>
      <c r="C132" s="1" t="n">
        <v>45881</v>
      </c>
      <c r="D132" t="inlineStr">
        <is>
          <t>DALARNAS LÄN</t>
        </is>
      </c>
      <c r="E132" t="inlineStr">
        <is>
          <t>MALUNG-SÄLEN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37887-2022</t>
        </is>
      </c>
      <c r="B133" s="1" t="n">
        <v>44811</v>
      </c>
      <c r="C133" s="1" t="n">
        <v>45881</v>
      </c>
      <c r="D133" t="inlineStr">
        <is>
          <t>DALARNAS LÄN</t>
        </is>
      </c>
      <c r="E133" t="inlineStr">
        <is>
          <t>MALUNG-SÄLEN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35181-2022</t>
        </is>
      </c>
      <c r="B134" s="1" t="n">
        <v>44797.62701388889</v>
      </c>
      <c r="C134" s="1" t="n">
        <v>45881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74092-2021</t>
        </is>
      </c>
      <c r="B135" s="1" t="n">
        <v>44557.62385416667</v>
      </c>
      <c r="C135" s="1" t="n">
        <v>45881</v>
      </c>
      <c r="D135" t="inlineStr">
        <is>
          <t>DALARNAS LÄN</t>
        </is>
      </c>
      <c r="E135" t="inlineStr">
        <is>
          <t>MALUNG-SÄLEN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45881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47254-2020</t>
        </is>
      </c>
      <c r="B137" s="1" t="n">
        <v>44097</v>
      </c>
      <c r="C137" s="1" t="n">
        <v>45881</v>
      </c>
      <c r="D137" t="inlineStr">
        <is>
          <t>DALARNAS LÄN</t>
        </is>
      </c>
      <c r="E137" t="inlineStr">
        <is>
          <t>MALUNG-SÄLEN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72828-2021</t>
        </is>
      </c>
      <c r="B138" s="1" t="n">
        <v>44547.43075231482</v>
      </c>
      <c r="C138" s="1" t="n">
        <v>45881</v>
      </c>
      <c r="D138" t="inlineStr">
        <is>
          <t>DALARNAS LÄN</t>
        </is>
      </c>
      <c r="E138" t="inlineStr">
        <is>
          <t>MALUNG-SÄLEN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44296-2022</t>
        </is>
      </c>
      <c r="B139" s="1" t="n">
        <v>44839</v>
      </c>
      <c r="C139" s="1" t="n">
        <v>45881</v>
      </c>
      <c r="D139" t="inlineStr">
        <is>
          <t>DALARNAS LÄN</t>
        </is>
      </c>
      <c r="E139" t="inlineStr">
        <is>
          <t>MALUNG-SÄLEN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44300-2022</t>
        </is>
      </c>
      <c r="B140" s="1" t="n">
        <v>44839</v>
      </c>
      <c r="C140" s="1" t="n">
        <v>45881</v>
      </c>
      <c r="D140" t="inlineStr">
        <is>
          <t>DALARNAS LÄN</t>
        </is>
      </c>
      <c r="E140" t="inlineStr">
        <is>
          <t>MALUNG-SÄLEN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22258-2021</t>
        </is>
      </c>
      <c r="B141" s="1" t="n">
        <v>44326.41503472222</v>
      </c>
      <c r="C141" s="1" t="n">
        <v>45881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72154-2021</t>
        </is>
      </c>
      <c r="B142" s="1" t="n">
        <v>44544.62434027778</v>
      </c>
      <c r="C142" s="1" t="n">
        <v>45881</v>
      </c>
      <c r="D142" t="inlineStr">
        <is>
          <t>DALARNAS LÄN</t>
        </is>
      </c>
      <c r="E142" t="inlineStr">
        <is>
          <t>MALUNG-SÄLEN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56584-2020</t>
        </is>
      </c>
      <c r="B143" s="1" t="n">
        <v>44137</v>
      </c>
      <c r="C143" s="1" t="n">
        <v>45881</v>
      </c>
      <c r="D143" t="inlineStr">
        <is>
          <t>DALARNAS LÄN</t>
        </is>
      </c>
      <c r="E143" t="inlineStr">
        <is>
          <t>MALUNG-SÄLEN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56590-2020</t>
        </is>
      </c>
      <c r="B144" s="1" t="n">
        <v>44137</v>
      </c>
      <c r="C144" s="1" t="n">
        <v>45881</v>
      </c>
      <c r="D144" t="inlineStr">
        <is>
          <t>DALARNAS LÄN</t>
        </is>
      </c>
      <c r="E144" t="inlineStr">
        <is>
          <t>MALUNG-SÄLEN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36029-2022</t>
        </is>
      </c>
      <c r="B145" s="1" t="n">
        <v>44802</v>
      </c>
      <c r="C145" s="1" t="n">
        <v>45881</v>
      </c>
      <c r="D145" t="inlineStr">
        <is>
          <t>DALARNAS LÄN</t>
        </is>
      </c>
      <c r="E145" t="inlineStr">
        <is>
          <t>MALUNG-SÄLEN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28895-2022</t>
        </is>
      </c>
      <c r="B146" s="1" t="n">
        <v>44749.54681712963</v>
      </c>
      <c r="C146" s="1" t="n">
        <v>45881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53441-2020</t>
        </is>
      </c>
      <c r="B147" s="1" t="n">
        <v>44123</v>
      </c>
      <c r="C147" s="1" t="n">
        <v>45881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öst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61962-2021</t>
        </is>
      </c>
      <c r="B148" s="1" t="n">
        <v>44501</v>
      </c>
      <c r="C148" s="1" t="n">
        <v>45881</v>
      </c>
      <c r="D148" t="inlineStr">
        <is>
          <t>DALARNAS LÄN</t>
        </is>
      </c>
      <c r="E148" t="inlineStr">
        <is>
          <t>MALUNG-SÄLEN</t>
        </is>
      </c>
      <c r="F148" t="inlineStr">
        <is>
          <t>Allmännings- och besparingsskogar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43672-2021</t>
        </is>
      </c>
      <c r="B149" s="1" t="n">
        <v>44433</v>
      </c>
      <c r="C149" s="1" t="n">
        <v>45881</v>
      </c>
      <c r="D149" t="inlineStr">
        <is>
          <t>DALARNAS LÄN</t>
        </is>
      </c>
      <c r="E149" t="inlineStr">
        <is>
          <t>MALUNG-SÄLEN</t>
        </is>
      </c>
      <c r="F149" t="inlineStr">
        <is>
          <t>Övriga statliga verk och myndigheter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45722-2020</t>
        </is>
      </c>
      <c r="B150" s="1" t="n">
        <v>44090</v>
      </c>
      <c r="C150" s="1" t="n">
        <v>45881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19768-2021</t>
        </is>
      </c>
      <c r="B151" s="1" t="n">
        <v>44312</v>
      </c>
      <c r="C151" s="1" t="n">
        <v>45881</v>
      </c>
      <c r="D151" t="inlineStr">
        <is>
          <t>DALARNAS LÄN</t>
        </is>
      </c>
      <c r="E151" t="inlineStr">
        <is>
          <t>MALUNG-SÄLEN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64896-2021</t>
        </is>
      </c>
      <c r="B152" s="1" t="n">
        <v>44512</v>
      </c>
      <c r="C152" s="1" t="n">
        <v>45881</v>
      </c>
      <c r="D152" t="inlineStr">
        <is>
          <t>DALARNAS LÄN</t>
        </is>
      </c>
      <c r="E152" t="inlineStr">
        <is>
          <t>MALUNG-SÄLEN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47474-2022</t>
        </is>
      </c>
      <c r="B153" s="1" t="n">
        <v>44853</v>
      </c>
      <c r="C153" s="1" t="n">
        <v>45881</v>
      </c>
      <c r="D153" t="inlineStr">
        <is>
          <t>DALARNAS LÄN</t>
        </is>
      </c>
      <c r="E153" t="inlineStr">
        <is>
          <t>MALUNG-SÄLEN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38008-2022</t>
        </is>
      </c>
      <c r="B154" s="1" t="n">
        <v>44811.59392361111</v>
      </c>
      <c r="C154" s="1" t="n">
        <v>45881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38050-2022</t>
        </is>
      </c>
      <c r="B155" s="1" t="n">
        <v>44811</v>
      </c>
      <c r="C155" s="1" t="n">
        <v>45881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25534-2023</t>
        </is>
      </c>
      <c r="B156" s="1" t="n">
        <v>45089</v>
      </c>
      <c r="C156" s="1" t="n">
        <v>45881</v>
      </c>
      <c r="D156" t="inlineStr">
        <is>
          <t>DALARNAS LÄN</t>
        </is>
      </c>
      <c r="E156" t="inlineStr">
        <is>
          <t>MALUNG-SÄLEN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8425-2025</t>
        </is>
      </c>
      <c r="B157" s="1" t="n">
        <v>45709.41050925926</v>
      </c>
      <c r="C157" s="1" t="n">
        <v>45881</v>
      </c>
      <c r="D157" t="inlineStr">
        <is>
          <t>DALARNAS LÄN</t>
        </is>
      </c>
      <c r="E157" t="inlineStr">
        <is>
          <t>MALUNG-SÄLEN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43829-2023</t>
        </is>
      </c>
      <c r="B158" s="1" t="n">
        <v>45187.57836805555</v>
      </c>
      <c r="C158" s="1" t="n">
        <v>45881</v>
      </c>
      <c r="D158" t="inlineStr">
        <is>
          <t>DALARNAS LÄN</t>
        </is>
      </c>
      <c r="E158" t="inlineStr">
        <is>
          <t>MALUNG-SÄLEN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50029-2023</t>
        </is>
      </c>
      <c r="B159" s="1" t="n">
        <v>45215</v>
      </c>
      <c r="C159" s="1" t="n">
        <v>45881</v>
      </c>
      <c r="D159" t="inlineStr">
        <is>
          <t>DALARNAS LÄN</t>
        </is>
      </c>
      <c r="E159" t="inlineStr">
        <is>
          <t>MALUNG-SÄLEN</t>
        </is>
      </c>
      <c r="F159" t="inlineStr">
        <is>
          <t>Bergvik skog öst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15340-2025</t>
        </is>
      </c>
      <c r="B160" s="1" t="n">
        <v>45747.36768518519</v>
      </c>
      <c r="C160" s="1" t="n">
        <v>45881</v>
      </c>
      <c r="D160" t="inlineStr">
        <is>
          <t>DALARNAS LÄN</t>
        </is>
      </c>
      <c r="E160" t="inlineStr">
        <is>
          <t>MALUNG-SÄLEN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10363-2025</t>
        </is>
      </c>
      <c r="B161" s="1" t="n">
        <v>45720.54300925926</v>
      </c>
      <c r="C161" s="1" t="n">
        <v>45881</v>
      </c>
      <c r="D161" t="inlineStr">
        <is>
          <t>DALARNAS LÄN</t>
        </is>
      </c>
      <c r="E161" t="inlineStr">
        <is>
          <t>MALUNG-SÄLEN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32014-2024</t>
        </is>
      </c>
      <c r="B162" s="1" t="n">
        <v>45510.63341435185</v>
      </c>
      <c r="C162" s="1" t="n">
        <v>45881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väst AB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56388-2023</t>
        </is>
      </c>
      <c r="B163" s="1" t="n">
        <v>45243.41099537037</v>
      </c>
      <c r="C163" s="1" t="n">
        <v>45881</v>
      </c>
      <c r="D163" t="inlineStr">
        <is>
          <t>DALARNAS LÄN</t>
        </is>
      </c>
      <c r="E163" t="inlineStr">
        <is>
          <t>MALUNG-SÄLEN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54939-2022</t>
        </is>
      </c>
      <c r="B164" s="1" t="n">
        <v>44886.44950231481</v>
      </c>
      <c r="C164" s="1" t="n">
        <v>45881</v>
      </c>
      <c r="D164" t="inlineStr">
        <is>
          <t>DALARNAS LÄN</t>
        </is>
      </c>
      <c r="E164" t="inlineStr">
        <is>
          <t>MALUNG-SÄLEN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20446-2025</t>
        </is>
      </c>
      <c r="B165" s="1" t="n">
        <v>45775.49010416667</v>
      </c>
      <c r="C165" s="1" t="n">
        <v>45881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18.3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23606-2022</t>
        </is>
      </c>
      <c r="B166" s="1" t="n">
        <v>44721</v>
      </c>
      <c r="C166" s="1" t="n">
        <v>45881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26667-2022</t>
        </is>
      </c>
      <c r="B167" s="1" t="n">
        <v>44739</v>
      </c>
      <c r="C167" s="1" t="n">
        <v>45881</v>
      </c>
      <c r="D167" t="inlineStr">
        <is>
          <t>DALARNAS LÄN</t>
        </is>
      </c>
      <c r="E167" t="inlineStr">
        <is>
          <t>MALUNG-SÄLEN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24165-2022</t>
        </is>
      </c>
      <c r="B168" s="1" t="n">
        <v>44725</v>
      </c>
      <c r="C168" s="1" t="n">
        <v>45881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Kommuner</t>
        </is>
      </c>
      <c r="G168" t="n">
        <v>21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25441-2023</t>
        </is>
      </c>
      <c r="B169" s="1" t="n">
        <v>45089</v>
      </c>
      <c r="C169" s="1" t="n">
        <v>45881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37675-2024</t>
        </is>
      </c>
      <c r="B170" s="1" t="n">
        <v>45541.58518518518</v>
      </c>
      <c r="C170" s="1" t="n">
        <v>45881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55230-2024</t>
        </is>
      </c>
      <c r="B171" s="1" t="n">
        <v>45621.57976851852</v>
      </c>
      <c r="C171" s="1" t="n">
        <v>45881</v>
      </c>
      <c r="D171" t="inlineStr">
        <is>
          <t>DALARNAS LÄN</t>
        </is>
      </c>
      <c r="E171" t="inlineStr">
        <is>
          <t>MALUNG-SÄLEN</t>
        </is>
      </c>
      <c r="F171" t="inlineStr">
        <is>
          <t>Kommuner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51975-2023</t>
        </is>
      </c>
      <c r="B172" s="1" t="n">
        <v>45219</v>
      </c>
      <c r="C172" s="1" t="n">
        <v>45881</v>
      </c>
      <c r="D172" t="inlineStr">
        <is>
          <t>DALARNAS LÄN</t>
        </is>
      </c>
      <c r="E172" t="inlineStr">
        <is>
          <t>MALUNG-SÄLEN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63896-2020</t>
        </is>
      </c>
      <c r="B173" s="1" t="n">
        <v>44166</v>
      </c>
      <c r="C173" s="1" t="n">
        <v>45881</v>
      </c>
      <c r="D173" t="inlineStr">
        <is>
          <t>DALARNAS LÄN</t>
        </is>
      </c>
      <c r="E173" t="inlineStr">
        <is>
          <t>MALUNG-SÄLEN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47073-2020</t>
        </is>
      </c>
      <c r="B174" s="1" t="n">
        <v>44096</v>
      </c>
      <c r="C174" s="1" t="n">
        <v>45881</v>
      </c>
      <c r="D174" t="inlineStr">
        <is>
          <t>DALARNAS LÄN</t>
        </is>
      </c>
      <c r="E174" t="inlineStr">
        <is>
          <t>MALUNG-SÄLEN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18233-2023</t>
        </is>
      </c>
      <c r="B175" s="1" t="n">
        <v>45041.45144675926</v>
      </c>
      <c r="C175" s="1" t="n">
        <v>45881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28282-2024</t>
        </is>
      </c>
      <c r="B176" s="1" t="n">
        <v>45477.46177083333</v>
      </c>
      <c r="C176" s="1" t="n">
        <v>45881</v>
      </c>
      <c r="D176" t="inlineStr">
        <is>
          <t>DALARNAS LÄN</t>
        </is>
      </c>
      <c r="E176" t="inlineStr">
        <is>
          <t>MALUNG-SÄLEN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10367-2025</t>
        </is>
      </c>
      <c r="B177" s="1" t="n">
        <v>45720.54729166667</v>
      </c>
      <c r="C177" s="1" t="n">
        <v>45881</v>
      </c>
      <c r="D177" t="inlineStr">
        <is>
          <t>DALARNAS LÄN</t>
        </is>
      </c>
      <c r="E177" t="inlineStr">
        <is>
          <t>MALUNG-SÄLEN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34603-2022</t>
        </is>
      </c>
      <c r="B178" s="1" t="n">
        <v>44795</v>
      </c>
      <c r="C178" s="1" t="n">
        <v>45881</v>
      </c>
      <c r="D178" t="inlineStr">
        <is>
          <t>DALARNAS LÄN</t>
        </is>
      </c>
      <c r="E178" t="inlineStr">
        <is>
          <t>MALUNG-SÄLEN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29378-2023</t>
        </is>
      </c>
      <c r="B179" s="1" t="n">
        <v>45106.39289351852</v>
      </c>
      <c r="C179" s="1" t="n">
        <v>45881</v>
      </c>
      <c r="D179" t="inlineStr">
        <is>
          <t>DALARNAS LÄN</t>
        </is>
      </c>
      <c r="E179" t="inlineStr">
        <is>
          <t>MALUNG-SÄLEN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43581-2024</t>
        </is>
      </c>
      <c r="B180" s="1" t="n">
        <v>45569.42412037037</v>
      </c>
      <c r="C180" s="1" t="n">
        <v>45881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Allmännings- och besparingsskogar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8707-2023</t>
        </is>
      </c>
      <c r="B181" s="1" t="n">
        <v>44978</v>
      </c>
      <c r="C181" s="1" t="n">
        <v>45881</v>
      </c>
      <c r="D181" t="inlineStr">
        <is>
          <t>DALARNAS LÄN</t>
        </is>
      </c>
      <c r="E181" t="inlineStr">
        <is>
          <t>MALUNG-SÄLEN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32004-2024</t>
        </is>
      </c>
      <c r="B182" s="1" t="n">
        <v>45510.60420138889</v>
      </c>
      <c r="C182" s="1" t="n">
        <v>45881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64581-2021</t>
        </is>
      </c>
      <c r="B183" s="1" t="n">
        <v>44511.67334490741</v>
      </c>
      <c r="C183" s="1" t="n">
        <v>45881</v>
      </c>
      <c r="D183" t="inlineStr">
        <is>
          <t>DALARNAS LÄN</t>
        </is>
      </c>
      <c r="E183" t="inlineStr">
        <is>
          <t>MALUNG-SÄLEN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53267-2024</t>
        </is>
      </c>
      <c r="B184" s="1" t="n">
        <v>45614.35696759259</v>
      </c>
      <c r="C184" s="1" t="n">
        <v>45881</v>
      </c>
      <c r="D184" t="inlineStr">
        <is>
          <t>DALARNAS LÄN</t>
        </is>
      </c>
      <c r="E184" t="inlineStr">
        <is>
          <t>MALUNG-SÄLEN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8588-2024</t>
        </is>
      </c>
      <c r="B185" s="1" t="n">
        <v>45352</v>
      </c>
      <c r="C185" s="1" t="n">
        <v>45881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55202-2023</t>
        </is>
      </c>
      <c r="B186" s="1" t="n">
        <v>45237.58881944444</v>
      </c>
      <c r="C186" s="1" t="n">
        <v>45881</v>
      </c>
      <c r="D186" t="inlineStr">
        <is>
          <t>DALARNAS LÄN</t>
        </is>
      </c>
      <c r="E186" t="inlineStr">
        <is>
          <t>MALUNG-SÄLEN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50761-2022</t>
        </is>
      </c>
      <c r="B187" s="1" t="n">
        <v>44862</v>
      </c>
      <c r="C187" s="1" t="n">
        <v>45881</v>
      </c>
      <c r="D187" t="inlineStr">
        <is>
          <t>DALARNAS LÄN</t>
        </is>
      </c>
      <c r="E187" t="inlineStr">
        <is>
          <t>MALUNG-SÄLEN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19937-2022</t>
        </is>
      </c>
      <c r="B188" s="1" t="n">
        <v>44697.46826388889</v>
      </c>
      <c r="C188" s="1" t="n">
        <v>45881</v>
      </c>
      <c r="D188" t="inlineStr">
        <is>
          <t>DALARNAS LÄN</t>
        </is>
      </c>
      <c r="E188" t="inlineStr">
        <is>
          <t>MALUNG-SÄLEN</t>
        </is>
      </c>
      <c r="G188" t="n">
        <v>12.7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14035-2021</t>
        </is>
      </c>
      <c r="B189" s="1" t="n">
        <v>44277.67891203704</v>
      </c>
      <c r="C189" s="1" t="n">
        <v>45881</v>
      </c>
      <c r="D189" t="inlineStr">
        <is>
          <t>DALARNAS LÄN</t>
        </is>
      </c>
      <c r="E189" t="inlineStr">
        <is>
          <t>MALUNG-SÄLEN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35439-2024</t>
        </is>
      </c>
      <c r="B190" s="1" t="n">
        <v>45531.43173611111</v>
      </c>
      <c r="C190" s="1" t="n">
        <v>45881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18660-2025</t>
        </is>
      </c>
      <c r="B191" s="1" t="n">
        <v>45763.58377314815</v>
      </c>
      <c r="C191" s="1" t="n">
        <v>45881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5931-2024</t>
        </is>
      </c>
      <c r="B192" s="1" t="n">
        <v>45335</v>
      </c>
      <c r="C192" s="1" t="n">
        <v>45881</v>
      </c>
      <c r="D192" t="inlineStr">
        <is>
          <t>DALARNAS LÄN</t>
        </is>
      </c>
      <c r="E192" t="inlineStr">
        <is>
          <t>MALUNG-SÄLEN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59089-2023</t>
        </is>
      </c>
      <c r="B193" s="1" t="n">
        <v>45252.9509837963</v>
      </c>
      <c r="C193" s="1" t="n">
        <v>45881</v>
      </c>
      <c r="D193" t="inlineStr">
        <is>
          <t>DALARNAS LÄN</t>
        </is>
      </c>
      <c r="E193" t="inlineStr">
        <is>
          <t>MALUNG-SÄLEN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23800-2023</t>
        </is>
      </c>
      <c r="B194" s="1" t="n">
        <v>45078.36881944445</v>
      </c>
      <c r="C194" s="1" t="n">
        <v>45881</v>
      </c>
      <c r="D194" t="inlineStr">
        <is>
          <t>DALARNAS LÄN</t>
        </is>
      </c>
      <c r="E194" t="inlineStr">
        <is>
          <t>MALUNG-SÄLEN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39982-2023</t>
        </is>
      </c>
      <c r="B195" s="1" t="n">
        <v>45168</v>
      </c>
      <c r="C195" s="1" t="n">
        <v>45881</v>
      </c>
      <c r="D195" t="inlineStr">
        <is>
          <t>DALARNAS LÄN</t>
        </is>
      </c>
      <c r="E195" t="inlineStr">
        <is>
          <t>MALUNG-SÄLEN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38932-2024</t>
        </is>
      </c>
      <c r="B196" s="1" t="n">
        <v>45548.32189814815</v>
      </c>
      <c r="C196" s="1" t="n">
        <v>45881</v>
      </c>
      <c r="D196" t="inlineStr">
        <is>
          <t>DALARNAS LÄN</t>
        </is>
      </c>
      <c r="E196" t="inlineStr">
        <is>
          <t>MALUNG-SÄLEN</t>
        </is>
      </c>
      <c r="G196" t="n">
        <v>20.4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30405-2021</t>
        </is>
      </c>
      <c r="B197" s="1" t="n">
        <v>44364</v>
      </c>
      <c r="C197" s="1" t="n">
        <v>45881</v>
      </c>
      <c r="D197" t="inlineStr">
        <is>
          <t>DALARNAS LÄN</t>
        </is>
      </c>
      <c r="E197" t="inlineStr">
        <is>
          <t>MALUNG-SÄLEN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3880-2025</t>
        </is>
      </c>
      <c r="B198" s="1" t="n">
        <v>45684.34828703704</v>
      </c>
      <c r="C198" s="1" t="n">
        <v>45881</v>
      </c>
      <c r="D198" t="inlineStr">
        <is>
          <t>DALARNAS LÄN</t>
        </is>
      </c>
      <c r="E198" t="inlineStr">
        <is>
          <t>MALUNG-SÄLEN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46845-2021</t>
        </is>
      </c>
      <c r="B199" s="1" t="n">
        <v>44445</v>
      </c>
      <c r="C199" s="1" t="n">
        <v>45881</v>
      </c>
      <c r="D199" t="inlineStr">
        <is>
          <t>DALARNAS LÄN</t>
        </is>
      </c>
      <c r="E199" t="inlineStr">
        <is>
          <t>MALUNG-SÄLEN</t>
        </is>
      </c>
      <c r="F199" t="inlineStr">
        <is>
          <t>Allmännings- och besparingsskogar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13898-2024</t>
        </is>
      </c>
      <c r="B200" s="1" t="n">
        <v>45391</v>
      </c>
      <c r="C200" s="1" t="n">
        <v>45881</v>
      </c>
      <c r="D200" t="inlineStr">
        <is>
          <t>DALARNAS LÄN</t>
        </is>
      </c>
      <c r="E200" t="inlineStr">
        <is>
          <t>MALUNG-SÄLEN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28415-2021</t>
        </is>
      </c>
      <c r="B201" s="1" t="n">
        <v>44356.49241898148</v>
      </c>
      <c r="C201" s="1" t="n">
        <v>45881</v>
      </c>
      <c r="D201" t="inlineStr">
        <is>
          <t>DALARNAS LÄN</t>
        </is>
      </c>
      <c r="E201" t="inlineStr">
        <is>
          <t>MALUNG-SÄLEN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15994-2025</t>
        </is>
      </c>
      <c r="B202" s="1" t="n">
        <v>45749.58553240741</v>
      </c>
      <c r="C202" s="1" t="n">
        <v>45881</v>
      </c>
      <c r="D202" t="inlineStr">
        <is>
          <t>DALARNAS LÄN</t>
        </is>
      </c>
      <c r="E202" t="inlineStr">
        <is>
          <t>MALUNG-SÄLEN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15996-2025</t>
        </is>
      </c>
      <c r="B203" s="1" t="n">
        <v>45749.58701388889</v>
      </c>
      <c r="C203" s="1" t="n">
        <v>45881</v>
      </c>
      <c r="D203" t="inlineStr">
        <is>
          <t>DALARNAS LÄN</t>
        </is>
      </c>
      <c r="E203" t="inlineStr">
        <is>
          <t>MALUNG-SÄLEN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16000-2025</t>
        </is>
      </c>
      <c r="B204" s="1" t="n">
        <v>45749.58858796296</v>
      </c>
      <c r="C204" s="1" t="n">
        <v>45881</v>
      </c>
      <c r="D204" t="inlineStr">
        <is>
          <t>DALARNAS LÄN</t>
        </is>
      </c>
      <c r="E204" t="inlineStr">
        <is>
          <t>MALUNG-SÄLEN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27047-2021</t>
        </is>
      </c>
      <c r="B205" s="1" t="n">
        <v>44350</v>
      </c>
      <c r="C205" s="1" t="n">
        <v>45881</v>
      </c>
      <c r="D205" t="inlineStr">
        <is>
          <t>DALARNAS LÄN</t>
        </is>
      </c>
      <c r="E205" t="inlineStr">
        <is>
          <t>MALUNG-SÄLEN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22712-2024</t>
        </is>
      </c>
      <c r="B206" s="1" t="n">
        <v>45448.35927083333</v>
      </c>
      <c r="C206" s="1" t="n">
        <v>45881</v>
      </c>
      <c r="D206" t="inlineStr">
        <is>
          <t>DALARNAS LÄN</t>
        </is>
      </c>
      <c r="E206" t="inlineStr">
        <is>
          <t>MALUNG-SÄLEN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62336-2022</t>
        </is>
      </c>
      <c r="B207" s="1" t="n">
        <v>44923.56913194444</v>
      </c>
      <c r="C207" s="1" t="n">
        <v>45881</v>
      </c>
      <c r="D207" t="inlineStr">
        <is>
          <t>DALARNAS LÄN</t>
        </is>
      </c>
      <c r="E207" t="inlineStr">
        <is>
          <t>MALUNG-SÄLEN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20514-2025</t>
        </is>
      </c>
      <c r="B208" s="1" t="n">
        <v>45775.59604166666</v>
      </c>
      <c r="C208" s="1" t="n">
        <v>45881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5870-2023</t>
        </is>
      </c>
      <c r="B209" s="1" t="n">
        <v>44963</v>
      </c>
      <c r="C209" s="1" t="n">
        <v>45881</v>
      </c>
      <c r="D209" t="inlineStr">
        <is>
          <t>DALARNAS LÄN</t>
        </is>
      </c>
      <c r="E209" t="inlineStr">
        <is>
          <t>MALUNG-SÄLEN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26341-2021</t>
        </is>
      </c>
      <c r="B210" s="1" t="n">
        <v>44347</v>
      </c>
      <c r="C210" s="1" t="n">
        <v>45881</v>
      </c>
      <c r="D210" t="inlineStr">
        <is>
          <t>DALARNAS LÄN</t>
        </is>
      </c>
      <c r="E210" t="inlineStr">
        <is>
          <t>MALUNG-SÄLEN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37574-2020</t>
        </is>
      </c>
      <c r="B211" s="1" t="n">
        <v>44056</v>
      </c>
      <c r="C211" s="1" t="n">
        <v>45881</v>
      </c>
      <c r="D211" t="inlineStr">
        <is>
          <t>DALARNAS LÄN</t>
        </is>
      </c>
      <c r="E211" t="inlineStr">
        <is>
          <t>MALUNG-SÄLEN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35378-2021</t>
        </is>
      </c>
      <c r="B212" s="1" t="n">
        <v>44385</v>
      </c>
      <c r="C212" s="1" t="n">
        <v>45881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3792-2024</t>
        </is>
      </c>
      <c r="B213" s="1" t="n">
        <v>45321</v>
      </c>
      <c r="C213" s="1" t="n">
        <v>45881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42730-2024</t>
        </is>
      </c>
      <c r="B214" s="1" t="n">
        <v>45566</v>
      </c>
      <c r="C214" s="1" t="n">
        <v>45881</v>
      </c>
      <c r="D214" t="inlineStr">
        <is>
          <t>DALARNAS LÄN</t>
        </is>
      </c>
      <c r="E214" t="inlineStr">
        <is>
          <t>MALUNG-SÄLEN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45440-2021</t>
        </is>
      </c>
      <c r="B215" s="1" t="n">
        <v>44440</v>
      </c>
      <c r="C215" s="1" t="n">
        <v>45881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28396-2021</t>
        </is>
      </c>
      <c r="B216" s="1" t="n">
        <v>44356</v>
      </c>
      <c r="C216" s="1" t="n">
        <v>45881</v>
      </c>
      <c r="D216" t="inlineStr">
        <is>
          <t>DALARNAS LÄN</t>
        </is>
      </c>
      <c r="E216" t="inlineStr">
        <is>
          <t>MALUNG-SÄLEN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1982-2025</t>
        </is>
      </c>
      <c r="B217" s="1" t="n">
        <v>45672.40387731481</v>
      </c>
      <c r="C217" s="1" t="n">
        <v>45881</v>
      </c>
      <c r="D217" t="inlineStr">
        <is>
          <t>DALARNAS LÄN</t>
        </is>
      </c>
      <c r="E217" t="inlineStr">
        <is>
          <t>MALUNG-SÄLEN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13827-2023</t>
        </is>
      </c>
      <c r="B218" s="1" t="n">
        <v>45007.58724537037</v>
      </c>
      <c r="C218" s="1" t="n">
        <v>45881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68-2023</t>
        </is>
      </c>
      <c r="B219" s="1" t="n">
        <v>44928.44793981482</v>
      </c>
      <c r="C219" s="1" t="n">
        <v>45881</v>
      </c>
      <c r="D219" t="inlineStr">
        <is>
          <t>DALARNAS LÄN</t>
        </is>
      </c>
      <c r="E219" t="inlineStr">
        <is>
          <t>MALUNG-SÄLEN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7605-2025</t>
        </is>
      </c>
      <c r="B220" s="1" t="n">
        <v>45705.66449074074</v>
      </c>
      <c r="C220" s="1" t="n">
        <v>45881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1526-2025</t>
        </is>
      </c>
      <c r="B221" s="1" t="n">
        <v>45670</v>
      </c>
      <c r="C221" s="1" t="n">
        <v>45881</v>
      </c>
      <c r="D221" t="inlineStr">
        <is>
          <t>DALARNAS LÄN</t>
        </is>
      </c>
      <c r="E221" t="inlineStr">
        <is>
          <t>MALUNG-SÄLEN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48493-2024</t>
        </is>
      </c>
      <c r="B222" s="1" t="n">
        <v>45592.73224537037</v>
      </c>
      <c r="C222" s="1" t="n">
        <v>45881</v>
      </c>
      <c r="D222" t="inlineStr">
        <is>
          <t>DALARNAS LÄN</t>
        </is>
      </c>
      <c r="E222" t="inlineStr">
        <is>
          <t>MALUNG-SÄLEN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12375-2021</t>
        </is>
      </c>
      <c r="B223" s="1" t="n">
        <v>44267.48237268518</v>
      </c>
      <c r="C223" s="1" t="n">
        <v>45881</v>
      </c>
      <c r="D223" t="inlineStr">
        <is>
          <t>DALARNAS LÄN</t>
        </is>
      </c>
      <c r="E223" t="inlineStr">
        <is>
          <t>MALUNG-SÄLEN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12376-2021</t>
        </is>
      </c>
      <c r="B224" s="1" t="n">
        <v>44267</v>
      </c>
      <c r="C224" s="1" t="n">
        <v>45881</v>
      </c>
      <c r="D224" t="inlineStr">
        <is>
          <t>DALARNAS LÄN</t>
        </is>
      </c>
      <c r="E224" t="inlineStr">
        <is>
          <t>MALUNG-SÄLEN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49962-2024</t>
        </is>
      </c>
      <c r="B225" s="1" t="n">
        <v>45597.63032407407</v>
      </c>
      <c r="C225" s="1" t="n">
        <v>45881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32038-2023</t>
        </is>
      </c>
      <c r="B226" s="1" t="n">
        <v>45119.54222222222</v>
      </c>
      <c r="C226" s="1" t="n">
        <v>45881</v>
      </c>
      <c r="D226" t="inlineStr">
        <is>
          <t>DALARNAS LÄN</t>
        </is>
      </c>
      <c r="E226" t="inlineStr">
        <is>
          <t>MALUNG-SÄLEN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12966-2022</t>
        </is>
      </c>
      <c r="B227" s="1" t="n">
        <v>44643.36060185185</v>
      </c>
      <c r="C227" s="1" t="n">
        <v>45881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8827-2023</t>
        </is>
      </c>
      <c r="B228" s="1" t="n">
        <v>44978.66168981481</v>
      </c>
      <c r="C228" s="1" t="n">
        <v>45881</v>
      </c>
      <c r="D228" t="inlineStr">
        <is>
          <t>DALARNAS LÄN</t>
        </is>
      </c>
      <c r="E228" t="inlineStr">
        <is>
          <t>MALUNG-SÄLEN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58772-2022</t>
        </is>
      </c>
      <c r="B229" s="1" t="n">
        <v>44903</v>
      </c>
      <c r="C229" s="1" t="n">
        <v>45881</v>
      </c>
      <c r="D229" t="inlineStr">
        <is>
          <t>DALARNAS LÄN</t>
        </is>
      </c>
      <c r="E229" t="inlineStr">
        <is>
          <t>MALUNG-SÄLEN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31823-2024</t>
        </is>
      </c>
      <c r="B230" s="1" t="n">
        <v>45509.60517361111</v>
      </c>
      <c r="C230" s="1" t="n">
        <v>45881</v>
      </c>
      <c r="D230" t="inlineStr">
        <is>
          <t>DALARNAS LÄN</t>
        </is>
      </c>
      <c r="E230" t="inlineStr">
        <is>
          <t>MALUNG-SÄLEN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62264-2023</t>
        </is>
      </c>
      <c r="B231" s="1" t="n">
        <v>45267</v>
      </c>
      <c r="C231" s="1" t="n">
        <v>45881</v>
      </c>
      <c r="D231" t="inlineStr">
        <is>
          <t>DALARNAS LÄN</t>
        </is>
      </c>
      <c r="E231" t="inlineStr">
        <is>
          <t>MALUNG-SÄLEN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60448-2022</t>
        </is>
      </c>
      <c r="B232" s="1" t="n">
        <v>44911.36712962963</v>
      </c>
      <c r="C232" s="1" t="n">
        <v>45881</v>
      </c>
      <c r="D232" t="inlineStr">
        <is>
          <t>DALARNAS LÄN</t>
        </is>
      </c>
      <c r="E232" t="inlineStr">
        <is>
          <t>MALUNG-SÄLEN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46604-2021</t>
        </is>
      </c>
      <c r="B233" s="1" t="n">
        <v>44445.55202546297</v>
      </c>
      <c r="C233" s="1" t="n">
        <v>45881</v>
      </c>
      <c r="D233" t="inlineStr">
        <is>
          <t>DALARNAS LÄN</t>
        </is>
      </c>
      <c r="E233" t="inlineStr">
        <is>
          <t>MALUNG-SÄLEN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54000-2023</t>
        </is>
      </c>
      <c r="B234" s="1" t="n">
        <v>45231.67228009259</v>
      </c>
      <c r="C234" s="1" t="n">
        <v>45881</v>
      </c>
      <c r="D234" t="inlineStr">
        <is>
          <t>DALARNAS LÄN</t>
        </is>
      </c>
      <c r="E234" t="inlineStr">
        <is>
          <t>MALUNG-SÄLEN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5992-2024</t>
        </is>
      </c>
      <c r="B235" s="1" t="n">
        <v>45336</v>
      </c>
      <c r="C235" s="1" t="n">
        <v>45881</v>
      </c>
      <c r="D235" t="inlineStr">
        <is>
          <t>DALARNAS LÄN</t>
        </is>
      </c>
      <c r="E235" t="inlineStr">
        <is>
          <t>MALUNG-SÄLEN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19311-2024</t>
        </is>
      </c>
      <c r="B236" s="1" t="n">
        <v>45428</v>
      </c>
      <c r="C236" s="1" t="n">
        <v>45881</v>
      </c>
      <c r="D236" t="inlineStr">
        <is>
          <t>DALARNAS LÄN</t>
        </is>
      </c>
      <c r="E236" t="inlineStr">
        <is>
          <t>MALUNG-SÄLEN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38352-2024</t>
        </is>
      </c>
      <c r="B237" s="1" t="n">
        <v>45545.72255787037</v>
      </c>
      <c r="C237" s="1" t="n">
        <v>45881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36841-2024</t>
        </is>
      </c>
      <c r="B238" s="1" t="n">
        <v>45538.53628472222</v>
      </c>
      <c r="C238" s="1" t="n">
        <v>45881</v>
      </c>
      <c r="D238" t="inlineStr">
        <is>
          <t>DALARNAS LÄN</t>
        </is>
      </c>
      <c r="E238" t="inlineStr">
        <is>
          <t>MALUNG-SÄLEN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51901-2023</t>
        </is>
      </c>
      <c r="B239" s="1" t="n">
        <v>45223.4309375</v>
      </c>
      <c r="C239" s="1" t="n">
        <v>45881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49807-2024</t>
        </is>
      </c>
      <c r="B240" s="1" t="n">
        <v>45597.38804398148</v>
      </c>
      <c r="C240" s="1" t="n">
        <v>45881</v>
      </c>
      <c r="D240" t="inlineStr">
        <is>
          <t>DALARNAS LÄN</t>
        </is>
      </c>
      <c r="E240" t="inlineStr">
        <is>
          <t>MALUNG-SÄLEN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23989-2023</t>
        </is>
      </c>
      <c r="B241" s="1" t="n">
        <v>45078</v>
      </c>
      <c r="C241" s="1" t="n">
        <v>45881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33618-2022</t>
        </is>
      </c>
      <c r="B242" s="1" t="n">
        <v>44789</v>
      </c>
      <c r="C242" s="1" t="n">
        <v>45881</v>
      </c>
      <c r="D242" t="inlineStr">
        <is>
          <t>DALARNAS LÄN</t>
        </is>
      </c>
      <c r="E242" t="inlineStr">
        <is>
          <t>MALUNG-SÄLEN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16034-2023</t>
        </is>
      </c>
      <c r="B243" s="1" t="n">
        <v>45027.3740625</v>
      </c>
      <c r="C243" s="1" t="n">
        <v>45881</v>
      </c>
      <c r="D243" t="inlineStr">
        <is>
          <t>DALARNAS LÄN</t>
        </is>
      </c>
      <c r="E243" t="inlineStr">
        <is>
          <t>MALUNG-SÄLEN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60940-2022</t>
        </is>
      </c>
      <c r="B244" s="1" t="n">
        <v>44914.62356481481</v>
      </c>
      <c r="C244" s="1" t="n">
        <v>45881</v>
      </c>
      <c r="D244" t="inlineStr">
        <is>
          <t>DALARNAS LÄN</t>
        </is>
      </c>
      <c r="E244" t="inlineStr">
        <is>
          <t>MALUNG-SÄLEN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16012-2025</t>
        </is>
      </c>
      <c r="B245" s="1" t="n">
        <v>45749.60295138889</v>
      </c>
      <c r="C245" s="1" t="n">
        <v>45881</v>
      </c>
      <c r="D245" t="inlineStr">
        <is>
          <t>DALARNAS LÄN</t>
        </is>
      </c>
      <c r="E245" t="inlineStr">
        <is>
          <t>MALUNG-SÄLEN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56715-2023</t>
        </is>
      </c>
      <c r="B246" s="1" t="n">
        <v>45244.32862268519</v>
      </c>
      <c r="C246" s="1" t="n">
        <v>45881</v>
      </c>
      <c r="D246" t="inlineStr">
        <is>
          <t>DALARNAS LÄN</t>
        </is>
      </c>
      <c r="E246" t="inlineStr">
        <is>
          <t>MALUNG-SÄLEN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1723-2023</t>
        </is>
      </c>
      <c r="B247" s="1" t="n">
        <v>44938.47299768519</v>
      </c>
      <c r="C247" s="1" t="n">
        <v>45881</v>
      </c>
      <c r="D247" t="inlineStr">
        <is>
          <t>DALARNAS LÄN</t>
        </is>
      </c>
      <c r="E247" t="inlineStr">
        <is>
          <t>MALUNG-SÄLEN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61993-2021</t>
        </is>
      </c>
      <c r="B248" s="1" t="n">
        <v>44501</v>
      </c>
      <c r="C248" s="1" t="n">
        <v>45881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Allmännings- och besparingsskogar</t>
        </is>
      </c>
      <c r="G248" t="n">
        <v>21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57645-2022</t>
        </is>
      </c>
      <c r="B249" s="1" t="n">
        <v>44897</v>
      </c>
      <c r="C249" s="1" t="n">
        <v>45881</v>
      </c>
      <c r="D249" t="inlineStr">
        <is>
          <t>DALARNAS LÄN</t>
        </is>
      </c>
      <c r="E249" t="inlineStr">
        <is>
          <t>MALUNG-SÄLEN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72643-2021</t>
        </is>
      </c>
      <c r="B250" s="1" t="n">
        <v>44546.57899305555</v>
      </c>
      <c r="C250" s="1" t="n">
        <v>45881</v>
      </c>
      <c r="D250" t="inlineStr">
        <is>
          <t>DALARNAS LÄN</t>
        </is>
      </c>
      <c r="E250" t="inlineStr">
        <is>
          <t>MALUNG-SÄLEN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22237-2024</t>
        </is>
      </c>
      <c r="B251" s="1" t="n">
        <v>45446.43810185185</v>
      </c>
      <c r="C251" s="1" t="n">
        <v>45881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56332-2020</t>
        </is>
      </c>
      <c r="B252" s="1" t="n">
        <v>44134</v>
      </c>
      <c r="C252" s="1" t="n">
        <v>45881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25917-2024</t>
        </is>
      </c>
      <c r="B253" s="1" t="n">
        <v>45467.60181712963</v>
      </c>
      <c r="C253" s="1" t="n">
        <v>45881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väst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22640-2023</t>
        </is>
      </c>
      <c r="B254" s="1" t="n">
        <v>45071</v>
      </c>
      <c r="C254" s="1" t="n">
        <v>45881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39435-2024</t>
        </is>
      </c>
      <c r="B255" s="1" t="n">
        <v>45551.60734953704</v>
      </c>
      <c r="C255" s="1" t="n">
        <v>45881</v>
      </c>
      <c r="D255" t="inlineStr">
        <is>
          <t>DALARNAS LÄN</t>
        </is>
      </c>
      <c r="E255" t="inlineStr">
        <is>
          <t>MALUNG-SÄLEN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38560-2023</t>
        </is>
      </c>
      <c r="B256" s="1" t="n">
        <v>45162.60524305556</v>
      </c>
      <c r="C256" s="1" t="n">
        <v>45881</v>
      </c>
      <c r="D256" t="inlineStr">
        <is>
          <t>DALARNAS LÄN</t>
        </is>
      </c>
      <c r="E256" t="inlineStr">
        <is>
          <t>MALUNG-SÄLEN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50256-2024</t>
        </is>
      </c>
      <c r="B257" s="1" t="n">
        <v>45600.58152777778</v>
      </c>
      <c r="C257" s="1" t="n">
        <v>45881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22811-2023</t>
        </is>
      </c>
      <c r="B258" s="1" t="n">
        <v>45072</v>
      </c>
      <c r="C258" s="1" t="n">
        <v>45881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62792-2023</t>
        </is>
      </c>
      <c r="B259" s="1" t="n">
        <v>45271</v>
      </c>
      <c r="C259" s="1" t="n">
        <v>45881</v>
      </c>
      <c r="D259" t="inlineStr">
        <is>
          <t>DALARNAS LÄN</t>
        </is>
      </c>
      <c r="E259" t="inlineStr">
        <is>
          <t>MALUNG-SÄLEN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34446-2024</t>
        </is>
      </c>
      <c r="B260" s="1" t="n">
        <v>45525.54740740741</v>
      </c>
      <c r="C260" s="1" t="n">
        <v>45881</v>
      </c>
      <c r="D260" t="inlineStr">
        <is>
          <t>DALARNAS LÄN</t>
        </is>
      </c>
      <c r="E260" t="inlineStr">
        <is>
          <t>MALUNG-SÄLEN</t>
        </is>
      </c>
      <c r="F260" t="inlineStr">
        <is>
          <t>Bergvik skog öst AB</t>
        </is>
      </c>
      <c r="G260" t="n">
        <v>14.5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12-2024</t>
        </is>
      </c>
      <c r="B261" s="1" t="n">
        <v>45293.36917824074</v>
      </c>
      <c r="C261" s="1" t="n">
        <v>45881</v>
      </c>
      <c r="D261" t="inlineStr">
        <is>
          <t>DALARNAS LÄN</t>
        </is>
      </c>
      <c r="E261" t="inlineStr">
        <is>
          <t>MALUNG-SÄLEN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18029-2025</t>
        </is>
      </c>
      <c r="B262" s="1" t="n">
        <v>45761.44954861111</v>
      </c>
      <c r="C262" s="1" t="n">
        <v>45881</v>
      </c>
      <c r="D262" t="inlineStr">
        <is>
          <t>DALARNAS LÄN</t>
        </is>
      </c>
      <c r="E262" t="inlineStr">
        <is>
          <t>MALUNG-SÄLEN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114-2024</t>
        </is>
      </c>
      <c r="B263" s="1" t="n">
        <v>45294</v>
      </c>
      <c r="C263" s="1" t="n">
        <v>45881</v>
      </c>
      <c r="D263" t="inlineStr">
        <is>
          <t>DALARNAS LÄN</t>
        </is>
      </c>
      <c r="E263" t="inlineStr">
        <is>
          <t>MALUNG-SÄLEN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56848-2022</t>
        </is>
      </c>
      <c r="B264" s="1" t="n">
        <v>44894.48662037037</v>
      </c>
      <c r="C264" s="1" t="n">
        <v>45881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37301-2024</t>
        </is>
      </c>
      <c r="B265" s="1" t="n">
        <v>45540.46436342593</v>
      </c>
      <c r="C265" s="1" t="n">
        <v>45881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19299-2025</t>
        </is>
      </c>
      <c r="B266" s="1" t="n">
        <v>45769.56340277778</v>
      </c>
      <c r="C266" s="1" t="n">
        <v>45881</v>
      </c>
      <c r="D266" t="inlineStr">
        <is>
          <t>DALARNAS LÄN</t>
        </is>
      </c>
      <c r="E266" t="inlineStr">
        <is>
          <t>MALUNG-SÄLEN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67320-2021</t>
        </is>
      </c>
      <c r="B267" s="1" t="n">
        <v>44523.67086805555</v>
      </c>
      <c r="C267" s="1" t="n">
        <v>45881</v>
      </c>
      <c r="D267" t="inlineStr">
        <is>
          <t>DALARNAS LÄN</t>
        </is>
      </c>
      <c r="E267" t="inlineStr">
        <is>
          <t>MALUNG-SÄLEN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31180-2024</t>
        </is>
      </c>
      <c r="B268" s="1" t="n">
        <v>45503</v>
      </c>
      <c r="C268" s="1" t="n">
        <v>45881</v>
      </c>
      <c r="D268" t="inlineStr">
        <is>
          <t>DALARNAS LÄN</t>
        </is>
      </c>
      <c r="E268" t="inlineStr">
        <is>
          <t>MALUNG-SÄLEN</t>
        </is>
      </c>
      <c r="F268" t="inlineStr">
        <is>
          <t>Allmännings- och besparingsskogar</t>
        </is>
      </c>
      <c r="G268" t="n">
        <v>62.6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29364-2024</t>
        </is>
      </c>
      <c r="B269" s="1" t="n">
        <v>45483.54578703704</v>
      </c>
      <c r="C269" s="1" t="n">
        <v>45881</v>
      </c>
      <c r="D269" t="inlineStr">
        <is>
          <t>DALARNAS LÄN</t>
        </is>
      </c>
      <c r="E269" t="inlineStr">
        <is>
          <t>MALUNG-SÄLEN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20962-2024</t>
        </is>
      </c>
      <c r="B270" s="1" t="n">
        <v>45439.57542824074</v>
      </c>
      <c r="C270" s="1" t="n">
        <v>45881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29057-2024</t>
        </is>
      </c>
      <c r="B271" s="1" t="n">
        <v>45481.64619212963</v>
      </c>
      <c r="C271" s="1" t="n">
        <v>45881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54932-2022</t>
        </is>
      </c>
      <c r="B272" s="1" t="n">
        <v>44881</v>
      </c>
      <c r="C272" s="1" t="n">
        <v>45881</v>
      </c>
      <c r="D272" t="inlineStr">
        <is>
          <t>DALARNAS LÄN</t>
        </is>
      </c>
      <c r="E272" t="inlineStr">
        <is>
          <t>MALUNG-SÄLEN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38193-2021</t>
        </is>
      </c>
      <c r="B273" s="1" t="n">
        <v>44405</v>
      </c>
      <c r="C273" s="1" t="n">
        <v>45881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Naturvårdsverket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31954-2024</t>
        </is>
      </c>
      <c r="B274" s="1" t="n">
        <v>45510.47663194445</v>
      </c>
      <c r="C274" s="1" t="n">
        <v>45881</v>
      </c>
      <c r="D274" t="inlineStr">
        <is>
          <t>DALARNAS LÄN</t>
        </is>
      </c>
      <c r="E274" t="inlineStr">
        <is>
          <t>MALUNG-SÄLEN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18186-2025</t>
        </is>
      </c>
      <c r="B275" s="1" t="n">
        <v>45761.66739583333</v>
      </c>
      <c r="C275" s="1" t="n">
        <v>45881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18322-2025</t>
        </is>
      </c>
      <c r="B276" s="1" t="n">
        <v>45762.47291666667</v>
      </c>
      <c r="C276" s="1" t="n">
        <v>45881</v>
      </c>
      <c r="D276" t="inlineStr">
        <is>
          <t>DALARNAS LÄN</t>
        </is>
      </c>
      <c r="E276" t="inlineStr">
        <is>
          <t>MALUNG-SÄLEN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20100-2024</t>
        </is>
      </c>
      <c r="B277" s="1" t="n">
        <v>45434.47217592593</v>
      </c>
      <c r="C277" s="1" t="n">
        <v>45881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17389-2025</t>
        </is>
      </c>
      <c r="B278" s="1" t="n">
        <v>45757.31954861111</v>
      </c>
      <c r="C278" s="1" t="n">
        <v>45881</v>
      </c>
      <c r="D278" t="inlineStr">
        <is>
          <t>DALARNAS LÄN</t>
        </is>
      </c>
      <c r="E278" t="inlineStr">
        <is>
          <t>MALUNG-SÄLEN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47379-2023</t>
        </is>
      </c>
      <c r="B279" s="1" t="n">
        <v>45202</v>
      </c>
      <c r="C279" s="1" t="n">
        <v>45881</v>
      </c>
      <c r="D279" t="inlineStr">
        <is>
          <t>DALARNAS LÄN</t>
        </is>
      </c>
      <c r="E279" t="inlineStr">
        <is>
          <t>MALUNG-SÄLEN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19355-2025</t>
        </is>
      </c>
      <c r="B280" s="1" t="n">
        <v>45769.61793981482</v>
      </c>
      <c r="C280" s="1" t="n">
        <v>45881</v>
      </c>
      <c r="D280" t="inlineStr">
        <is>
          <t>DALARNAS LÄN</t>
        </is>
      </c>
      <c r="E280" t="inlineStr">
        <is>
          <t>MALUNG-SÄLEN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194-2023</t>
        </is>
      </c>
      <c r="B281" s="1" t="n">
        <v>44928.5894675926</v>
      </c>
      <c r="C281" s="1" t="n">
        <v>45881</v>
      </c>
      <c r="D281" t="inlineStr">
        <is>
          <t>DALARNAS LÄN</t>
        </is>
      </c>
      <c r="E281" t="inlineStr">
        <is>
          <t>MALUNG-SÄLEN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24477-2023</t>
        </is>
      </c>
      <c r="B282" s="1" t="n">
        <v>45077</v>
      </c>
      <c r="C282" s="1" t="n">
        <v>45881</v>
      </c>
      <c r="D282" t="inlineStr">
        <is>
          <t>DALARNAS LÄN</t>
        </is>
      </c>
      <c r="E282" t="inlineStr">
        <is>
          <t>MALUNG-SÄLEN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29350-2024</t>
        </is>
      </c>
      <c r="B283" s="1" t="n">
        <v>45483.48921296297</v>
      </c>
      <c r="C283" s="1" t="n">
        <v>45881</v>
      </c>
      <c r="D283" t="inlineStr">
        <is>
          <t>DALARNAS LÄN</t>
        </is>
      </c>
      <c r="E283" t="inlineStr">
        <is>
          <t>MALUNG-SÄLEN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17828-2023</t>
        </is>
      </c>
      <c r="B284" s="1" t="n">
        <v>45037.60547453703</v>
      </c>
      <c r="C284" s="1" t="n">
        <v>45881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23953-2021</t>
        </is>
      </c>
      <c r="B285" s="1" t="n">
        <v>44335.66215277778</v>
      </c>
      <c r="C285" s="1" t="n">
        <v>45881</v>
      </c>
      <c r="D285" t="inlineStr">
        <is>
          <t>DALARNAS LÄN</t>
        </is>
      </c>
      <c r="E285" t="inlineStr">
        <is>
          <t>MALUNG-SÄLEN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53333-2024</t>
        </is>
      </c>
      <c r="B286" s="1" t="n">
        <v>45614.42175925926</v>
      </c>
      <c r="C286" s="1" t="n">
        <v>45881</v>
      </c>
      <c r="D286" t="inlineStr">
        <is>
          <t>DALARNAS LÄN</t>
        </is>
      </c>
      <c r="E286" t="inlineStr">
        <is>
          <t>MALUNG-SÄLEN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689-2025</t>
        </is>
      </c>
      <c r="B287" s="1" t="n">
        <v>45665.31773148148</v>
      </c>
      <c r="C287" s="1" t="n">
        <v>45881</v>
      </c>
      <c r="D287" t="inlineStr">
        <is>
          <t>DALARNAS LÄN</t>
        </is>
      </c>
      <c r="E287" t="inlineStr">
        <is>
          <t>MALUNG-SÄLEN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690-2025</t>
        </is>
      </c>
      <c r="B288" s="1" t="n">
        <v>45665.31870370371</v>
      </c>
      <c r="C288" s="1" t="n">
        <v>45881</v>
      </c>
      <c r="D288" t="inlineStr">
        <is>
          <t>DALARNAS LÄN</t>
        </is>
      </c>
      <c r="E288" t="inlineStr">
        <is>
          <t>MALUNG-SÄLEN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29771-2024</t>
        </is>
      </c>
      <c r="B289" s="1" t="n">
        <v>45485.44567129629</v>
      </c>
      <c r="C289" s="1" t="n">
        <v>45881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32015-2024</t>
        </is>
      </c>
      <c r="B290" s="1" t="n">
        <v>45510.63439814815</v>
      </c>
      <c r="C290" s="1" t="n">
        <v>45881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väst AB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32167-2024</t>
        </is>
      </c>
      <c r="B291" s="1" t="n">
        <v>45511.60100694445</v>
      </c>
      <c r="C291" s="1" t="n">
        <v>45881</v>
      </c>
      <c r="D291" t="inlineStr">
        <is>
          <t>DALARNAS LÄN</t>
        </is>
      </c>
      <c r="E291" t="inlineStr">
        <is>
          <t>MALUNG-SÄLEN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54842-2024</t>
        </is>
      </c>
      <c r="B292" s="1" t="n">
        <v>45618.57092592592</v>
      </c>
      <c r="C292" s="1" t="n">
        <v>45881</v>
      </c>
      <c r="D292" t="inlineStr">
        <is>
          <t>DALARNAS LÄN</t>
        </is>
      </c>
      <c r="E292" t="inlineStr">
        <is>
          <t>MALUNG-SÄLEN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35-2025</t>
        </is>
      </c>
      <c r="B293" s="1" t="n">
        <v>45659.31378472222</v>
      </c>
      <c r="C293" s="1" t="n">
        <v>45881</v>
      </c>
      <c r="D293" t="inlineStr">
        <is>
          <t>DALARNAS LÄN</t>
        </is>
      </c>
      <c r="E293" t="inlineStr">
        <is>
          <t>MALUNG-SÄLEN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45697-2023</t>
        </is>
      </c>
      <c r="B294" s="1" t="n">
        <v>45195.33619212963</v>
      </c>
      <c r="C294" s="1" t="n">
        <v>45881</v>
      </c>
      <c r="D294" t="inlineStr">
        <is>
          <t>DALARNAS LÄN</t>
        </is>
      </c>
      <c r="E294" t="inlineStr">
        <is>
          <t>MALUNG-SÄLEN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46885-2024</t>
        </is>
      </c>
      <c r="B295" s="1" t="n">
        <v>45583.65962962963</v>
      </c>
      <c r="C295" s="1" t="n">
        <v>45881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59318-2024</t>
        </is>
      </c>
      <c r="B296" s="1" t="n">
        <v>45637.70024305556</v>
      </c>
      <c r="C296" s="1" t="n">
        <v>45881</v>
      </c>
      <c r="D296" t="inlineStr">
        <is>
          <t>DALARNAS LÄN</t>
        </is>
      </c>
      <c r="E296" t="inlineStr">
        <is>
          <t>MALUNG-SÄLEN</t>
        </is>
      </c>
      <c r="F296" t="inlineStr">
        <is>
          <t>Allmännings- och besparingsskogar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60855-2024</t>
        </is>
      </c>
      <c r="B297" s="1" t="n">
        <v>45644.6737037037</v>
      </c>
      <c r="C297" s="1" t="n">
        <v>45881</v>
      </c>
      <c r="D297" t="inlineStr">
        <is>
          <t>DALARNAS LÄN</t>
        </is>
      </c>
      <c r="E297" t="inlineStr">
        <is>
          <t>MALUNG-SÄLEN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57388-2022</t>
        </is>
      </c>
      <c r="B298" s="1" t="n">
        <v>44896.46638888889</v>
      </c>
      <c r="C298" s="1" t="n">
        <v>45881</v>
      </c>
      <c r="D298" t="inlineStr">
        <is>
          <t>DALARNAS LÄN</t>
        </is>
      </c>
      <c r="E298" t="inlineStr">
        <is>
          <t>MALUNG-SÄLEN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906-2024</t>
        </is>
      </c>
      <c r="B299" s="1" t="n">
        <v>45301.45540509259</v>
      </c>
      <c r="C299" s="1" t="n">
        <v>45881</v>
      </c>
      <c r="D299" t="inlineStr">
        <is>
          <t>DALARNAS LÄN</t>
        </is>
      </c>
      <c r="E299" t="inlineStr">
        <is>
          <t>MALUNG-SÄLEN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38349-2024</t>
        </is>
      </c>
      <c r="B300" s="1" t="n">
        <v>45545.71540509259</v>
      </c>
      <c r="C300" s="1" t="n">
        <v>45881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52323-2023</t>
        </is>
      </c>
      <c r="B301" s="1" t="n">
        <v>45224.64626157407</v>
      </c>
      <c r="C301" s="1" t="n">
        <v>45881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44570-2024</t>
        </is>
      </c>
      <c r="B302" s="1" t="n">
        <v>45574.48221064815</v>
      </c>
      <c r="C302" s="1" t="n">
        <v>45881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36928-2024</t>
        </is>
      </c>
      <c r="B303" s="1" t="n">
        <v>45538</v>
      </c>
      <c r="C303" s="1" t="n">
        <v>45881</v>
      </c>
      <c r="D303" t="inlineStr">
        <is>
          <t>DALARNAS LÄN</t>
        </is>
      </c>
      <c r="E303" t="inlineStr">
        <is>
          <t>MALUNG-SÄLEN</t>
        </is>
      </c>
      <c r="G303" t="n">
        <v>14.7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60649-2024</t>
        </is>
      </c>
      <c r="B304" s="1" t="n">
        <v>45644.4359375</v>
      </c>
      <c r="C304" s="1" t="n">
        <v>45881</v>
      </c>
      <c r="D304" t="inlineStr">
        <is>
          <t>DALARNAS LÄN</t>
        </is>
      </c>
      <c r="E304" t="inlineStr">
        <is>
          <t>MALUNG-SÄLEN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59603-2022</t>
        </is>
      </c>
      <c r="B305" s="1" t="n">
        <v>44907</v>
      </c>
      <c r="C305" s="1" t="n">
        <v>45881</v>
      </c>
      <c r="D305" t="inlineStr">
        <is>
          <t>DALARNAS LÄN</t>
        </is>
      </c>
      <c r="E305" t="inlineStr">
        <is>
          <t>MALUNG-SÄLEN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1530-2025</t>
        </is>
      </c>
      <c r="B306" s="1" t="n">
        <v>45670.47900462963</v>
      </c>
      <c r="C306" s="1" t="n">
        <v>45881</v>
      </c>
      <c r="D306" t="inlineStr">
        <is>
          <t>DALARNAS LÄN</t>
        </is>
      </c>
      <c r="E306" t="inlineStr">
        <is>
          <t>MALUNG-SÄLEN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37678-2024</t>
        </is>
      </c>
      <c r="B307" s="1" t="n">
        <v>45541.5880787037</v>
      </c>
      <c r="C307" s="1" t="n">
        <v>45881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24511-2024</t>
        </is>
      </c>
      <c r="B308" s="1" t="n">
        <v>45460.34475694445</v>
      </c>
      <c r="C308" s="1" t="n">
        <v>45881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30005-2024</t>
        </is>
      </c>
      <c r="B309" s="1" t="n">
        <v>45488.5965625</v>
      </c>
      <c r="C309" s="1" t="n">
        <v>45881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60903-2020</t>
        </is>
      </c>
      <c r="B310" s="1" t="n">
        <v>44153</v>
      </c>
      <c r="C310" s="1" t="n">
        <v>45881</v>
      </c>
      <c r="D310" t="inlineStr">
        <is>
          <t>DALARNAS LÄN</t>
        </is>
      </c>
      <c r="E310" t="inlineStr">
        <is>
          <t>MALUNG-SÄLEN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19628-2024</t>
        </is>
      </c>
      <c r="B311" s="1" t="n">
        <v>45431</v>
      </c>
      <c r="C311" s="1" t="n">
        <v>45881</v>
      </c>
      <c r="D311" t="inlineStr">
        <is>
          <t>DALARNAS LÄN</t>
        </is>
      </c>
      <c r="E311" t="inlineStr">
        <is>
          <t>MALUNG-SÄLEN</t>
        </is>
      </c>
      <c r="F311" t="inlineStr">
        <is>
          <t>Allmännings- och besparingsskogar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37280-2024</t>
        </is>
      </c>
      <c r="B312" s="1" t="n">
        <v>45540.42568287037</v>
      </c>
      <c r="C312" s="1" t="n">
        <v>45881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2729-2025</t>
        </is>
      </c>
      <c r="B313" s="1" t="n">
        <v>45677.44365740741</v>
      </c>
      <c r="C313" s="1" t="n">
        <v>45881</v>
      </c>
      <c r="D313" t="inlineStr">
        <is>
          <t>DALARNAS LÄN</t>
        </is>
      </c>
      <c r="E313" t="inlineStr">
        <is>
          <t>MALUNG-SÄLEN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55579-2024</t>
        </is>
      </c>
      <c r="B314" s="1" t="n">
        <v>45621</v>
      </c>
      <c r="C314" s="1" t="n">
        <v>45881</v>
      </c>
      <c r="D314" t="inlineStr">
        <is>
          <t>DALARNAS LÄN</t>
        </is>
      </c>
      <c r="E314" t="inlineStr">
        <is>
          <t>MALUNG-SÄLEN</t>
        </is>
      </c>
      <c r="F314" t="inlineStr">
        <is>
          <t>Allmännings- och besparingsskogar</t>
        </is>
      </c>
      <c r="G314" t="n">
        <v>37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54199-2022</t>
        </is>
      </c>
      <c r="B315" s="1" t="n">
        <v>44881.70018518518</v>
      </c>
      <c r="C315" s="1" t="n">
        <v>45881</v>
      </c>
      <c r="D315" t="inlineStr">
        <is>
          <t>DALARNAS LÄN</t>
        </is>
      </c>
      <c r="E315" t="inlineStr">
        <is>
          <t>MALUNG-SÄLEN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34077-2022</t>
        </is>
      </c>
      <c r="B316" s="1" t="n">
        <v>44791.42771990741</v>
      </c>
      <c r="C316" s="1" t="n">
        <v>45881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24066-2024</t>
        </is>
      </c>
      <c r="B317" s="1" t="n">
        <v>45456.54840277778</v>
      </c>
      <c r="C317" s="1" t="n">
        <v>45881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väst AB</t>
        </is>
      </c>
      <c r="G317" t="n">
        <v>15.1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30366-2024</t>
        </is>
      </c>
      <c r="B318" s="1" t="n">
        <v>45491.37751157407</v>
      </c>
      <c r="C318" s="1" t="n">
        <v>45881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30372-2024</t>
        </is>
      </c>
      <c r="B319" s="1" t="n">
        <v>45491.40144675926</v>
      </c>
      <c r="C319" s="1" t="n">
        <v>45881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984-2024</t>
        </is>
      </c>
      <c r="B320" s="1" t="n">
        <v>45301</v>
      </c>
      <c r="C320" s="1" t="n">
        <v>45881</v>
      </c>
      <c r="D320" t="inlineStr">
        <is>
          <t>DALARNAS LÄN</t>
        </is>
      </c>
      <c r="E320" t="inlineStr">
        <is>
          <t>MALUNG-SÄLEN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7427-2024</t>
        </is>
      </c>
      <c r="B321" s="1" t="n">
        <v>45345</v>
      </c>
      <c r="C321" s="1" t="n">
        <v>45881</v>
      </c>
      <c r="D321" t="inlineStr">
        <is>
          <t>DALARNAS LÄN</t>
        </is>
      </c>
      <c r="E321" t="inlineStr">
        <is>
          <t>MALUNG-SÄLEN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60246-2022</t>
        </is>
      </c>
      <c r="B322" s="1" t="n">
        <v>44910.46317129629</v>
      </c>
      <c r="C322" s="1" t="n">
        <v>45881</v>
      </c>
      <c r="D322" t="inlineStr">
        <is>
          <t>DALARNAS LÄN</t>
        </is>
      </c>
      <c r="E322" t="inlineStr">
        <is>
          <t>MALUNG-SÄLEN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21799-2024</t>
        </is>
      </c>
      <c r="B323" s="1" t="n">
        <v>45442.65350694444</v>
      </c>
      <c r="C323" s="1" t="n">
        <v>45881</v>
      </c>
      <c r="D323" t="inlineStr">
        <is>
          <t>DALARNAS LÄN</t>
        </is>
      </c>
      <c r="E323" t="inlineStr">
        <is>
          <t>MALUNG-SÄLEN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9351-2025</t>
        </is>
      </c>
      <c r="B324" s="1" t="n">
        <v>45714</v>
      </c>
      <c r="C324" s="1" t="n">
        <v>45881</v>
      </c>
      <c r="D324" t="inlineStr">
        <is>
          <t>DALARNAS LÄN</t>
        </is>
      </c>
      <c r="E324" t="inlineStr">
        <is>
          <t>MALUNG-SÄLEN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59966-2023</t>
        </is>
      </c>
      <c r="B325" s="1" t="n">
        <v>45257</v>
      </c>
      <c r="C325" s="1" t="n">
        <v>45881</v>
      </c>
      <c r="D325" t="inlineStr">
        <is>
          <t>DALARNAS LÄN</t>
        </is>
      </c>
      <c r="E325" t="inlineStr">
        <is>
          <t>MALUNG-SÄLEN</t>
        </is>
      </c>
      <c r="F325" t="inlineStr">
        <is>
          <t>Övriga statliga verk och myndigheter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58904-2024</t>
        </is>
      </c>
      <c r="B326" s="1" t="n">
        <v>45636.47783564815</v>
      </c>
      <c r="C326" s="1" t="n">
        <v>45881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17619-2025</t>
        </is>
      </c>
      <c r="B327" s="1" t="n">
        <v>45757.85554398148</v>
      </c>
      <c r="C327" s="1" t="n">
        <v>45881</v>
      </c>
      <c r="D327" t="inlineStr">
        <is>
          <t>DALARNAS LÄN</t>
        </is>
      </c>
      <c r="E327" t="inlineStr">
        <is>
          <t>MALUNG-SÄLEN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43981-2022</t>
        </is>
      </c>
      <c r="B328" s="1" t="n">
        <v>44837</v>
      </c>
      <c r="C328" s="1" t="n">
        <v>45881</v>
      </c>
      <c r="D328" t="inlineStr">
        <is>
          <t>DALARNAS LÄN</t>
        </is>
      </c>
      <c r="E328" t="inlineStr">
        <is>
          <t>MALUNG-SÄLEN</t>
        </is>
      </c>
      <c r="F328" t="inlineStr">
        <is>
          <t>Kommuner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8905-2024</t>
        </is>
      </c>
      <c r="B329" s="1" t="n">
        <v>45357.34954861111</v>
      </c>
      <c r="C329" s="1" t="n">
        <v>45881</v>
      </c>
      <c r="D329" t="inlineStr">
        <is>
          <t>DALARNAS LÄN</t>
        </is>
      </c>
      <c r="E329" t="inlineStr">
        <is>
          <t>MALUNG-SÄLEN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17498-2025</t>
        </is>
      </c>
      <c r="B330" s="1" t="n">
        <v>45757</v>
      </c>
      <c r="C330" s="1" t="n">
        <v>45881</v>
      </c>
      <c r="D330" t="inlineStr">
        <is>
          <t>DALARNAS LÄN</t>
        </is>
      </c>
      <c r="E330" t="inlineStr">
        <is>
          <t>MALUNG-SÄLEN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18273-2025</t>
        </is>
      </c>
      <c r="B331" s="1" t="n">
        <v>45762.3755787037</v>
      </c>
      <c r="C331" s="1" t="n">
        <v>45881</v>
      </c>
      <c r="D331" t="inlineStr">
        <is>
          <t>DALARNAS LÄN</t>
        </is>
      </c>
      <c r="E331" t="inlineStr">
        <is>
          <t>MALUNG-SÄLEN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29362-2023</t>
        </is>
      </c>
      <c r="B332" s="1" t="n">
        <v>45106.35313657407</v>
      </c>
      <c r="C332" s="1" t="n">
        <v>45881</v>
      </c>
      <c r="D332" t="inlineStr">
        <is>
          <t>DALARNAS LÄN</t>
        </is>
      </c>
      <c r="E332" t="inlineStr">
        <is>
          <t>MALUNG-SÄLEN</t>
        </is>
      </c>
      <c r="F332" t="inlineStr">
        <is>
          <t>Övriga statliga verk och myndigheter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19974-2023</t>
        </is>
      </c>
      <c r="B333" s="1" t="n">
        <v>45054</v>
      </c>
      <c r="C333" s="1" t="n">
        <v>45881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28055-2024</t>
        </is>
      </c>
      <c r="B334" s="1" t="n">
        <v>45476.5606712963</v>
      </c>
      <c r="C334" s="1" t="n">
        <v>45881</v>
      </c>
      <c r="D334" t="inlineStr">
        <is>
          <t>DALARNAS LÄN</t>
        </is>
      </c>
      <c r="E334" t="inlineStr">
        <is>
          <t>MALUNG-SÄLEN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688-2025</t>
        </is>
      </c>
      <c r="B335" s="1" t="n">
        <v>45665.3165162037</v>
      </c>
      <c r="C335" s="1" t="n">
        <v>45881</v>
      </c>
      <c r="D335" t="inlineStr">
        <is>
          <t>DALARNAS LÄN</t>
        </is>
      </c>
      <c r="E335" t="inlineStr">
        <is>
          <t>MALUNG-SÄLEN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58956-2023</t>
        </is>
      </c>
      <c r="B336" s="1" t="n">
        <v>45252.59842592593</v>
      </c>
      <c r="C336" s="1" t="n">
        <v>45881</v>
      </c>
      <c r="D336" t="inlineStr">
        <is>
          <t>DALARNAS LÄN</t>
        </is>
      </c>
      <c r="E336" t="inlineStr">
        <is>
          <t>MALUNG-SÄLEN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42802-2024</t>
        </is>
      </c>
      <c r="B337" s="1" t="n">
        <v>45566.56403935186</v>
      </c>
      <c r="C337" s="1" t="n">
        <v>45881</v>
      </c>
      <c r="D337" t="inlineStr">
        <is>
          <t>DALARNAS LÄN</t>
        </is>
      </c>
      <c r="E337" t="inlineStr">
        <is>
          <t>MALUNG-SÄLEN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55583-2023</t>
        </is>
      </c>
      <c r="B338" s="1" t="n">
        <v>45238</v>
      </c>
      <c r="C338" s="1" t="n">
        <v>45881</v>
      </c>
      <c r="D338" t="inlineStr">
        <is>
          <t>DALARNAS LÄN</t>
        </is>
      </c>
      <c r="E338" t="inlineStr">
        <is>
          <t>MALUNG-SÄLEN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15916-2024</t>
        </is>
      </c>
      <c r="B339" s="1" t="n">
        <v>45405</v>
      </c>
      <c r="C339" s="1" t="n">
        <v>45881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41574-2024</t>
        </is>
      </c>
      <c r="B340" s="1" t="n">
        <v>45560.548125</v>
      </c>
      <c r="C340" s="1" t="n">
        <v>45881</v>
      </c>
      <c r="D340" t="inlineStr">
        <is>
          <t>DALARNAS LÄN</t>
        </is>
      </c>
      <c r="E340" t="inlineStr">
        <is>
          <t>MALUNG-SÄLEN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42020-2024</t>
        </is>
      </c>
      <c r="B341" s="1" t="n">
        <v>45561</v>
      </c>
      <c r="C341" s="1" t="n">
        <v>45881</v>
      </c>
      <c r="D341" t="inlineStr">
        <is>
          <t>DALARNAS LÄN</t>
        </is>
      </c>
      <c r="E341" t="inlineStr">
        <is>
          <t>MALUNG-SÄLEN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36466-2023</t>
        </is>
      </c>
      <c r="B342" s="1" t="n">
        <v>45152</v>
      </c>
      <c r="C342" s="1" t="n">
        <v>45881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34395-2024</t>
        </is>
      </c>
      <c r="B343" s="1" t="n">
        <v>45525.44305555556</v>
      </c>
      <c r="C343" s="1" t="n">
        <v>45881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61312-2024</t>
        </is>
      </c>
      <c r="B344" s="1" t="n">
        <v>45646.30297453704</v>
      </c>
      <c r="C344" s="1" t="n">
        <v>45881</v>
      </c>
      <c r="D344" t="inlineStr">
        <is>
          <t>DALARNAS LÄN</t>
        </is>
      </c>
      <c r="E344" t="inlineStr">
        <is>
          <t>MALUNG-SÄLEN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47336-2024</t>
        </is>
      </c>
      <c r="B345" s="1" t="n">
        <v>45583</v>
      </c>
      <c r="C345" s="1" t="n">
        <v>45881</v>
      </c>
      <c r="D345" t="inlineStr">
        <is>
          <t>DALARNAS LÄN</t>
        </is>
      </c>
      <c r="E345" t="inlineStr">
        <is>
          <t>MALUNG-SÄLEN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57746-2022</t>
        </is>
      </c>
      <c r="B346" s="1" t="n">
        <v>44897.58142361111</v>
      </c>
      <c r="C346" s="1" t="n">
        <v>45881</v>
      </c>
      <c r="D346" t="inlineStr">
        <is>
          <t>DALARNAS LÄN</t>
        </is>
      </c>
      <c r="E346" t="inlineStr">
        <is>
          <t>MALUNG-SÄLEN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44139-2023</t>
        </is>
      </c>
      <c r="B347" s="1" t="n">
        <v>45188</v>
      </c>
      <c r="C347" s="1" t="n">
        <v>45881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52141-2024</t>
        </is>
      </c>
      <c r="B348" s="1" t="n">
        <v>45608</v>
      </c>
      <c r="C348" s="1" t="n">
        <v>45881</v>
      </c>
      <c r="D348" t="inlineStr">
        <is>
          <t>DALARNAS LÄN</t>
        </is>
      </c>
      <c r="E348" t="inlineStr">
        <is>
          <t>MALUNG-SÄLEN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18992-2025</t>
        </is>
      </c>
      <c r="B349" s="1" t="n">
        <v>45764.57153935185</v>
      </c>
      <c r="C349" s="1" t="n">
        <v>45881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34397-2024</t>
        </is>
      </c>
      <c r="B350" s="1" t="n">
        <v>45525.44471064815</v>
      </c>
      <c r="C350" s="1" t="n">
        <v>45881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16026-2025</t>
        </is>
      </c>
      <c r="B351" s="1" t="n">
        <v>45749</v>
      </c>
      <c r="C351" s="1" t="n">
        <v>45881</v>
      </c>
      <c r="D351" t="inlineStr">
        <is>
          <t>DALARNAS LÄN</t>
        </is>
      </c>
      <c r="E351" t="inlineStr">
        <is>
          <t>MALUNG-SÄLEN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33367-2023</t>
        </is>
      </c>
      <c r="B352" s="1" t="n">
        <v>45128.54782407408</v>
      </c>
      <c r="C352" s="1" t="n">
        <v>45881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30398-2024</t>
        </is>
      </c>
      <c r="B353" s="1" t="n">
        <v>45491.57077546296</v>
      </c>
      <c r="C353" s="1" t="n">
        <v>45881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30400-2024</t>
        </is>
      </c>
      <c r="B354" s="1" t="n">
        <v>45491</v>
      </c>
      <c r="C354" s="1" t="n">
        <v>45881</v>
      </c>
      <c r="D354" t="inlineStr">
        <is>
          <t>DALARNAS LÄN</t>
        </is>
      </c>
      <c r="E354" t="inlineStr">
        <is>
          <t>MALUNG-SÄLEN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38795-2024</t>
        </is>
      </c>
      <c r="B355" s="1" t="n">
        <v>45547.50658564815</v>
      </c>
      <c r="C355" s="1" t="n">
        <v>45881</v>
      </c>
      <c r="D355" t="inlineStr">
        <is>
          <t>DALARNAS LÄN</t>
        </is>
      </c>
      <c r="E355" t="inlineStr">
        <is>
          <t>MALUNG-SÄLEN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206-2023</t>
        </is>
      </c>
      <c r="B356" s="1" t="n">
        <v>44928</v>
      </c>
      <c r="C356" s="1" t="n">
        <v>45881</v>
      </c>
      <c r="D356" t="inlineStr">
        <is>
          <t>DALARNAS LÄN</t>
        </is>
      </c>
      <c r="E356" t="inlineStr">
        <is>
          <t>MALUNG-SÄLEN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72039-2021</t>
        </is>
      </c>
      <c r="B357" s="1" t="n">
        <v>44540</v>
      </c>
      <c r="C357" s="1" t="n">
        <v>45881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58832-2022</t>
        </is>
      </c>
      <c r="B358" s="1" t="n">
        <v>44903.47903935185</v>
      </c>
      <c r="C358" s="1" t="n">
        <v>45881</v>
      </c>
      <c r="D358" t="inlineStr">
        <is>
          <t>DALARNAS LÄN</t>
        </is>
      </c>
      <c r="E358" t="inlineStr">
        <is>
          <t>MALUNG-SÄLEN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41880-2024</t>
        </is>
      </c>
      <c r="B359" s="1" t="n">
        <v>45561</v>
      </c>
      <c r="C359" s="1" t="n">
        <v>45881</v>
      </c>
      <c r="D359" t="inlineStr">
        <is>
          <t>DALARNAS LÄN</t>
        </is>
      </c>
      <c r="E359" t="inlineStr">
        <is>
          <t>MALUNG-SÄLEN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13823-2023</t>
        </is>
      </c>
      <c r="B360" s="1" t="n">
        <v>45007</v>
      </c>
      <c r="C360" s="1" t="n">
        <v>45881</v>
      </c>
      <c r="D360" t="inlineStr">
        <is>
          <t>DALARNAS LÄN</t>
        </is>
      </c>
      <c r="E360" t="inlineStr">
        <is>
          <t>MALUNG-SÄLEN</t>
        </is>
      </c>
      <c r="G360" t="n">
        <v>19.5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31886-2023</t>
        </is>
      </c>
      <c r="B361" s="1" t="n">
        <v>45118.69055555556</v>
      </c>
      <c r="C361" s="1" t="n">
        <v>45881</v>
      </c>
      <c r="D361" t="inlineStr">
        <is>
          <t>DALARNAS LÄN</t>
        </is>
      </c>
      <c r="E361" t="inlineStr">
        <is>
          <t>MALUNG-SÄLEN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61974-2021</t>
        </is>
      </c>
      <c r="B362" s="1" t="n">
        <v>44501</v>
      </c>
      <c r="C362" s="1" t="n">
        <v>45881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17209-2025</t>
        </is>
      </c>
      <c r="B363" s="1" t="n">
        <v>45756.43478009259</v>
      </c>
      <c r="C363" s="1" t="n">
        <v>45881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26813-2023</t>
        </is>
      </c>
      <c r="B364" s="1" t="n">
        <v>45090</v>
      </c>
      <c r="C364" s="1" t="n">
        <v>45881</v>
      </c>
      <c r="D364" t="inlineStr">
        <is>
          <t>DALARNAS LÄN</t>
        </is>
      </c>
      <c r="E364" t="inlineStr">
        <is>
          <t>MALUNG-SÄLEN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22780-2023</t>
        </is>
      </c>
      <c r="B365" s="1" t="n">
        <v>45072</v>
      </c>
      <c r="C365" s="1" t="n">
        <v>45881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56969-2024</t>
        </is>
      </c>
      <c r="B366" s="1" t="n">
        <v>45628.66434027778</v>
      </c>
      <c r="C366" s="1" t="n">
        <v>45881</v>
      </c>
      <c r="D366" t="inlineStr">
        <is>
          <t>DALARNAS LÄN</t>
        </is>
      </c>
      <c r="E366" t="inlineStr">
        <is>
          <t>MALUNG-SÄLEN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52429-2023</t>
        </is>
      </c>
      <c r="B367" s="1" t="n">
        <v>45225.32844907408</v>
      </c>
      <c r="C367" s="1" t="n">
        <v>45881</v>
      </c>
      <c r="D367" t="inlineStr">
        <is>
          <t>DALARNAS LÄN</t>
        </is>
      </c>
      <c r="E367" t="inlineStr">
        <is>
          <t>MALUNG-SÄLEN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5837-2025</t>
        </is>
      </c>
      <c r="B368" s="1" t="n">
        <v>45694.87980324074</v>
      </c>
      <c r="C368" s="1" t="n">
        <v>45881</v>
      </c>
      <c r="D368" t="inlineStr">
        <is>
          <t>DALARNAS LÄN</t>
        </is>
      </c>
      <c r="E368" t="inlineStr">
        <is>
          <t>MALUNG-SÄLEN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45601-2023</t>
        </is>
      </c>
      <c r="B369" s="1" t="n">
        <v>45194</v>
      </c>
      <c r="C369" s="1" t="n">
        <v>45881</v>
      </c>
      <c r="D369" t="inlineStr">
        <is>
          <t>DALARNAS LÄN</t>
        </is>
      </c>
      <c r="E369" t="inlineStr">
        <is>
          <t>MALUNG-SÄLEN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65275-2021</t>
        </is>
      </c>
      <c r="B370" s="1" t="n">
        <v>44515</v>
      </c>
      <c r="C370" s="1" t="n">
        <v>45881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58913-2024</t>
        </is>
      </c>
      <c r="B371" s="1" t="n">
        <v>45636</v>
      </c>
      <c r="C371" s="1" t="n">
        <v>45881</v>
      </c>
      <c r="D371" t="inlineStr">
        <is>
          <t>DALARNAS LÄN</t>
        </is>
      </c>
      <c r="E371" t="inlineStr">
        <is>
          <t>MALUNG-SÄLEN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51388-2024</t>
        </is>
      </c>
      <c r="B372" s="1" t="n">
        <v>45604.40155092593</v>
      </c>
      <c r="C372" s="1" t="n">
        <v>45881</v>
      </c>
      <c r="D372" t="inlineStr">
        <is>
          <t>DALARNAS LÄN</t>
        </is>
      </c>
      <c r="E372" t="inlineStr">
        <is>
          <t>MALUNG-SÄLEN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22455-2021</t>
        </is>
      </c>
      <c r="B373" s="1" t="n">
        <v>44321</v>
      </c>
      <c r="C373" s="1" t="n">
        <v>45881</v>
      </c>
      <c r="D373" t="inlineStr">
        <is>
          <t>DALARNAS LÄN</t>
        </is>
      </c>
      <c r="E373" t="inlineStr">
        <is>
          <t>MALUNG-SÄLEN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21279-2023</t>
        </is>
      </c>
      <c r="B374" s="1" t="n">
        <v>45062.64018518518</v>
      </c>
      <c r="C374" s="1" t="n">
        <v>45881</v>
      </c>
      <c r="D374" t="inlineStr">
        <is>
          <t>DALARNAS LÄN</t>
        </is>
      </c>
      <c r="E374" t="inlineStr">
        <is>
          <t>MALUNG-SÄLEN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4613-2025</t>
        </is>
      </c>
      <c r="B375" s="1" t="n">
        <v>45687.58771990741</v>
      </c>
      <c r="C375" s="1" t="n">
        <v>45881</v>
      </c>
      <c r="D375" t="inlineStr">
        <is>
          <t>DALARNAS LÄN</t>
        </is>
      </c>
      <c r="E375" t="inlineStr">
        <is>
          <t>MALUNG-SÄLEN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18584-2023</t>
        </is>
      </c>
      <c r="B376" s="1" t="n">
        <v>45041</v>
      </c>
      <c r="C376" s="1" t="n">
        <v>45881</v>
      </c>
      <c r="D376" t="inlineStr">
        <is>
          <t>DALARNAS LÄN</t>
        </is>
      </c>
      <c r="E376" t="inlineStr">
        <is>
          <t>MALUNG-SÄLEN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1967-2025</t>
        </is>
      </c>
      <c r="B377" s="1" t="n">
        <v>45672.38461805556</v>
      </c>
      <c r="C377" s="1" t="n">
        <v>45881</v>
      </c>
      <c r="D377" t="inlineStr">
        <is>
          <t>DALARNAS LÄN</t>
        </is>
      </c>
      <c r="E377" t="inlineStr">
        <is>
          <t>MALUNG-SÄLEN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39204-2024</t>
        </is>
      </c>
      <c r="B378" s="1" t="n">
        <v>45548.73366898148</v>
      </c>
      <c r="C378" s="1" t="n">
        <v>45881</v>
      </c>
      <c r="D378" t="inlineStr">
        <is>
          <t>DALARNAS LÄN</t>
        </is>
      </c>
      <c r="E378" t="inlineStr">
        <is>
          <t>MALUNG-SÄLEN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2208-2021</t>
        </is>
      </c>
      <c r="B379" s="1" t="n">
        <v>44211</v>
      </c>
      <c r="C379" s="1" t="n">
        <v>45881</v>
      </c>
      <c r="D379" t="inlineStr">
        <is>
          <t>DALARNAS LÄN</t>
        </is>
      </c>
      <c r="E379" t="inlineStr">
        <is>
          <t>MALUNG-SÄLEN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24957-2024</t>
        </is>
      </c>
      <c r="B380" s="1" t="n">
        <v>45461.64128472222</v>
      </c>
      <c r="C380" s="1" t="n">
        <v>45881</v>
      </c>
      <c r="D380" t="inlineStr">
        <is>
          <t>DALARNAS LÄN</t>
        </is>
      </c>
      <c r="E380" t="inlineStr">
        <is>
          <t>MALUNG-SÄLEN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752-2023</t>
        </is>
      </c>
      <c r="B381" s="1" t="n">
        <v>44931.36048611111</v>
      </c>
      <c r="C381" s="1" t="n">
        <v>45881</v>
      </c>
      <c r="D381" t="inlineStr">
        <is>
          <t>DALARNAS LÄN</t>
        </is>
      </c>
      <c r="E381" t="inlineStr">
        <is>
          <t>MALUNG-SÄLEN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6496-2024</t>
        </is>
      </c>
      <c r="B382" s="1" t="n">
        <v>45339</v>
      </c>
      <c r="C382" s="1" t="n">
        <v>45881</v>
      </c>
      <c r="D382" t="inlineStr">
        <is>
          <t>DALARNAS LÄN</t>
        </is>
      </c>
      <c r="E382" t="inlineStr">
        <is>
          <t>MALUNG-SÄLEN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16391-2024</t>
        </is>
      </c>
      <c r="B383" s="1" t="n">
        <v>45407.62357638889</v>
      </c>
      <c r="C383" s="1" t="n">
        <v>45881</v>
      </c>
      <c r="D383" t="inlineStr">
        <is>
          <t>DALARNAS LÄN</t>
        </is>
      </c>
      <c r="E383" t="inlineStr">
        <is>
          <t>MALUNG-SÄLEN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55847-2022</t>
        </is>
      </c>
      <c r="B384" s="1" t="n">
        <v>44888</v>
      </c>
      <c r="C384" s="1" t="n">
        <v>45881</v>
      </c>
      <c r="D384" t="inlineStr">
        <is>
          <t>DALARNAS LÄN</t>
        </is>
      </c>
      <c r="E384" t="inlineStr">
        <is>
          <t>MALUNG-SÄLEN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36181-2024</t>
        </is>
      </c>
      <c r="B385" s="1" t="n">
        <v>45534.41496527778</v>
      </c>
      <c r="C385" s="1" t="n">
        <v>45881</v>
      </c>
      <c r="D385" t="inlineStr">
        <is>
          <t>DALARNAS LÄN</t>
        </is>
      </c>
      <c r="E385" t="inlineStr">
        <is>
          <t>MALUNG-SÄLEN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62793-2023</t>
        </is>
      </c>
      <c r="B386" s="1" t="n">
        <v>45271.73105324074</v>
      </c>
      <c r="C386" s="1" t="n">
        <v>45881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25168-2024</t>
        </is>
      </c>
      <c r="B387" s="1" t="n">
        <v>45462.54217592593</v>
      </c>
      <c r="C387" s="1" t="n">
        <v>45881</v>
      </c>
      <c r="D387" t="inlineStr">
        <is>
          <t>DALARNAS LÄN</t>
        </is>
      </c>
      <c r="E387" t="inlineStr">
        <is>
          <t>MALUNG-SÄLEN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38817-2023</t>
        </is>
      </c>
      <c r="B388" s="1" t="n">
        <v>45163.47275462963</v>
      </c>
      <c r="C388" s="1" t="n">
        <v>45881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35261-2024</t>
        </is>
      </c>
      <c r="B389" s="1" t="n">
        <v>45530.58905092593</v>
      </c>
      <c r="C389" s="1" t="n">
        <v>45881</v>
      </c>
      <c r="D389" t="inlineStr">
        <is>
          <t>DALARNAS LÄN</t>
        </is>
      </c>
      <c r="E389" t="inlineStr">
        <is>
          <t>MALUNG-SÄLEN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47351-2023</t>
        </is>
      </c>
      <c r="B390" s="1" t="n">
        <v>45202.57804398148</v>
      </c>
      <c r="C390" s="1" t="n">
        <v>45881</v>
      </c>
      <c r="D390" t="inlineStr">
        <is>
          <t>DALARNAS LÄN</t>
        </is>
      </c>
      <c r="E390" t="inlineStr">
        <is>
          <t>MALUNG-SÄLEN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58345-2024</t>
        </is>
      </c>
      <c r="B391" s="1" t="n">
        <v>45632.64725694444</v>
      </c>
      <c r="C391" s="1" t="n">
        <v>45881</v>
      </c>
      <c r="D391" t="inlineStr">
        <is>
          <t>DALARNAS LÄN</t>
        </is>
      </c>
      <c r="E391" t="inlineStr">
        <is>
          <t>MALUNG-SÄLEN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20931-2023</t>
        </is>
      </c>
      <c r="B392" s="1" t="n">
        <v>45056</v>
      </c>
      <c r="C392" s="1" t="n">
        <v>45881</v>
      </c>
      <c r="D392" t="inlineStr">
        <is>
          <t>DALARNAS LÄN</t>
        </is>
      </c>
      <c r="E392" t="inlineStr">
        <is>
          <t>MALUNG-SÄLEN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22957-2024</t>
        </is>
      </c>
      <c r="B393" s="1" t="n">
        <v>45449.44204861111</v>
      </c>
      <c r="C393" s="1" t="n">
        <v>45881</v>
      </c>
      <c r="D393" t="inlineStr">
        <is>
          <t>DALARNAS LÄN</t>
        </is>
      </c>
      <c r="E393" t="inlineStr">
        <is>
          <t>MALUNG-SÄLEN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10628-2025</t>
        </is>
      </c>
      <c r="B394" s="1" t="n">
        <v>45721.63273148148</v>
      </c>
      <c r="C394" s="1" t="n">
        <v>45881</v>
      </c>
      <c r="D394" t="inlineStr">
        <is>
          <t>DALARNAS LÄN</t>
        </is>
      </c>
      <c r="E394" t="inlineStr">
        <is>
          <t>MALUNG-SÄLEN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21794-2024</t>
        </is>
      </c>
      <c r="B395" s="1" t="n">
        <v>45442.64577546297</v>
      </c>
      <c r="C395" s="1" t="n">
        <v>45881</v>
      </c>
      <c r="D395" t="inlineStr">
        <is>
          <t>DALARNAS LÄN</t>
        </is>
      </c>
      <c r="E395" t="inlineStr">
        <is>
          <t>MALUNG-SÄLEN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60298-2024</t>
        </is>
      </c>
      <c r="B396" s="1" t="n">
        <v>45643.31895833334</v>
      </c>
      <c r="C396" s="1" t="n">
        <v>45881</v>
      </c>
      <c r="D396" t="inlineStr">
        <is>
          <t>DALARNAS LÄN</t>
        </is>
      </c>
      <c r="E396" t="inlineStr">
        <is>
          <t>MALUNG-SÄLEN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55599-2023</t>
        </is>
      </c>
      <c r="B397" s="1" t="n">
        <v>45238.69153935185</v>
      </c>
      <c r="C397" s="1" t="n">
        <v>45881</v>
      </c>
      <c r="D397" t="inlineStr">
        <is>
          <t>DALARNAS LÄN</t>
        </is>
      </c>
      <c r="E397" t="inlineStr">
        <is>
          <t>MALUNG-SÄLEN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45163-2024</t>
        </is>
      </c>
      <c r="B398" s="1" t="n">
        <v>45575.65107638889</v>
      </c>
      <c r="C398" s="1" t="n">
        <v>45881</v>
      </c>
      <c r="D398" t="inlineStr">
        <is>
          <t>DALARNAS LÄN</t>
        </is>
      </c>
      <c r="E398" t="inlineStr">
        <is>
          <t>MALUNG-SÄLEN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61502-2022</t>
        </is>
      </c>
      <c r="B399" s="1" t="n">
        <v>44916.48710648148</v>
      </c>
      <c r="C399" s="1" t="n">
        <v>45881</v>
      </c>
      <c r="D399" t="inlineStr">
        <is>
          <t>DALARNAS LÄN</t>
        </is>
      </c>
      <c r="E399" t="inlineStr">
        <is>
          <t>MALUNG-SÄLEN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51395-2024</t>
        </is>
      </c>
      <c r="B400" s="1" t="n">
        <v>45604.41903935185</v>
      </c>
      <c r="C400" s="1" t="n">
        <v>45881</v>
      </c>
      <c r="D400" t="inlineStr">
        <is>
          <t>DALARNAS LÄN</t>
        </is>
      </c>
      <c r="E400" t="inlineStr">
        <is>
          <t>MALUNG-SÄLEN</t>
        </is>
      </c>
      <c r="G400" t="n">
        <v>18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19597-2024</t>
        </is>
      </c>
      <c r="B401" s="1" t="n">
        <v>45430.60167824074</v>
      </c>
      <c r="C401" s="1" t="n">
        <v>45881</v>
      </c>
      <c r="D401" t="inlineStr">
        <is>
          <t>DALARNAS LÄN</t>
        </is>
      </c>
      <c r="E401" t="inlineStr">
        <is>
          <t>MALUNG-SÄLEN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42737-2023</t>
        </is>
      </c>
      <c r="B402" s="1" t="n">
        <v>45177</v>
      </c>
      <c r="C402" s="1" t="n">
        <v>45881</v>
      </c>
      <c r="D402" t="inlineStr">
        <is>
          <t>DALARNAS LÄN</t>
        </is>
      </c>
      <c r="E402" t="inlineStr">
        <is>
          <t>MALUNG-SÄLEN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26836-2024</t>
        </is>
      </c>
      <c r="B403" s="1" t="n">
        <v>45470.5739699074</v>
      </c>
      <c r="C403" s="1" t="n">
        <v>45881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29386-2024</t>
        </is>
      </c>
      <c r="B404" s="1" t="n">
        <v>45483</v>
      </c>
      <c r="C404" s="1" t="n">
        <v>45881</v>
      </c>
      <c r="D404" t="inlineStr">
        <is>
          <t>DALARNAS LÄN</t>
        </is>
      </c>
      <c r="E404" t="inlineStr">
        <is>
          <t>MALUNG-SÄLEN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20861-2024</t>
        </is>
      </c>
      <c r="B405" s="1" t="n">
        <v>45439</v>
      </c>
      <c r="C405" s="1" t="n">
        <v>45881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15782-2024</t>
        </is>
      </c>
      <c r="B406" s="1" t="n">
        <v>45404.60552083333</v>
      </c>
      <c r="C406" s="1" t="n">
        <v>45881</v>
      </c>
      <c r="D406" t="inlineStr">
        <is>
          <t>DALARNAS LÄN</t>
        </is>
      </c>
      <c r="E406" t="inlineStr">
        <is>
          <t>MALUNG-SÄLEN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19415-2024</t>
        </is>
      </c>
      <c r="B407" s="1" t="n">
        <v>45429.42030092593</v>
      </c>
      <c r="C407" s="1" t="n">
        <v>45881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49798-2021</t>
        </is>
      </c>
      <c r="B408" s="1" t="n">
        <v>44455</v>
      </c>
      <c r="C408" s="1" t="n">
        <v>45881</v>
      </c>
      <c r="D408" t="inlineStr">
        <is>
          <t>DALARNAS LÄN</t>
        </is>
      </c>
      <c r="E408" t="inlineStr">
        <is>
          <t>MALUNG-SÄLEN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52358-2024</t>
        </is>
      </c>
      <c r="B409" s="1" t="n">
        <v>45609.36947916666</v>
      </c>
      <c r="C409" s="1" t="n">
        <v>45881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43677-2024</t>
        </is>
      </c>
      <c r="B410" s="1" t="n">
        <v>45569.56986111111</v>
      </c>
      <c r="C410" s="1" t="n">
        <v>45881</v>
      </c>
      <c r="D410" t="inlineStr">
        <is>
          <t>DALARNAS LÄN</t>
        </is>
      </c>
      <c r="E410" t="inlineStr">
        <is>
          <t>MALUNG-SÄLEN</t>
        </is>
      </c>
      <c r="F410" t="inlineStr">
        <is>
          <t>Kyrkan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5369-2025</t>
        </is>
      </c>
      <c r="B411" s="1" t="n">
        <v>45692.58461805555</v>
      </c>
      <c r="C411" s="1" t="n">
        <v>45881</v>
      </c>
      <c r="D411" t="inlineStr">
        <is>
          <t>DALARNAS LÄN</t>
        </is>
      </c>
      <c r="E411" t="inlineStr">
        <is>
          <t>MALUNG-SÄLEN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47976-2023</t>
        </is>
      </c>
      <c r="B412" s="1" t="n">
        <v>45204.61171296296</v>
      </c>
      <c r="C412" s="1" t="n">
        <v>45881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2612-2023</t>
        </is>
      </c>
      <c r="B413" s="1" t="n">
        <v>44944</v>
      </c>
      <c r="C413" s="1" t="n">
        <v>45881</v>
      </c>
      <c r="D413" t="inlineStr">
        <is>
          <t>DALARNAS LÄN</t>
        </is>
      </c>
      <c r="E413" t="inlineStr">
        <is>
          <t>MALUNG-SÄLEN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22622-2023</t>
        </is>
      </c>
      <c r="B414" s="1" t="n">
        <v>45071</v>
      </c>
      <c r="C414" s="1" t="n">
        <v>45881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24353-2024</t>
        </is>
      </c>
      <c r="B415" s="1" t="n">
        <v>45457.59245370371</v>
      </c>
      <c r="C415" s="1" t="n">
        <v>45881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64863-2021</t>
        </is>
      </c>
      <c r="B416" s="1" t="n">
        <v>44512</v>
      </c>
      <c r="C416" s="1" t="n">
        <v>45881</v>
      </c>
      <c r="D416" t="inlineStr">
        <is>
          <t>DALARNAS LÄN</t>
        </is>
      </c>
      <c r="E416" t="inlineStr">
        <is>
          <t>MALUNG-SÄLEN</t>
        </is>
      </c>
      <c r="F416" t="inlineStr">
        <is>
          <t>Allmännings- och besparingsskogar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3172-2025</t>
        </is>
      </c>
      <c r="B417" s="1" t="n">
        <v>45679</v>
      </c>
      <c r="C417" s="1" t="n">
        <v>45881</v>
      </c>
      <c r="D417" t="inlineStr">
        <is>
          <t>DALARNAS LÄN</t>
        </is>
      </c>
      <c r="E417" t="inlineStr">
        <is>
          <t>MALUNG-SÄLEN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56745-2023</t>
        </is>
      </c>
      <c r="B418" s="1" t="n">
        <v>45244</v>
      </c>
      <c r="C418" s="1" t="n">
        <v>45881</v>
      </c>
      <c r="D418" t="inlineStr">
        <is>
          <t>DALARNAS LÄN</t>
        </is>
      </c>
      <c r="E418" t="inlineStr">
        <is>
          <t>MALUNG-SÄLEN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62287-2022</t>
        </is>
      </c>
      <c r="B419" s="1" t="n">
        <v>44923</v>
      </c>
      <c r="C419" s="1" t="n">
        <v>45881</v>
      </c>
      <c r="D419" t="inlineStr">
        <is>
          <t>DALARNAS LÄN</t>
        </is>
      </c>
      <c r="E419" t="inlineStr">
        <is>
          <t>MALUNG-SÄLEN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62288-2022</t>
        </is>
      </c>
      <c r="B420" s="1" t="n">
        <v>44923.41336805555</v>
      </c>
      <c r="C420" s="1" t="n">
        <v>45881</v>
      </c>
      <c r="D420" t="inlineStr">
        <is>
          <t>DALARNAS LÄN</t>
        </is>
      </c>
      <c r="E420" t="inlineStr">
        <is>
          <t>MALUNG-SÄLEN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17499-2025</t>
        </is>
      </c>
      <c r="B421" s="1" t="n">
        <v>45757</v>
      </c>
      <c r="C421" s="1" t="n">
        <v>45881</v>
      </c>
      <c r="D421" t="inlineStr">
        <is>
          <t>DALARNAS LÄN</t>
        </is>
      </c>
      <c r="E421" t="inlineStr">
        <is>
          <t>MALUNG-SÄLEN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44576-2024</t>
        </is>
      </c>
      <c r="B422" s="1" t="n">
        <v>45574.48467592592</v>
      </c>
      <c r="C422" s="1" t="n">
        <v>45881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41950-2021</t>
        </is>
      </c>
      <c r="B423" s="1" t="n">
        <v>44426</v>
      </c>
      <c r="C423" s="1" t="n">
        <v>45881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22888-2024</t>
        </is>
      </c>
      <c r="B424" s="1" t="n">
        <v>45448.67425925926</v>
      </c>
      <c r="C424" s="1" t="n">
        <v>45881</v>
      </c>
      <c r="D424" t="inlineStr">
        <is>
          <t>DALARNAS LÄN</t>
        </is>
      </c>
      <c r="E424" t="inlineStr">
        <is>
          <t>MALUNG-SÄLEN</t>
        </is>
      </c>
      <c r="F424" t="inlineStr">
        <is>
          <t>Allmännings- och besparingsskogar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61361-2024</t>
        </is>
      </c>
      <c r="B425" s="1" t="n">
        <v>45646.38563657407</v>
      </c>
      <c r="C425" s="1" t="n">
        <v>45881</v>
      </c>
      <c r="D425" t="inlineStr">
        <is>
          <t>DALARNAS LÄN</t>
        </is>
      </c>
      <c r="E425" t="inlineStr">
        <is>
          <t>MALUNG-SÄLEN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61368-2024</t>
        </is>
      </c>
      <c r="B426" s="1" t="n">
        <v>45646.38755787037</v>
      </c>
      <c r="C426" s="1" t="n">
        <v>45881</v>
      </c>
      <c r="D426" t="inlineStr">
        <is>
          <t>DALARNAS LÄN</t>
        </is>
      </c>
      <c r="E426" t="inlineStr">
        <is>
          <t>MALUNG-SÄLEN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58840-2022</t>
        </is>
      </c>
      <c r="B427" s="1" t="n">
        <v>44903</v>
      </c>
      <c r="C427" s="1" t="n">
        <v>45881</v>
      </c>
      <c r="D427" t="inlineStr">
        <is>
          <t>DALARNAS LÄN</t>
        </is>
      </c>
      <c r="E427" t="inlineStr">
        <is>
          <t>MALUNG-SÄLEN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10364-2025</t>
        </is>
      </c>
      <c r="B428" s="1" t="n">
        <v>45720.54408564815</v>
      </c>
      <c r="C428" s="1" t="n">
        <v>45881</v>
      </c>
      <c r="D428" t="inlineStr">
        <is>
          <t>DALARNAS LÄN</t>
        </is>
      </c>
      <c r="E428" t="inlineStr">
        <is>
          <t>MALUNG-SÄLEN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2790-2024</t>
        </is>
      </c>
      <c r="B429" s="1" t="n">
        <v>45314.65690972222</v>
      </c>
      <c r="C429" s="1" t="n">
        <v>45881</v>
      </c>
      <c r="D429" t="inlineStr">
        <is>
          <t>DALARNAS LÄN</t>
        </is>
      </c>
      <c r="E429" t="inlineStr">
        <is>
          <t>MALUNG-SÄLEN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13812-2023</t>
        </is>
      </c>
      <c r="B430" s="1" t="n">
        <v>45007</v>
      </c>
      <c r="C430" s="1" t="n">
        <v>45881</v>
      </c>
      <c r="D430" t="inlineStr">
        <is>
          <t>DALARNAS LÄN</t>
        </is>
      </c>
      <c r="E430" t="inlineStr">
        <is>
          <t>MALUNG-SÄLEN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56289-2024</t>
        </is>
      </c>
      <c r="B431" s="1" t="n">
        <v>45624</v>
      </c>
      <c r="C431" s="1" t="n">
        <v>45881</v>
      </c>
      <c r="D431" t="inlineStr">
        <is>
          <t>DALARNAS LÄN</t>
        </is>
      </c>
      <c r="E431" t="inlineStr">
        <is>
          <t>MALUNG-SÄLEN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56297-2024</t>
        </is>
      </c>
      <c r="B432" s="1" t="n">
        <v>45624</v>
      </c>
      <c r="C432" s="1" t="n">
        <v>45881</v>
      </c>
      <c r="D432" t="inlineStr">
        <is>
          <t>DALARNAS LÄN</t>
        </is>
      </c>
      <c r="E432" t="inlineStr">
        <is>
          <t>MALUNG-SÄLEN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44761-2024</t>
        </is>
      </c>
      <c r="B433" s="1" t="n">
        <v>45574.61770833333</v>
      </c>
      <c r="C433" s="1" t="n">
        <v>45881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52238-2024</t>
        </is>
      </c>
      <c r="B434" s="1" t="n">
        <v>45608.61690972222</v>
      </c>
      <c r="C434" s="1" t="n">
        <v>45881</v>
      </c>
      <c r="D434" t="inlineStr">
        <is>
          <t>DALARNAS LÄN</t>
        </is>
      </c>
      <c r="E434" t="inlineStr">
        <is>
          <t>MALUNG-SÄLEN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113-2024</t>
        </is>
      </c>
      <c r="B435" s="1" t="n">
        <v>45294.35001157408</v>
      </c>
      <c r="C435" s="1" t="n">
        <v>45881</v>
      </c>
      <c r="D435" t="inlineStr">
        <is>
          <t>DALARNAS LÄN</t>
        </is>
      </c>
      <c r="E435" t="inlineStr">
        <is>
          <t>MALUNG-SÄLEN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58421-2024</t>
        </is>
      </c>
      <c r="B436" s="1" t="n">
        <v>45634.86971064815</v>
      </c>
      <c r="C436" s="1" t="n">
        <v>45881</v>
      </c>
      <c r="D436" t="inlineStr">
        <is>
          <t>DALARNAS LÄN</t>
        </is>
      </c>
      <c r="E436" t="inlineStr">
        <is>
          <t>MALUNG-SÄLEN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10704-2025</t>
        </is>
      </c>
      <c r="B437" s="1" t="n">
        <v>45722.33377314815</v>
      </c>
      <c r="C437" s="1" t="n">
        <v>45881</v>
      </c>
      <c r="D437" t="inlineStr">
        <is>
          <t>DALARNAS LÄN</t>
        </is>
      </c>
      <c r="E437" t="inlineStr">
        <is>
          <t>MALUNG-SÄLEN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37186-2024</t>
        </is>
      </c>
      <c r="B438" s="1" t="n">
        <v>45539.65193287037</v>
      </c>
      <c r="C438" s="1" t="n">
        <v>45881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39788-2024</t>
        </is>
      </c>
      <c r="B439" s="1" t="n">
        <v>45553.31802083334</v>
      </c>
      <c r="C439" s="1" t="n">
        <v>45881</v>
      </c>
      <c r="D439" t="inlineStr">
        <is>
          <t>DALARNAS LÄN</t>
        </is>
      </c>
      <c r="E439" t="inlineStr">
        <is>
          <t>MALUNG-SÄLEN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1694-2023</t>
        </is>
      </c>
      <c r="B440" s="1" t="n">
        <v>44938</v>
      </c>
      <c r="C440" s="1" t="n">
        <v>45881</v>
      </c>
      <c r="D440" t="inlineStr">
        <is>
          <t>DALARNAS LÄN</t>
        </is>
      </c>
      <c r="E440" t="inlineStr">
        <is>
          <t>MALUNG-SÄLEN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36024-2023</t>
        </is>
      </c>
      <c r="B441" s="1" t="n">
        <v>45149</v>
      </c>
      <c r="C441" s="1" t="n">
        <v>45881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45207-2023</t>
        </is>
      </c>
      <c r="B442" s="1" t="n">
        <v>45191</v>
      </c>
      <c r="C442" s="1" t="n">
        <v>45881</v>
      </c>
      <c r="D442" t="inlineStr">
        <is>
          <t>DALARNAS LÄN</t>
        </is>
      </c>
      <c r="E442" t="inlineStr">
        <is>
          <t>MALUNG-SÄLEN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24140-2022</t>
        </is>
      </c>
      <c r="B443" s="1" t="n">
        <v>44725</v>
      </c>
      <c r="C443" s="1" t="n">
        <v>45881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52857-2023</t>
        </is>
      </c>
      <c r="B444" s="1" t="n">
        <v>45226</v>
      </c>
      <c r="C444" s="1" t="n">
        <v>45881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13887-2025</t>
        </is>
      </c>
      <c r="B445" s="1" t="n">
        <v>45737</v>
      </c>
      <c r="C445" s="1" t="n">
        <v>45881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43808-2023</t>
        </is>
      </c>
      <c r="B446" s="1" t="n">
        <v>45187</v>
      </c>
      <c r="C446" s="1" t="n">
        <v>45881</v>
      </c>
      <c r="D446" t="inlineStr">
        <is>
          <t>DALARNAS LÄN</t>
        </is>
      </c>
      <c r="E446" t="inlineStr">
        <is>
          <t>MALUNG-SÄLEN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11594-2023</t>
        </is>
      </c>
      <c r="B447" s="1" t="n">
        <v>44994.37497685185</v>
      </c>
      <c r="C447" s="1" t="n">
        <v>45881</v>
      </c>
      <c r="D447" t="inlineStr">
        <is>
          <t>DALARNAS LÄN</t>
        </is>
      </c>
      <c r="E447" t="inlineStr">
        <is>
          <t>MALUNG-SÄLEN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1978-2025</t>
        </is>
      </c>
      <c r="B448" s="1" t="n">
        <v>45672.39789351852</v>
      </c>
      <c r="C448" s="1" t="n">
        <v>45881</v>
      </c>
      <c r="D448" t="inlineStr">
        <is>
          <t>DALARNAS LÄN</t>
        </is>
      </c>
      <c r="E448" t="inlineStr">
        <is>
          <t>MALUNG-SÄLEN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6254-2021</t>
        </is>
      </c>
      <c r="B449" s="1" t="n">
        <v>44235</v>
      </c>
      <c r="C449" s="1" t="n">
        <v>45881</v>
      </c>
      <c r="D449" t="inlineStr">
        <is>
          <t>DALARNAS LÄN</t>
        </is>
      </c>
      <c r="E449" t="inlineStr">
        <is>
          <t>MALUNG-SÄLEN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41324-2024</t>
        </is>
      </c>
      <c r="B450" s="1" t="n">
        <v>45559.65381944444</v>
      </c>
      <c r="C450" s="1" t="n">
        <v>45881</v>
      </c>
      <c r="D450" t="inlineStr">
        <is>
          <t>DALARNAS LÄN</t>
        </is>
      </c>
      <c r="E450" t="inlineStr">
        <is>
          <t>MALUNG-SÄLEN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62369-2022</t>
        </is>
      </c>
      <c r="B451" s="1" t="n">
        <v>44923</v>
      </c>
      <c r="C451" s="1" t="n">
        <v>45881</v>
      </c>
      <c r="D451" t="inlineStr">
        <is>
          <t>DALARNAS LÄN</t>
        </is>
      </c>
      <c r="E451" t="inlineStr">
        <is>
          <t>MALUNG-SÄLEN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51675-2022</t>
        </is>
      </c>
      <c r="B452" s="1" t="n">
        <v>44867</v>
      </c>
      <c r="C452" s="1" t="n">
        <v>45881</v>
      </c>
      <c r="D452" t="inlineStr">
        <is>
          <t>DALARNAS LÄN</t>
        </is>
      </c>
      <c r="E452" t="inlineStr">
        <is>
          <t>MALUNG-SÄLEN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54842-2023</t>
        </is>
      </c>
      <c r="B453" s="1" t="n">
        <v>45236.58135416666</v>
      </c>
      <c r="C453" s="1" t="n">
        <v>45881</v>
      </c>
      <c r="D453" t="inlineStr">
        <is>
          <t>DALARNAS LÄN</t>
        </is>
      </c>
      <c r="E453" t="inlineStr">
        <is>
          <t>MALUNG-SÄLEN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19659-2024</t>
        </is>
      </c>
      <c r="B454" s="1" t="n">
        <v>45432.45540509259</v>
      </c>
      <c r="C454" s="1" t="n">
        <v>45881</v>
      </c>
      <c r="D454" t="inlineStr">
        <is>
          <t>DALARNAS LÄN</t>
        </is>
      </c>
      <c r="E454" t="inlineStr">
        <is>
          <t>MALUNG-SÄLEN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19717-2024</t>
        </is>
      </c>
      <c r="B455" s="1" t="n">
        <v>45428</v>
      </c>
      <c r="C455" s="1" t="n">
        <v>45881</v>
      </c>
      <c r="D455" t="inlineStr">
        <is>
          <t>DALARNAS LÄN</t>
        </is>
      </c>
      <c r="E455" t="inlineStr">
        <is>
          <t>MALUNG-SÄLEN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19718-2024</t>
        </is>
      </c>
      <c r="B456" s="1" t="n">
        <v>45428</v>
      </c>
      <c r="C456" s="1" t="n">
        <v>45881</v>
      </c>
      <c r="D456" t="inlineStr">
        <is>
          <t>DALARNAS LÄN</t>
        </is>
      </c>
      <c r="E456" t="inlineStr">
        <is>
          <t>MALUNG-SÄLEN</t>
        </is>
      </c>
      <c r="G456" t="n">
        <v>17.3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45616-2024</t>
        </is>
      </c>
      <c r="B457" s="1" t="n">
        <v>45579</v>
      </c>
      <c r="C457" s="1" t="n">
        <v>45881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67310-2021</t>
        </is>
      </c>
      <c r="B458" s="1" t="n">
        <v>44523.65627314815</v>
      </c>
      <c r="C458" s="1" t="n">
        <v>45881</v>
      </c>
      <c r="D458" t="inlineStr">
        <is>
          <t>DALARNAS LÄN</t>
        </is>
      </c>
      <c r="E458" t="inlineStr">
        <is>
          <t>MALUNG-SÄLEN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28038-2025</t>
        </is>
      </c>
      <c r="B459" s="1" t="n">
        <v>45817.64203703704</v>
      </c>
      <c r="C459" s="1" t="n">
        <v>45881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11496-2025</t>
        </is>
      </c>
      <c r="B460" s="1" t="n">
        <v>45726.74026620371</v>
      </c>
      <c r="C460" s="1" t="n">
        <v>45881</v>
      </c>
      <c r="D460" t="inlineStr">
        <is>
          <t>DALARNAS LÄN</t>
        </is>
      </c>
      <c r="E460" t="inlineStr">
        <is>
          <t>MALUNG-SÄLEN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60441-2024</t>
        </is>
      </c>
      <c r="B461" s="1" t="n">
        <v>45643.59108796297</v>
      </c>
      <c r="C461" s="1" t="n">
        <v>45881</v>
      </c>
      <c r="D461" t="inlineStr">
        <is>
          <t>DALARNAS LÄN</t>
        </is>
      </c>
      <c r="E461" t="inlineStr">
        <is>
          <t>MALUNG-SÄLEN</t>
        </is>
      </c>
      <c r="F461" t="inlineStr">
        <is>
          <t>Övriga statliga verk och myndigheter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61804-2024</t>
        </is>
      </c>
      <c r="B462" s="1" t="n">
        <v>45649.57260416666</v>
      </c>
      <c r="C462" s="1" t="n">
        <v>45881</v>
      </c>
      <c r="D462" t="inlineStr">
        <is>
          <t>DALARNAS LÄN</t>
        </is>
      </c>
      <c r="E462" t="inlineStr">
        <is>
          <t>MALUNG-SÄLEN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60769-2023</t>
        </is>
      </c>
      <c r="B463" s="1" t="n">
        <v>45260</v>
      </c>
      <c r="C463" s="1" t="n">
        <v>45881</v>
      </c>
      <c r="D463" t="inlineStr">
        <is>
          <t>DALARNAS LÄN</t>
        </is>
      </c>
      <c r="E463" t="inlineStr">
        <is>
          <t>MALUNG-SÄLEN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62002-2024</t>
        </is>
      </c>
      <c r="B464" s="1" t="n">
        <v>45654.49903935185</v>
      </c>
      <c r="C464" s="1" t="n">
        <v>45881</v>
      </c>
      <c r="D464" t="inlineStr">
        <is>
          <t>DALARNAS LÄN</t>
        </is>
      </c>
      <c r="E464" t="inlineStr">
        <is>
          <t>MALUNG-SÄLEN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53146-2023</t>
        </is>
      </c>
      <c r="B465" s="1" t="n">
        <v>45229.35541666667</v>
      </c>
      <c r="C465" s="1" t="n">
        <v>45881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Övriga statliga verk och myndigheter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45963-2024</t>
        </is>
      </c>
      <c r="B466" s="1" t="n">
        <v>45580.57578703704</v>
      </c>
      <c r="C466" s="1" t="n">
        <v>45881</v>
      </c>
      <c r="D466" t="inlineStr">
        <is>
          <t>DALARNAS LÄN</t>
        </is>
      </c>
      <c r="E466" t="inlineStr">
        <is>
          <t>MALUNG-SÄLEN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50039-2023</t>
        </is>
      </c>
      <c r="B467" s="1" t="n">
        <v>45215.49019675926</v>
      </c>
      <c r="C467" s="1" t="n">
        <v>45881</v>
      </c>
      <c r="D467" t="inlineStr">
        <is>
          <t>DALARNAS LÄN</t>
        </is>
      </c>
      <c r="E467" t="inlineStr">
        <is>
          <t>MALUNG-SÄLEN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19275-2024</t>
        </is>
      </c>
      <c r="B468" s="1" t="n">
        <v>45428.64856481482</v>
      </c>
      <c r="C468" s="1" t="n">
        <v>45881</v>
      </c>
      <c r="D468" t="inlineStr">
        <is>
          <t>DALARNAS LÄN</t>
        </is>
      </c>
      <c r="E468" t="inlineStr">
        <is>
          <t>MALUNG-SÄLEN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53490-2024</t>
        </is>
      </c>
      <c r="B469" s="1" t="n">
        <v>45614</v>
      </c>
      <c r="C469" s="1" t="n">
        <v>45881</v>
      </c>
      <c r="D469" t="inlineStr">
        <is>
          <t>DALARNAS LÄN</t>
        </is>
      </c>
      <c r="E469" t="inlineStr">
        <is>
          <t>MALUNG-SÄLEN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24132-2023</t>
        </is>
      </c>
      <c r="B470" s="1" t="n">
        <v>45079</v>
      </c>
      <c r="C470" s="1" t="n">
        <v>45881</v>
      </c>
      <c r="D470" t="inlineStr">
        <is>
          <t>DALARNAS LÄN</t>
        </is>
      </c>
      <c r="E470" t="inlineStr">
        <is>
          <t>MALUNG-SÄLEN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54887-2024</t>
        </is>
      </c>
      <c r="B471" s="1" t="n">
        <v>45618.6262037037</v>
      </c>
      <c r="C471" s="1" t="n">
        <v>45881</v>
      </c>
      <c r="D471" t="inlineStr">
        <is>
          <t>DALARNAS LÄN</t>
        </is>
      </c>
      <c r="E471" t="inlineStr">
        <is>
          <t>MALUNG-SÄLEN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58871-2024</t>
        </is>
      </c>
      <c r="B472" s="1" t="n">
        <v>45636.43981481482</v>
      </c>
      <c r="C472" s="1" t="n">
        <v>45881</v>
      </c>
      <c r="D472" t="inlineStr">
        <is>
          <t>DALARNAS LÄN</t>
        </is>
      </c>
      <c r="E472" t="inlineStr">
        <is>
          <t>MALUNG-SÄLEN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44574-2024</t>
        </is>
      </c>
      <c r="B473" s="1" t="n">
        <v>45574.48344907408</v>
      </c>
      <c r="C473" s="1" t="n">
        <v>45881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öst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52526-2023</t>
        </is>
      </c>
      <c r="B474" s="1" t="n">
        <v>45225.51958333333</v>
      </c>
      <c r="C474" s="1" t="n">
        <v>45881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24959-2024</t>
        </is>
      </c>
      <c r="B475" s="1" t="n">
        <v>45461.64259259259</v>
      </c>
      <c r="C475" s="1" t="n">
        <v>45881</v>
      </c>
      <c r="D475" t="inlineStr">
        <is>
          <t>DALARNAS LÄN</t>
        </is>
      </c>
      <c r="E475" t="inlineStr">
        <is>
          <t>MALUNG-SÄLEN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24962-2024</t>
        </is>
      </c>
      <c r="B476" s="1" t="n">
        <v>45461.64377314815</v>
      </c>
      <c r="C476" s="1" t="n">
        <v>45881</v>
      </c>
      <c r="D476" t="inlineStr">
        <is>
          <t>DALARNAS LÄN</t>
        </is>
      </c>
      <c r="E476" t="inlineStr">
        <is>
          <t>MALUNG-SÄLEN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8014-2021</t>
        </is>
      </c>
      <c r="B477" s="1" t="n">
        <v>44243</v>
      </c>
      <c r="C477" s="1" t="n">
        <v>45881</v>
      </c>
      <c r="D477" t="inlineStr">
        <is>
          <t>DALARNAS LÄN</t>
        </is>
      </c>
      <c r="E477" t="inlineStr">
        <is>
          <t>MALUNG-SÄLEN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1252-2023</t>
        </is>
      </c>
      <c r="B478" s="1" t="n">
        <v>44936</v>
      </c>
      <c r="C478" s="1" t="n">
        <v>45881</v>
      </c>
      <c r="D478" t="inlineStr">
        <is>
          <t>DALARNAS LÄN</t>
        </is>
      </c>
      <c r="E478" t="inlineStr">
        <is>
          <t>MALUNG-SÄLEN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26837-2024</t>
        </is>
      </c>
      <c r="B479" s="1" t="n">
        <v>45470.57494212963</v>
      </c>
      <c r="C479" s="1" t="n">
        <v>45881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33426-2024</t>
        </is>
      </c>
      <c r="B480" s="1" t="n">
        <v>45519.51989583333</v>
      </c>
      <c r="C480" s="1" t="n">
        <v>45881</v>
      </c>
      <c r="D480" t="inlineStr">
        <is>
          <t>DALARNAS LÄN</t>
        </is>
      </c>
      <c r="E480" t="inlineStr">
        <is>
          <t>MALUNG-SÄLEN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36539-2023</t>
        </is>
      </c>
      <c r="B481" s="1" t="n">
        <v>45153.35951388889</v>
      </c>
      <c r="C481" s="1" t="n">
        <v>45881</v>
      </c>
      <c r="D481" t="inlineStr">
        <is>
          <t>DALARNAS LÄN</t>
        </is>
      </c>
      <c r="E481" t="inlineStr">
        <is>
          <t>MALUNG-SÄLEN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47963-2023</t>
        </is>
      </c>
      <c r="B482" s="1" t="n">
        <v>45204.59987268518</v>
      </c>
      <c r="C482" s="1" t="n">
        <v>45881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9380-2023</t>
        </is>
      </c>
      <c r="B483" s="1" t="n">
        <v>44981</v>
      </c>
      <c r="C483" s="1" t="n">
        <v>45881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2209-2025</t>
        </is>
      </c>
      <c r="B484" s="1" t="n">
        <v>45673.42950231482</v>
      </c>
      <c r="C484" s="1" t="n">
        <v>45881</v>
      </c>
      <c r="D484" t="inlineStr">
        <is>
          <t>DALARNAS LÄN</t>
        </is>
      </c>
      <c r="E484" t="inlineStr">
        <is>
          <t>MALUNG-SÄLEN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21323-2025</t>
        </is>
      </c>
      <c r="B485" s="1" t="n">
        <v>45782.34641203703</v>
      </c>
      <c r="C485" s="1" t="n">
        <v>45881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51399-2024</t>
        </is>
      </c>
      <c r="B486" s="1" t="n">
        <v>45604.42353009259</v>
      </c>
      <c r="C486" s="1" t="n">
        <v>45881</v>
      </c>
      <c r="D486" t="inlineStr">
        <is>
          <t>DALARNAS LÄN</t>
        </is>
      </c>
      <c r="E486" t="inlineStr">
        <is>
          <t>MALUNG-SÄLEN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20228-2021</t>
        </is>
      </c>
      <c r="B487" s="1" t="n">
        <v>44314.6203587963</v>
      </c>
      <c r="C487" s="1" t="n">
        <v>45881</v>
      </c>
      <c r="D487" t="inlineStr">
        <is>
          <t>DALARNAS LÄN</t>
        </is>
      </c>
      <c r="E487" t="inlineStr">
        <is>
          <t>MALUNG-SÄLEN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6106-2022</t>
        </is>
      </c>
      <c r="B488" s="1" t="n">
        <v>44599</v>
      </c>
      <c r="C488" s="1" t="n">
        <v>45881</v>
      </c>
      <c r="D488" t="inlineStr">
        <is>
          <t>DALARNAS LÄN</t>
        </is>
      </c>
      <c r="E488" t="inlineStr">
        <is>
          <t>MALUNG-SÄLEN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57965-2024</t>
        </is>
      </c>
      <c r="B489" s="1" t="n">
        <v>45631.595625</v>
      </c>
      <c r="C489" s="1" t="n">
        <v>45881</v>
      </c>
      <c r="D489" t="inlineStr">
        <is>
          <t>DALARNAS LÄN</t>
        </is>
      </c>
      <c r="E489" t="inlineStr">
        <is>
          <t>MALUNG-SÄLEN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8823-2024</t>
        </is>
      </c>
      <c r="B490" s="1" t="n">
        <v>45355</v>
      </c>
      <c r="C490" s="1" t="n">
        <v>45881</v>
      </c>
      <c r="D490" t="inlineStr">
        <is>
          <t>DALARNAS LÄN</t>
        </is>
      </c>
      <c r="E490" t="inlineStr">
        <is>
          <t>MALUNG-SÄLEN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8825-2024</t>
        </is>
      </c>
      <c r="B491" s="1" t="n">
        <v>45355</v>
      </c>
      <c r="C491" s="1" t="n">
        <v>45881</v>
      </c>
      <c r="D491" t="inlineStr">
        <is>
          <t>DALARNAS LÄN</t>
        </is>
      </c>
      <c r="E491" t="inlineStr">
        <is>
          <t>MALUNG-SÄLEN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38977-2024</t>
        </is>
      </c>
      <c r="B492" s="1" t="n">
        <v>45548.38673611111</v>
      </c>
      <c r="C492" s="1" t="n">
        <v>45881</v>
      </c>
      <c r="D492" t="inlineStr">
        <is>
          <t>DALARNAS LÄN</t>
        </is>
      </c>
      <c r="E492" t="inlineStr">
        <is>
          <t>MALUNG-SÄLEN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55058-2024</t>
        </is>
      </c>
      <c r="B493" s="1" t="n">
        <v>45621.4028587963</v>
      </c>
      <c r="C493" s="1" t="n">
        <v>45881</v>
      </c>
      <c r="D493" t="inlineStr">
        <is>
          <t>DALARNAS LÄN</t>
        </is>
      </c>
      <c r="E493" t="inlineStr">
        <is>
          <t>MALUNG-SÄLEN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32930-2024</t>
        </is>
      </c>
      <c r="B494" s="1" t="n">
        <v>45517.30841435185</v>
      </c>
      <c r="C494" s="1" t="n">
        <v>45881</v>
      </c>
      <c r="D494" t="inlineStr">
        <is>
          <t>DALARNAS LÄN</t>
        </is>
      </c>
      <c r="E494" t="inlineStr">
        <is>
          <t>MALUNG-SÄLEN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41433-2024</t>
        </is>
      </c>
      <c r="B495" s="1" t="n">
        <v>45560.36578703704</v>
      </c>
      <c r="C495" s="1" t="n">
        <v>45881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46887-2024</t>
        </is>
      </c>
      <c r="B496" s="1" t="n">
        <v>45583.66347222222</v>
      </c>
      <c r="C496" s="1" t="n">
        <v>45881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11875-2025</t>
        </is>
      </c>
      <c r="B497" s="1" t="n">
        <v>45728.43846064815</v>
      </c>
      <c r="C497" s="1" t="n">
        <v>45881</v>
      </c>
      <c r="D497" t="inlineStr">
        <is>
          <t>DALARNAS LÄN</t>
        </is>
      </c>
      <c r="E497" t="inlineStr">
        <is>
          <t>MALUNG-SÄLEN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58920-2024</t>
        </is>
      </c>
      <c r="B498" s="1" t="n">
        <v>45636</v>
      </c>
      <c r="C498" s="1" t="n">
        <v>45881</v>
      </c>
      <c r="D498" t="inlineStr">
        <is>
          <t>DALARNAS LÄN</t>
        </is>
      </c>
      <c r="E498" t="inlineStr">
        <is>
          <t>MALUNG-SÄLEN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19316-2025</t>
        </is>
      </c>
      <c r="B499" s="1" t="n">
        <v>45769.57763888889</v>
      </c>
      <c r="C499" s="1" t="n">
        <v>45881</v>
      </c>
      <c r="D499" t="inlineStr">
        <is>
          <t>DALARNAS LÄN</t>
        </is>
      </c>
      <c r="E499" t="inlineStr">
        <is>
          <t>MALUNG-SÄLEN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138-2025</t>
        </is>
      </c>
      <c r="B500" s="1" t="n">
        <v>45659.57883101852</v>
      </c>
      <c r="C500" s="1" t="n">
        <v>45881</v>
      </c>
      <c r="D500" t="inlineStr">
        <is>
          <t>DALARNAS LÄN</t>
        </is>
      </c>
      <c r="E500" t="inlineStr">
        <is>
          <t>MALUNG-SÄLEN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19944-2021</t>
        </is>
      </c>
      <c r="B501" s="1" t="n">
        <v>44313.6144212963</v>
      </c>
      <c r="C501" s="1" t="n">
        <v>45881</v>
      </c>
      <c r="D501" t="inlineStr">
        <is>
          <t>DALARNAS LÄN</t>
        </is>
      </c>
      <c r="E501" t="inlineStr">
        <is>
          <t>MALUNG-SÄLEN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8735-2025</t>
        </is>
      </c>
      <c r="B502" s="1" t="n">
        <v>45712.54076388889</v>
      </c>
      <c r="C502" s="1" t="n">
        <v>45881</v>
      </c>
      <c r="D502" t="inlineStr">
        <is>
          <t>DALARNAS LÄN</t>
        </is>
      </c>
      <c r="E502" t="inlineStr">
        <is>
          <t>MALUNG-SÄLEN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34519-2024</t>
        </is>
      </c>
      <c r="B503" s="1" t="n">
        <v>45525.67523148148</v>
      </c>
      <c r="C503" s="1" t="n">
        <v>45881</v>
      </c>
      <c r="D503" t="inlineStr">
        <is>
          <t>DALARNAS LÄN</t>
        </is>
      </c>
      <c r="E503" t="inlineStr">
        <is>
          <t>MALUNG-SÄLEN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21368-2021</t>
        </is>
      </c>
      <c r="B504" s="1" t="n">
        <v>44321</v>
      </c>
      <c r="C504" s="1" t="n">
        <v>45881</v>
      </c>
      <c r="D504" t="inlineStr">
        <is>
          <t>DALARNAS LÄN</t>
        </is>
      </c>
      <c r="E504" t="inlineStr">
        <is>
          <t>MALUNG-SÄLEN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60046-2024</t>
        </is>
      </c>
      <c r="B505" s="1" t="n">
        <v>45642.47443287037</v>
      </c>
      <c r="C505" s="1" t="n">
        <v>45881</v>
      </c>
      <c r="D505" t="inlineStr">
        <is>
          <t>DALARNAS LÄN</t>
        </is>
      </c>
      <c r="E505" t="inlineStr">
        <is>
          <t>MALUNG-SÄLEN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52142-2024</t>
        </is>
      </c>
      <c r="B506" s="1" t="n">
        <v>45608</v>
      </c>
      <c r="C506" s="1" t="n">
        <v>45881</v>
      </c>
      <c r="D506" t="inlineStr">
        <is>
          <t>DALARNAS LÄN</t>
        </is>
      </c>
      <c r="E506" t="inlineStr">
        <is>
          <t>MALUNG-SÄLEN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47979-2023</t>
        </is>
      </c>
      <c r="B507" s="1" t="n">
        <v>45204.61577546296</v>
      </c>
      <c r="C507" s="1" t="n">
        <v>45881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29344-2024</t>
        </is>
      </c>
      <c r="B508" s="1" t="n">
        <v>45483.47208333333</v>
      </c>
      <c r="C508" s="1" t="n">
        <v>45881</v>
      </c>
      <c r="D508" t="inlineStr">
        <is>
          <t>DALARNAS LÄN</t>
        </is>
      </c>
      <c r="E508" t="inlineStr">
        <is>
          <t>MALUNG-SÄLEN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7006-2025</t>
        </is>
      </c>
      <c r="B509" s="1" t="n">
        <v>45701.60194444445</v>
      </c>
      <c r="C509" s="1" t="n">
        <v>45881</v>
      </c>
      <c r="D509" t="inlineStr">
        <is>
          <t>DALARNAS LÄN</t>
        </is>
      </c>
      <c r="E509" t="inlineStr">
        <is>
          <t>MALUNG-SÄLEN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15734-2021</t>
        </is>
      </c>
      <c r="B510" s="1" t="n">
        <v>44286.4887037037</v>
      </c>
      <c r="C510" s="1" t="n">
        <v>45881</v>
      </c>
      <c r="D510" t="inlineStr">
        <is>
          <t>DALARNAS LÄN</t>
        </is>
      </c>
      <c r="E510" t="inlineStr">
        <is>
          <t>MALUNG-SÄLEN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29217-2024</t>
        </is>
      </c>
      <c r="B511" s="1" t="n">
        <v>45482.68785879629</v>
      </c>
      <c r="C511" s="1" t="n">
        <v>45881</v>
      </c>
      <c r="D511" t="inlineStr">
        <is>
          <t>DALARNAS LÄN</t>
        </is>
      </c>
      <c r="E511" t="inlineStr">
        <is>
          <t>MALUNG-SÄLEN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59357-2024</t>
        </is>
      </c>
      <c r="B512" s="1" t="n">
        <v>45638.31672453704</v>
      </c>
      <c r="C512" s="1" t="n">
        <v>45881</v>
      </c>
      <c r="D512" t="inlineStr">
        <is>
          <t>DALARNAS LÄN</t>
        </is>
      </c>
      <c r="E512" t="inlineStr">
        <is>
          <t>MALUNG-SÄLEN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4074-2025</t>
        </is>
      </c>
      <c r="B513" s="1" t="n">
        <v>45684.63780092593</v>
      </c>
      <c r="C513" s="1" t="n">
        <v>45881</v>
      </c>
      <c r="D513" t="inlineStr">
        <is>
          <t>DALARNAS LÄN</t>
        </is>
      </c>
      <c r="E513" t="inlineStr">
        <is>
          <t>MALUNG-SÄLEN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17165-2023</t>
        </is>
      </c>
      <c r="B514" s="1" t="n">
        <v>45034.64519675926</v>
      </c>
      <c r="C514" s="1" t="n">
        <v>45881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17167-2023</t>
        </is>
      </c>
      <c r="B515" s="1" t="n">
        <v>45034.64752314815</v>
      </c>
      <c r="C515" s="1" t="n">
        <v>45881</v>
      </c>
      <c r="D515" t="inlineStr">
        <is>
          <t>DALARNAS LÄN</t>
        </is>
      </c>
      <c r="E515" t="inlineStr">
        <is>
          <t>MALUNG-SÄLEN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19856-2023</t>
        </is>
      </c>
      <c r="B516" s="1" t="n">
        <v>45053</v>
      </c>
      <c r="C516" s="1" t="n">
        <v>45881</v>
      </c>
      <c r="D516" t="inlineStr">
        <is>
          <t>DALARNAS LÄN</t>
        </is>
      </c>
      <c r="E516" t="inlineStr">
        <is>
          <t>MALUNG-SÄLEN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54490-2023</t>
        </is>
      </c>
      <c r="B517" s="1" t="n">
        <v>45233</v>
      </c>
      <c r="C517" s="1" t="n">
        <v>45881</v>
      </c>
      <c r="D517" t="inlineStr">
        <is>
          <t>DALARNAS LÄN</t>
        </is>
      </c>
      <c r="E517" t="inlineStr">
        <is>
          <t>MALUNG-SÄLEN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18637-2021</t>
        </is>
      </c>
      <c r="B518" s="1" t="n">
        <v>44306</v>
      </c>
      <c r="C518" s="1" t="n">
        <v>45881</v>
      </c>
      <c r="D518" t="inlineStr">
        <is>
          <t>DALARNAS LÄN</t>
        </is>
      </c>
      <c r="E518" t="inlineStr">
        <is>
          <t>MALUNG-SÄLEN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57423-2024</t>
        </is>
      </c>
      <c r="B519" s="1" t="n">
        <v>45629.81228009259</v>
      </c>
      <c r="C519" s="1" t="n">
        <v>45881</v>
      </c>
      <c r="D519" t="inlineStr">
        <is>
          <t>DALARNAS LÄN</t>
        </is>
      </c>
      <c r="E519" t="inlineStr">
        <is>
          <t>MALUNG-SÄLEN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17583-2023</t>
        </is>
      </c>
      <c r="B520" s="1" t="n">
        <v>45036.58005787037</v>
      </c>
      <c r="C520" s="1" t="n">
        <v>45881</v>
      </c>
      <c r="D520" t="inlineStr">
        <is>
          <t>DALARNAS LÄN</t>
        </is>
      </c>
      <c r="E520" t="inlineStr">
        <is>
          <t>MALUNG-SÄLEN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31223-2024</t>
        </is>
      </c>
      <c r="B521" s="1" t="n">
        <v>45503.61224537037</v>
      </c>
      <c r="C521" s="1" t="n">
        <v>45881</v>
      </c>
      <c r="D521" t="inlineStr">
        <is>
          <t>DALARNAS LÄN</t>
        </is>
      </c>
      <c r="E521" t="inlineStr">
        <is>
          <t>MALUNG-SÄLEN</t>
        </is>
      </c>
      <c r="F521" t="inlineStr">
        <is>
          <t>Övriga statliga verk och myndigheter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57820-2024</t>
        </is>
      </c>
      <c r="B522" s="1" t="n">
        <v>45631.3825462963</v>
      </c>
      <c r="C522" s="1" t="n">
        <v>45881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23790-2024</t>
        </is>
      </c>
      <c r="B523" s="1" t="n">
        <v>45455.42601851852</v>
      </c>
      <c r="C523" s="1" t="n">
        <v>45881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12842-2022</t>
        </is>
      </c>
      <c r="B524" s="1" t="n">
        <v>44641</v>
      </c>
      <c r="C524" s="1" t="n">
        <v>45881</v>
      </c>
      <c r="D524" t="inlineStr">
        <is>
          <t>DALARNAS LÄN</t>
        </is>
      </c>
      <c r="E524" t="inlineStr">
        <is>
          <t>MALUNG-SÄLEN</t>
        </is>
      </c>
      <c r="F524" t="inlineStr">
        <is>
          <t>Allmännings- och besparingsskogar</t>
        </is>
      </c>
      <c r="G524" t="n">
        <v>35.1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60439-2022</t>
        </is>
      </c>
      <c r="B525" s="1" t="n">
        <v>44911.35559027778</v>
      </c>
      <c r="C525" s="1" t="n">
        <v>45881</v>
      </c>
      <c r="D525" t="inlineStr">
        <is>
          <t>DALARNAS LÄN</t>
        </is>
      </c>
      <c r="E525" t="inlineStr">
        <is>
          <t>MALUNG-SÄLEN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59643-2024</t>
        </is>
      </c>
      <c r="B526" s="1" t="n">
        <v>45639.31525462963</v>
      </c>
      <c r="C526" s="1" t="n">
        <v>45881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11589-2025</t>
        </is>
      </c>
      <c r="B527" s="1" t="n">
        <v>45727.40954861111</v>
      </c>
      <c r="C527" s="1" t="n">
        <v>45881</v>
      </c>
      <c r="D527" t="inlineStr">
        <is>
          <t>DALARNAS LÄN</t>
        </is>
      </c>
      <c r="E527" t="inlineStr">
        <is>
          <t>MALUNG-SÄLEN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14993-2024</t>
        </is>
      </c>
      <c r="B528" s="1" t="n">
        <v>45399.3711574074</v>
      </c>
      <c r="C528" s="1" t="n">
        <v>45881</v>
      </c>
      <c r="D528" t="inlineStr">
        <is>
          <t>DALARNAS LÄN</t>
        </is>
      </c>
      <c r="E528" t="inlineStr">
        <is>
          <t>MALUNG-SÄLEN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37681-2024</t>
        </is>
      </c>
      <c r="B529" s="1" t="n">
        <v>45541.58900462963</v>
      </c>
      <c r="C529" s="1" t="n">
        <v>45881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20021-2023</t>
        </is>
      </c>
      <c r="B530" s="1" t="n">
        <v>45054</v>
      </c>
      <c r="C530" s="1" t="n">
        <v>45881</v>
      </c>
      <c r="D530" t="inlineStr">
        <is>
          <t>DALARNAS LÄN</t>
        </is>
      </c>
      <c r="E530" t="inlineStr">
        <is>
          <t>MALUNG-SÄLEN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37-2025</t>
        </is>
      </c>
      <c r="B531" s="1" t="n">
        <v>45659.32552083334</v>
      </c>
      <c r="C531" s="1" t="n">
        <v>45881</v>
      </c>
      <c r="D531" t="inlineStr">
        <is>
          <t>DALARNAS LÄN</t>
        </is>
      </c>
      <c r="E531" t="inlineStr">
        <is>
          <t>MALUNG-SÄLEN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47190-2020</t>
        </is>
      </c>
      <c r="B532" s="1" t="n">
        <v>44097</v>
      </c>
      <c r="C532" s="1" t="n">
        <v>45881</v>
      </c>
      <c r="D532" t="inlineStr">
        <is>
          <t>DALARNAS LÄN</t>
        </is>
      </c>
      <c r="E532" t="inlineStr">
        <is>
          <t>MALUNG-SÄLEN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20026-2023</t>
        </is>
      </c>
      <c r="B533" s="1" t="n">
        <v>45054</v>
      </c>
      <c r="C533" s="1" t="n">
        <v>45881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51533-2021</t>
        </is>
      </c>
      <c r="B534" s="1" t="n">
        <v>44462</v>
      </c>
      <c r="C534" s="1" t="n">
        <v>45881</v>
      </c>
      <c r="D534" t="inlineStr">
        <is>
          <t>DALARNAS LÄN</t>
        </is>
      </c>
      <c r="E534" t="inlineStr">
        <is>
          <t>MALUNG-SÄLEN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185-2021</t>
        </is>
      </c>
      <c r="B535" s="1" t="n">
        <v>44200</v>
      </c>
      <c r="C535" s="1" t="n">
        <v>45881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37200-2024</t>
        </is>
      </c>
      <c r="B536" s="1" t="n">
        <v>45539.67239583333</v>
      </c>
      <c r="C536" s="1" t="n">
        <v>45881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63277-2021</t>
        </is>
      </c>
      <c r="B537" s="1" t="n">
        <v>44508.40581018518</v>
      </c>
      <c r="C537" s="1" t="n">
        <v>45881</v>
      </c>
      <c r="D537" t="inlineStr">
        <is>
          <t>DALARNAS LÄN</t>
        </is>
      </c>
      <c r="E537" t="inlineStr">
        <is>
          <t>MALUNG-SÄLEN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23953-2023</t>
        </is>
      </c>
      <c r="B538" s="1" t="n">
        <v>45078.62092592593</v>
      </c>
      <c r="C538" s="1" t="n">
        <v>45881</v>
      </c>
      <c r="D538" t="inlineStr">
        <is>
          <t>DALARNAS LÄN</t>
        </is>
      </c>
      <c r="E538" t="inlineStr">
        <is>
          <t>MALUNG-SÄLEN</t>
        </is>
      </c>
      <c r="F538" t="inlineStr">
        <is>
          <t>Bergvik skog öst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58419-2024</t>
        </is>
      </c>
      <c r="B539" s="1" t="n">
        <v>45634.8659375</v>
      </c>
      <c r="C539" s="1" t="n">
        <v>45881</v>
      </c>
      <c r="D539" t="inlineStr">
        <is>
          <t>DALARNAS LÄN</t>
        </is>
      </c>
      <c r="E539" t="inlineStr">
        <is>
          <t>MALUNG-SÄLEN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58422-2024</t>
        </is>
      </c>
      <c r="B540" s="1" t="n">
        <v>45634.87394675926</v>
      </c>
      <c r="C540" s="1" t="n">
        <v>45881</v>
      </c>
      <c r="D540" t="inlineStr">
        <is>
          <t>DALARNAS LÄN</t>
        </is>
      </c>
      <c r="E540" t="inlineStr">
        <is>
          <t>MALUNG-SÄLEN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9065-2025</t>
        </is>
      </c>
      <c r="B541" s="1" t="n">
        <v>45713</v>
      </c>
      <c r="C541" s="1" t="n">
        <v>45881</v>
      </c>
      <c r="D541" t="inlineStr">
        <is>
          <t>DALARNAS LÄN</t>
        </is>
      </c>
      <c r="E541" t="inlineStr">
        <is>
          <t>MALUNG-SÄLEN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63890-2020</t>
        </is>
      </c>
      <c r="B542" s="1" t="n">
        <v>44166</v>
      </c>
      <c r="C542" s="1" t="n">
        <v>45881</v>
      </c>
      <c r="D542" t="inlineStr">
        <is>
          <t>DALARNAS LÄN</t>
        </is>
      </c>
      <c r="E542" t="inlineStr">
        <is>
          <t>MALUNG-SÄLEN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61202-2024</t>
        </is>
      </c>
      <c r="B543" s="1" t="n">
        <v>45645.63621527778</v>
      </c>
      <c r="C543" s="1" t="n">
        <v>45881</v>
      </c>
      <c r="D543" t="inlineStr">
        <is>
          <t>DALARNAS LÄN</t>
        </is>
      </c>
      <c r="E543" t="inlineStr">
        <is>
          <t>MALUNG-SÄLEN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27559-2023</t>
        </is>
      </c>
      <c r="B544" s="1" t="n">
        <v>45097</v>
      </c>
      <c r="C544" s="1" t="n">
        <v>45881</v>
      </c>
      <c r="D544" t="inlineStr">
        <is>
          <t>DALARNAS LÄN</t>
        </is>
      </c>
      <c r="E544" t="inlineStr">
        <is>
          <t>MALUNG-SÄLEN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60015-2024</t>
        </is>
      </c>
      <c r="B545" s="1" t="n">
        <v>45642.43729166667</v>
      </c>
      <c r="C545" s="1" t="n">
        <v>45881</v>
      </c>
      <c r="D545" t="inlineStr">
        <is>
          <t>DALARNAS LÄN</t>
        </is>
      </c>
      <c r="E545" t="inlineStr">
        <is>
          <t>MALUNG-SÄLEN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49800-2024</t>
        </is>
      </c>
      <c r="B546" s="1" t="n">
        <v>45597.38252314815</v>
      </c>
      <c r="C546" s="1" t="n">
        <v>45881</v>
      </c>
      <c r="D546" t="inlineStr">
        <is>
          <t>DALARNAS LÄN</t>
        </is>
      </c>
      <c r="E546" t="inlineStr">
        <is>
          <t>MALUNG-SÄLEN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22772-2023</t>
        </is>
      </c>
      <c r="B547" s="1" t="n">
        <v>45072</v>
      </c>
      <c r="C547" s="1" t="n">
        <v>45881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1463-2025</t>
        </is>
      </c>
      <c r="B548" s="1" t="n">
        <v>45670</v>
      </c>
      <c r="C548" s="1" t="n">
        <v>45881</v>
      </c>
      <c r="D548" t="inlineStr">
        <is>
          <t>DALARNAS LÄN</t>
        </is>
      </c>
      <c r="E548" t="inlineStr">
        <is>
          <t>MALUNG-SÄLEN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47513-2023</t>
        </is>
      </c>
      <c r="B549" s="1" t="n">
        <v>45203.31983796296</v>
      </c>
      <c r="C549" s="1" t="n">
        <v>45881</v>
      </c>
      <c r="D549" t="inlineStr">
        <is>
          <t>DALARNAS LÄN</t>
        </is>
      </c>
      <c r="E549" t="inlineStr">
        <is>
          <t>MALUNG-SÄLEN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32602-2023</t>
        </is>
      </c>
      <c r="B550" s="1" t="n">
        <v>45121.52883101852</v>
      </c>
      <c r="C550" s="1" t="n">
        <v>45881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22647-2025</t>
        </is>
      </c>
      <c r="B551" s="1" t="n">
        <v>45789</v>
      </c>
      <c r="C551" s="1" t="n">
        <v>45881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2722-2025</t>
        </is>
      </c>
      <c r="B552" s="1" t="n">
        <v>45677.43952546296</v>
      </c>
      <c r="C552" s="1" t="n">
        <v>45881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42548-2023</t>
        </is>
      </c>
      <c r="B553" s="1" t="n">
        <v>45181.37539351852</v>
      </c>
      <c r="C553" s="1" t="n">
        <v>45881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9168-2025</t>
        </is>
      </c>
      <c r="B554" s="1" t="n">
        <v>45713</v>
      </c>
      <c r="C554" s="1" t="n">
        <v>45881</v>
      </c>
      <c r="D554" t="inlineStr">
        <is>
          <t>DALARNAS LÄN</t>
        </is>
      </c>
      <c r="E554" t="inlineStr">
        <is>
          <t>MALUNG-SÄLEN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23422-2023</t>
        </is>
      </c>
      <c r="B555" s="1" t="n">
        <v>45072</v>
      </c>
      <c r="C555" s="1" t="n">
        <v>45881</v>
      </c>
      <c r="D555" t="inlineStr">
        <is>
          <t>DALARNAS LÄN</t>
        </is>
      </c>
      <c r="E555" t="inlineStr">
        <is>
          <t>MALUNG-SÄLEN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46287-2023</t>
        </is>
      </c>
      <c r="B556" s="1" t="n">
        <v>45197.29984953703</v>
      </c>
      <c r="C556" s="1" t="n">
        <v>45881</v>
      </c>
      <c r="D556" t="inlineStr">
        <is>
          <t>DALARNAS LÄN</t>
        </is>
      </c>
      <c r="E556" t="inlineStr">
        <is>
          <t>MALUNG-SÄLEN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48156-2023</t>
        </is>
      </c>
      <c r="B557" s="1" t="n">
        <v>45201</v>
      </c>
      <c r="C557" s="1" t="n">
        <v>45881</v>
      </c>
      <c r="D557" t="inlineStr">
        <is>
          <t>DALARNAS LÄN</t>
        </is>
      </c>
      <c r="E557" t="inlineStr">
        <is>
          <t>MALUNG-SÄLEN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48135-2023</t>
        </is>
      </c>
      <c r="B558" s="1" t="n">
        <v>45205.38287037037</v>
      </c>
      <c r="C558" s="1" t="n">
        <v>45881</v>
      </c>
      <c r="D558" t="inlineStr">
        <is>
          <t>DALARNAS LÄN</t>
        </is>
      </c>
      <c r="E558" t="inlineStr">
        <is>
          <t>MALUNG-SÄLEN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56110-2024</t>
        </is>
      </c>
      <c r="B559" s="1" t="n">
        <v>45624.443125</v>
      </c>
      <c r="C559" s="1" t="n">
        <v>45881</v>
      </c>
      <c r="D559" t="inlineStr">
        <is>
          <t>DALARNAS LÄN</t>
        </is>
      </c>
      <c r="E559" t="inlineStr">
        <is>
          <t>MALUNG-SÄLEN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9196-2025</t>
        </is>
      </c>
      <c r="B560" s="1" t="n">
        <v>45714.47013888889</v>
      </c>
      <c r="C560" s="1" t="n">
        <v>45881</v>
      </c>
      <c r="D560" t="inlineStr">
        <is>
          <t>DALARNAS LÄN</t>
        </is>
      </c>
      <c r="E560" t="inlineStr">
        <is>
          <t>MALUNG-SÄLEN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52418-2023</t>
        </is>
      </c>
      <c r="B561" s="1" t="n">
        <v>45225.29825231482</v>
      </c>
      <c r="C561" s="1" t="n">
        <v>45881</v>
      </c>
      <c r="D561" t="inlineStr">
        <is>
          <t>DALARNAS LÄN</t>
        </is>
      </c>
      <c r="E561" t="inlineStr">
        <is>
          <t>MALUNG-SÄLEN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52942-2023</t>
        </is>
      </c>
      <c r="B562" s="1" t="n">
        <v>45226.57532407407</v>
      </c>
      <c r="C562" s="1" t="n">
        <v>45881</v>
      </c>
      <c r="D562" t="inlineStr">
        <is>
          <t>DALARNAS LÄN</t>
        </is>
      </c>
      <c r="E562" t="inlineStr">
        <is>
          <t>MALUNG-SÄLEN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16044-2025</t>
        </is>
      </c>
      <c r="B563" s="1" t="n">
        <v>45749</v>
      </c>
      <c r="C563" s="1" t="n">
        <v>45881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Kommuner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26693-2021</t>
        </is>
      </c>
      <c r="B564" s="1" t="n">
        <v>44349.32005787037</v>
      </c>
      <c r="C564" s="1" t="n">
        <v>45881</v>
      </c>
      <c r="D564" t="inlineStr">
        <is>
          <t>DALARNAS LÄN</t>
        </is>
      </c>
      <c r="E564" t="inlineStr">
        <is>
          <t>MALUNG-SÄLEN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54874-2023</t>
        </is>
      </c>
      <c r="B565" s="1" t="n">
        <v>45236</v>
      </c>
      <c r="C565" s="1" t="n">
        <v>45881</v>
      </c>
      <c r="D565" t="inlineStr">
        <is>
          <t>DALARNAS LÄN</t>
        </is>
      </c>
      <c r="E565" t="inlineStr">
        <is>
          <t>MALUNG-SÄLEN</t>
        </is>
      </c>
      <c r="F565" t="inlineStr">
        <is>
          <t>Kommuner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45893-2023</t>
        </is>
      </c>
      <c r="B566" s="1" t="n">
        <v>45195.67271990741</v>
      </c>
      <c r="C566" s="1" t="n">
        <v>45881</v>
      </c>
      <c r="D566" t="inlineStr">
        <is>
          <t>DALARNAS LÄN</t>
        </is>
      </c>
      <c r="E566" t="inlineStr">
        <is>
          <t>MALUNG-SÄLEN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26752-2023</t>
        </is>
      </c>
      <c r="B567" s="1" t="n">
        <v>45093.44674768519</v>
      </c>
      <c r="C567" s="1" t="n">
        <v>45881</v>
      </c>
      <c r="D567" t="inlineStr">
        <is>
          <t>DALARNAS LÄN</t>
        </is>
      </c>
      <c r="E567" t="inlineStr">
        <is>
          <t>MALUNG-SÄLEN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36494-2022</t>
        </is>
      </c>
      <c r="B568" s="1" t="n">
        <v>44804.47018518519</v>
      </c>
      <c r="C568" s="1" t="n">
        <v>45881</v>
      </c>
      <c r="D568" t="inlineStr">
        <is>
          <t>DALARNAS LÄN</t>
        </is>
      </c>
      <c r="E568" t="inlineStr">
        <is>
          <t>MALUNG-SÄLEN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47957-2023</t>
        </is>
      </c>
      <c r="B569" s="1" t="n">
        <v>45204.59157407407</v>
      </c>
      <c r="C569" s="1" t="n">
        <v>45881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23947-2025</t>
        </is>
      </c>
      <c r="B570" s="1" t="n">
        <v>45796</v>
      </c>
      <c r="C570" s="1" t="n">
        <v>45881</v>
      </c>
      <c r="D570" t="inlineStr">
        <is>
          <t>DALARNAS LÄN</t>
        </is>
      </c>
      <c r="E570" t="inlineStr">
        <is>
          <t>MALUNG-SÄLEN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53984-2023</t>
        </is>
      </c>
      <c r="B571" s="1" t="n">
        <v>45231</v>
      </c>
      <c r="C571" s="1" t="n">
        <v>45881</v>
      </c>
      <c r="D571" t="inlineStr">
        <is>
          <t>DALARNAS LÄN</t>
        </is>
      </c>
      <c r="E571" t="inlineStr">
        <is>
          <t>MALUNG-SÄLEN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691-2025</t>
        </is>
      </c>
      <c r="B572" s="1" t="n">
        <v>45665.32039351852</v>
      </c>
      <c r="C572" s="1" t="n">
        <v>45881</v>
      </c>
      <c r="D572" t="inlineStr">
        <is>
          <t>DALARNAS LÄN</t>
        </is>
      </c>
      <c r="E572" t="inlineStr">
        <is>
          <t>MALUNG-SÄLEN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8762-2025</t>
        </is>
      </c>
      <c r="B573" s="1" t="n">
        <v>45712.57821759259</v>
      </c>
      <c r="C573" s="1" t="n">
        <v>45881</v>
      </c>
      <c r="D573" t="inlineStr">
        <is>
          <t>DALARNAS LÄN</t>
        </is>
      </c>
      <c r="E573" t="inlineStr">
        <is>
          <t>MALUNG-SÄLEN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44350-2023</t>
        </is>
      </c>
      <c r="B574" s="1" t="n">
        <v>45188.73751157407</v>
      </c>
      <c r="C574" s="1" t="n">
        <v>45881</v>
      </c>
      <c r="D574" t="inlineStr">
        <is>
          <t>DALARNAS LÄN</t>
        </is>
      </c>
      <c r="E574" t="inlineStr">
        <is>
          <t>MALUNG-SÄLEN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18320-2025</t>
        </is>
      </c>
      <c r="B575" s="1" t="n">
        <v>45762.46747685185</v>
      </c>
      <c r="C575" s="1" t="n">
        <v>45881</v>
      </c>
      <c r="D575" t="inlineStr">
        <is>
          <t>DALARNAS LÄN</t>
        </is>
      </c>
      <c r="E575" t="inlineStr">
        <is>
          <t>MALUNG-SÄLEN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19719-2024</t>
        </is>
      </c>
      <c r="B576" s="1" t="n">
        <v>45428</v>
      </c>
      <c r="C576" s="1" t="n">
        <v>45881</v>
      </c>
      <c r="D576" t="inlineStr">
        <is>
          <t>DALARNAS LÄN</t>
        </is>
      </c>
      <c r="E576" t="inlineStr">
        <is>
          <t>MALUNG-SÄLEN</t>
        </is>
      </c>
      <c r="G576" t="n">
        <v>27.6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45811-2023</t>
        </is>
      </c>
      <c r="B577" s="1" t="n">
        <v>45195.49738425926</v>
      </c>
      <c r="C577" s="1" t="n">
        <v>45881</v>
      </c>
      <c r="D577" t="inlineStr">
        <is>
          <t>DALARNAS LÄN</t>
        </is>
      </c>
      <c r="E577" t="inlineStr">
        <is>
          <t>MALUNG-SÄLEN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53149-2023</t>
        </is>
      </c>
      <c r="B578" s="1" t="n">
        <v>45229.35677083334</v>
      </c>
      <c r="C578" s="1" t="n">
        <v>45881</v>
      </c>
      <c r="D578" t="inlineStr">
        <is>
          <t>DALARNAS LÄN</t>
        </is>
      </c>
      <c r="E578" t="inlineStr">
        <is>
          <t>MALUNG-SÄLEN</t>
        </is>
      </c>
      <c r="F578" t="inlineStr">
        <is>
          <t>Övriga statliga verk och myndigheter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15602-2023</t>
        </is>
      </c>
      <c r="B579" s="1" t="n">
        <v>45020</v>
      </c>
      <c r="C579" s="1" t="n">
        <v>45881</v>
      </c>
      <c r="D579" t="inlineStr">
        <is>
          <t>DALARNAS LÄN</t>
        </is>
      </c>
      <c r="E579" t="inlineStr">
        <is>
          <t>MALUNG-SÄLEN</t>
        </is>
      </c>
      <c r="G579" t="n">
        <v>15.5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37386-2024</t>
        </is>
      </c>
      <c r="B580" s="1" t="n">
        <v>45540.58754629629</v>
      </c>
      <c r="C580" s="1" t="n">
        <v>45881</v>
      </c>
      <c r="D580" t="inlineStr">
        <is>
          <t>DALARNAS LÄN</t>
        </is>
      </c>
      <c r="E580" t="inlineStr">
        <is>
          <t>MALUNG-SÄLEN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23793-2025</t>
        </is>
      </c>
      <c r="B581" s="1" t="n">
        <v>45793.54432870371</v>
      </c>
      <c r="C581" s="1" t="n">
        <v>45881</v>
      </c>
      <c r="D581" t="inlineStr">
        <is>
          <t>DALARNAS LÄN</t>
        </is>
      </c>
      <c r="E581" t="inlineStr">
        <is>
          <t>MALUNG-SÄLEN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29930-2024</t>
        </is>
      </c>
      <c r="B582" s="1" t="n">
        <v>45488.39434027778</v>
      </c>
      <c r="C582" s="1" t="n">
        <v>45881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57424-2024</t>
        </is>
      </c>
      <c r="B583" s="1" t="n">
        <v>45629.8154050926</v>
      </c>
      <c r="C583" s="1" t="n">
        <v>45881</v>
      </c>
      <c r="D583" t="inlineStr">
        <is>
          <t>DALARNAS LÄN</t>
        </is>
      </c>
      <c r="E583" t="inlineStr">
        <is>
          <t>MALUNG-SÄLEN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17608-2023</t>
        </is>
      </c>
      <c r="B584" s="1" t="n">
        <v>45036</v>
      </c>
      <c r="C584" s="1" t="n">
        <v>45881</v>
      </c>
      <c r="D584" t="inlineStr">
        <is>
          <t>DALARNAS LÄN</t>
        </is>
      </c>
      <c r="E584" t="inlineStr">
        <is>
          <t>MALUNG-SÄLEN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31996-2024</t>
        </is>
      </c>
      <c r="B585" s="1" t="n">
        <v>45510.59875</v>
      </c>
      <c r="C585" s="1" t="n">
        <v>45881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62371-2022</t>
        </is>
      </c>
      <c r="B586" s="1" t="n">
        <v>44923</v>
      </c>
      <c r="C586" s="1" t="n">
        <v>45881</v>
      </c>
      <c r="D586" t="inlineStr">
        <is>
          <t>DALARNAS LÄN</t>
        </is>
      </c>
      <c r="E586" t="inlineStr">
        <is>
          <t>MALUNG-SÄLEN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20328-2025</t>
        </is>
      </c>
      <c r="B587" s="1" t="n">
        <v>45775.36009259259</v>
      </c>
      <c r="C587" s="1" t="n">
        <v>45881</v>
      </c>
      <c r="D587" t="inlineStr">
        <is>
          <t>DALARNAS LÄN</t>
        </is>
      </c>
      <c r="E587" t="inlineStr">
        <is>
          <t>MALUNG-SÄLEN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20330-2025</t>
        </is>
      </c>
      <c r="B588" s="1" t="n">
        <v>45775.36167824074</v>
      </c>
      <c r="C588" s="1" t="n">
        <v>45881</v>
      </c>
      <c r="D588" t="inlineStr">
        <is>
          <t>DALARNAS LÄN</t>
        </is>
      </c>
      <c r="E588" t="inlineStr">
        <is>
          <t>MALUNG-SÄLEN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46631-2023</t>
        </is>
      </c>
      <c r="B589" s="1" t="n">
        <v>45198</v>
      </c>
      <c r="C589" s="1" t="n">
        <v>45881</v>
      </c>
      <c r="D589" t="inlineStr">
        <is>
          <t>DALARNAS LÄN</t>
        </is>
      </c>
      <c r="E589" t="inlineStr">
        <is>
          <t>MALUNG-SÄLEN</t>
        </is>
      </c>
      <c r="F589" t="inlineStr">
        <is>
          <t>Allmännings- och besparingsskogar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49480-2023</t>
        </is>
      </c>
      <c r="B590" s="1" t="n">
        <v>45211</v>
      </c>
      <c r="C590" s="1" t="n">
        <v>45881</v>
      </c>
      <c r="D590" t="inlineStr">
        <is>
          <t>DALARNAS LÄN</t>
        </is>
      </c>
      <c r="E590" t="inlineStr">
        <is>
          <t>MALUNG-SÄLEN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32935-2025</t>
        </is>
      </c>
      <c r="B591" s="1" t="n">
        <v>45839.67460648148</v>
      </c>
      <c r="C591" s="1" t="n">
        <v>45881</v>
      </c>
      <c r="D591" t="inlineStr">
        <is>
          <t>DALARNAS LÄN</t>
        </is>
      </c>
      <c r="E591" t="inlineStr">
        <is>
          <t>MALUNG-SÄLEN</t>
        </is>
      </c>
      <c r="F591" t="inlineStr">
        <is>
          <t>Kommuner</t>
        </is>
      </c>
      <c r="G591" t="n">
        <v>12.9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32702-2025</t>
        </is>
      </c>
      <c r="B592" s="1" t="n">
        <v>45839.34805555556</v>
      </c>
      <c r="C592" s="1" t="n">
        <v>45881</v>
      </c>
      <c r="D592" t="inlineStr">
        <is>
          <t>DALARNAS LÄN</t>
        </is>
      </c>
      <c r="E592" t="inlineStr">
        <is>
          <t>MALUNG-SÄLEN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33190-2025</t>
        </is>
      </c>
      <c r="B593" s="1" t="n">
        <v>45840.59939814815</v>
      </c>
      <c r="C593" s="1" t="n">
        <v>45881</v>
      </c>
      <c r="D593" t="inlineStr">
        <is>
          <t>DALARNAS LÄN</t>
        </is>
      </c>
      <c r="E593" t="inlineStr">
        <is>
          <t>MALUNG-SÄLEN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24617-2025</t>
        </is>
      </c>
      <c r="B594" s="1" t="n">
        <v>45798.58796296296</v>
      </c>
      <c r="C594" s="1" t="n">
        <v>45881</v>
      </c>
      <c r="D594" t="inlineStr">
        <is>
          <t>DALARNAS LÄN</t>
        </is>
      </c>
      <c r="E594" t="inlineStr">
        <is>
          <t>MALUNG-SÄLEN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560-2021</t>
        </is>
      </c>
      <c r="B595" s="1" t="n">
        <v>44203</v>
      </c>
      <c r="C595" s="1" t="n">
        <v>45881</v>
      </c>
      <c r="D595" t="inlineStr">
        <is>
          <t>DALARNAS LÄN</t>
        </is>
      </c>
      <c r="E595" t="inlineStr">
        <is>
          <t>MALUNG-SÄLEN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17161-2022</t>
        </is>
      </c>
      <c r="B596" s="1" t="n">
        <v>44677.59837962963</v>
      </c>
      <c r="C596" s="1" t="n">
        <v>45881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24326-2025</t>
        </is>
      </c>
      <c r="B597" s="1" t="n">
        <v>45797.56228009259</v>
      </c>
      <c r="C597" s="1" t="n">
        <v>45881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55307-2024</t>
        </is>
      </c>
      <c r="B598" s="1" t="n">
        <v>45621.65032407407</v>
      </c>
      <c r="C598" s="1" t="n">
        <v>45881</v>
      </c>
      <c r="D598" t="inlineStr">
        <is>
          <t>DALARNAS LÄN</t>
        </is>
      </c>
      <c r="E598" t="inlineStr">
        <is>
          <t>MALUNG-SÄLEN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24377-2025</t>
        </is>
      </c>
      <c r="B599" s="1" t="n">
        <v>45797.62296296296</v>
      </c>
      <c r="C599" s="1" t="n">
        <v>45881</v>
      </c>
      <c r="D599" t="inlineStr">
        <is>
          <t>DALARNAS LÄN</t>
        </is>
      </c>
      <c r="E599" t="inlineStr">
        <is>
          <t>MALUNG-SÄLEN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24259-2025</t>
        </is>
      </c>
      <c r="B600" s="1" t="n">
        <v>45797.411875</v>
      </c>
      <c r="C600" s="1" t="n">
        <v>45881</v>
      </c>
      <c r="D600" t="inlineStr">
        <is>
          <t>DALARNAS LÄN</t>
        </is>
      </c>
      <c r="E600" t="inlineStr">
        <is>
          <t>MALUNG-SÄLEN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33086-2025</t>
        </is>
      </c>
      <c r="B601" s="1" t="n">
        <v>45840.46732638889</v>
      </c>
      <c r="C601" s="1" t="n">
        <v>45881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32944-2025</t>
        </is>
      </c>
      <c r="B602" s="1" t="n">
        <v>45839.68015046296</v>
      </c>
      <c r="C602" s="1" t="n">
        <v>45881</v>
      </c>
      <c r="D602" t="inlineStr">
        <is>
          <t>DALARNAS LÄN</t>
        </is>
      </c>
      <c r="E602" t="inlineStr">
        <is>
          <t>MALUNG-SÄLEN</t>
        </is>
      </c>
      <c r="F602" t="inlineStr">
        <is>
          <t>Kommuner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24364-2025</t>
        </is>
      </c>
      <c r="B603" s="1" t="n">
        <v>45797.60143518518</v>
      </c>
      <c r="C603" s="1" t="n">
        <v>45881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24322-2025</t>
        </is>
      </c>
      <c r="B604" s="1" t="n">
        <v>45797.5600462963</v>
      </c>
      <c r="C604" s="1" t="n">
        <v>45881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32940-2025</t>
        </is>
      </c>
      <c r="B605" s="1" t="n">
        <v>45839.67778935185</v>
      </c>
      <c r="C605" s="1" t="n">
        <v>45881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55638-2024</t>
        </is>
      </c>
      <c r="B606" s="1" t="n">
        <v>45622.61188657407</v>
      </c>
      <c r="C606" s="1" t="n">
        <v>45881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59953-2024</t>
        </is>
      </c>
      <c r="B607" s="1" t="n">
        <v>45642.34791666667</v>
      </c>
      <c r="C607" s="1" t="n">
        <v>45881</v>
      </c>
      <c r="D607" t="inlineStr">
        <is>
          <t>DALARNAS LÄN</t>
        </is>
      </c>
      <c r="E607" t="inlineStr">
        <is>
          <t>MALUNG-SÄLEN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60042-2024</t>
        </is>
      </c>
      <c r="B608" s="1" t="n">
        <v>45642.4716087963</v>
      </c>
      <c r="C608" s="1" t="n">
        <v>45881</v>
      </c>
      <c r="D608" t="inlineStr">
        <is>
          <t>DALARNAS LÄN</t>
        </is>
      </c>
      <c r="E608" t="inlineStr">
        <is>
          <t>MALUNG-SÄLEN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60063-2024</t>
        </is>
      </c>
      <c r="B609" s="1" t="n">
        <v>45642.49408564815</v>
      </c>
      <c r="C609" s="1" t="n">
        <v>45881</v>
      </c>
      <c r="D609" t="inlineStr">
        <is>
          <t>DALARNAS LÄN</t>
        </is>
      </c>
      <c r="E609" t="inlineStr">
        <is>
          <t>MALUNG-SÄLEN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24968-2025</t>
        </is>
      </c>
      <c r="B610" s="1" t="n">
        <v>45799.58537037037</v>
      </c>
      <c r="C610" s="1" t="n">
        <v>45881</v>
      </c>
      <c r="D610" t="inlineStr">
        <is>
          <t>DALARNAS LÄN</t>
        </is>
      </c>
      <c r="E610" t="inlineStr">
        <is>
          <t>MALUNG-SÄLEN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33880-2025</t>
        </is>
      </c>
      <c r="B611" s="1" t="n">
        <v>45842.56287037037</v>
      </c>
      <c r="C611" s="1" t="n">
        <v>45881</v>
      </c>
      <c r="D611" t="inlineStr">
        <is>
          <t>DALARNAS LÄN</t>
        </is>
      </c>
      <c r="E611" t="inlineStr">
        <is>
          <t>MALUNG-SÄLEN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53863-2024</t>
        </is>
      </c>
      <c r="B612" s="1" t="n">
        <v>45615.64232638889</v>
      </c>
      <c r="C612" s="1" t="n">
        <v>45881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33403-2025</t>
        </is>
      </c>
      <c r="B613" s="1" t="n">
        <v>45841</v>
      </c>
      <c r="C613" s="1" t="n">
        <v>45881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21445-2024</t>
        </is>
      </c>
      <c r="B614" s="1" t="n">
        <v>45441.45731481481</v>
      </c>
      <c r="C614" s="1" t="n">
        <v>45881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25141-2025</t>
        </is>
      </c>
      <c r="B615" s="1" t="n">
        <v>45800.41166666667</v>
      </c>
      <c r="C615" s="1" t="n">
        <v>45881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45197-2023</t>
        </is>
      </c>
      <c r="B616" s="1" t="n">
        <v>45191</v>
      </c>
      <c r="C616" s="1" t="n">
        <v>45881</v>
      </c>
      <c r="D616" t="inlineStr">
        <is>
          <t>DALARNAS LÄN</t>
        </is>
      </c>
      <c r="E616" t="inlineStr">
        <is>
          <t>MALUNG-SÄLEN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41946-2023</t>
        </is>
      </c>
      <c r="B617" s="1" t="n">
        <v>45177.31422453704</v>
      </c>
      <c r="C617" s="1" t="n">
        <v>45881</v>
      </c>
      <c r="D617" t="inlineStr">
        <is>
          <t>DALARNAS LÄN</t>
        </is>
      </c>
      <c r="E617" t="inlineStr">
        <is>
          <t>MALUNG-SÄLEN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57474-2023</t>
        </is>
      </c>
      <c r="B618" s="1" t="n">
        <v>45246.37835648148</v>
      </c>
      <c r="C618" s="1" t="n">
        <v>45881</v>
      </c>
      <c r="D618" t="inlineStr">
        <is>
          <t>DALARNAS LÄN</t>
        </is>
      </c>
      <c r="E618" t="inlineStr">
        <is>
          <t>MALUNG-SÄLEN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2216-2025</t>
        </is>
      </c>
      <c r="B619" s="1" t="n">
        <v>45673.44138888889</v>
      </c>
      <c r="C619" s="1" t="n">
        <v>45881</v>
      </c>
      <c r="D619" t="inlineStr">
        <is>
          <t>DALARNAS LÄN</t>
        </is>
      </c>
      <c r="E619" t="inlineStr">
        <is>
          <t>MALUNG-SÄLEN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58363-2023</t>
        </is>
      </c>
      <c r="B620" s="1" t="n">
        <v>45245</v>
      </c>
      <c r="C620" s="1" t="n">
        <v>45881</v>
      </c>
      <c r="D620" t="inlineStr">
        <is>
          <t>DALARNAS LÄN</t>
        </is>
      </c>
      <c r="E620" t="inlineStr">
        <is>
          <t>MALUNG-SÄLEN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33670-2025</t>
        </is>
      </c>
      <c r="B621" s="1" t="n">
        <v>45841.67546296296</v>
      </c>
      <c r="C621" s="1" t="n">
        <v>45881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väst AB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33306-2025</t>
        </is>
      </c>
      <c r="B622" s="1" t="n">
        <v>45841</v>
      </c>
      <c r="C622" s="1" t="n">
        <v>45881</v>
      </c>
      <c r="D622" t="inlineStr">
        <is>
          <t>DALARNAS LÄN</t>
        </is>
      </c>
      <c r="E622" t="inlineStr">
        <is>
          <t>MALUNG-SÄLEN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32700-2025</t>
        </is>
      </c>
      <c r="B623" s="1" t="n">
        <v>45839</v>
      </c>
      <c r="C623" s="1" t="n">
        <v>45881</v>
      </c>
      <c r="D623" t="inlineStr">
        <is>
          <t>DALARNAS LÄN</t>
        </is>
      </c>
      <c r="E623" t="inlineStr">
        <is>
          <t>MALUNG-SÄLEN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33647-2025</t>
        </is>
      </c>
      <c r="B624" s="1" t="n">
        <v>45841.65665509259</v>
      </c>
      <c r="C624" s="1" t="n">
        <v>45881</v>
      </c>
      <c r="D624" t="inlineStr">
        <is>
          <t>DALARNAS LÄN</t>
        </is>
      </c>
      <c r="E624" t="inlineStr">
        <is>
          <t>MALUNG-SÄLEN</t>
        </is>
      </c>
      <c r="F624" t="inlineStr">
        <is>
          <t>Övriga statliga verk och myndigheter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33659-2025</t>
        </is>
      </c>
      <c r="B625" s="1" t="n">
        <v>45841.66240740741</v>
      </c>
      <c r="C625" s="1" t="n">
        <v>45881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33667-2025</t>
        </is>
      </c>
      <c r="B626" s="1" t="n">
        <v>45841.67270833333</v>
      </c>
      <c r="C626" s="1" t="n">
        <v>45881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25146-2025</t>
        </is>
      </c>
      <c r="B627" s="1" t="n">
        <v>45800.41847222222</v>
      </c>
      <c r="C627" s="1" t="n">
        <v>45881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41583-2023</t>
        </is>
      </c>
      <c r="B628" s="1" t="n">
        <v>45175.63001157407</v>
      </c>
      <c r="C628" s="1" t="n">
        <v>45881</v>
      </c>
      <c r="D628" t="inlineStr">
        <is>
          <t>DALARNAS LÄN</t>
        </is>
      </c>
      <c r="E628" t="inlineStr">
        <is>
          <t>MALUNG-SÄLEN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58375-2023</t>
        </is>
      </c>
      <c r="B629" s="1" t="n">
        <v>45245</v>
      </c>
      <c r="C629" s="1" t="n">
        <v>45881</v>
      </c>
      <c r="D629" t="inlineStr">
        <is>
          <t>DALARNAS LÄN</t>
        </is>
      </c>
      <c r="E629" t="inlineStr">
        <is>
          <t>MALUNG-SÄLEN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45779-2023</t>
        </is>
      </c>
      <c r="B630" s="1" t="n">
        <v>45188</v>
      </c>
      <c r="C630" s="1" t="n">
        <v>45881</v>
      </c>
      <c r="D630" t="inlineStr">
        <is>
          <t>DALARNAS LÄN</t>
        </is>
      </c>
      <c r="E630" t="inlineStr">
        <is>
          <t>MALUNG-SÄLEN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45780-2023</t>
        </is>
      </c>
      <c r="B631" s="1" t="n">
        <v>45188</v>
      </c>
      <c r="C631" s="1" t="n">
        <v>45881</v>
      </c>
      <c r="D631" t="inlineStr">
        <is>
          <t>DALARNAS LÄN</t>
        </is>
      </c>
      <c r="E631" t="inlineStr">
        <is>
          <t>MALUNG-SÄLEN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25777-2025</t>
        </is>
      </c>
      <c r="B632" s="1" t="n">
        <v>45804.35850694445</v>
      </c>
      <c r="C632" s="1" t="n">
        <v>45881</v>
      </c>
      <c r="D632" t="inlineStr">
        <is>
          <t>DALARNAS LÄN</t>
        </is>
      </c>
      <c r="E632" t="inlineStr">
        <is>
          <t>MALUNG-SÄLEN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25924-2025</t>
        </is>
      </c>
      <c r="B633" s="1" t="n">
        <v>45804.5756712963</v>
      </c>
      <c r="C633" s="1" t="n">
        <v>45881</v>
      </c>
      <c r="D633" t="inlineStr">
        <is>
          <t>DALARNAS LÄN</t>
        </is>
      </c>
      <c r="E633" t="inlineStr">
        <is>
          <t>MALUNG-SÄLEN</t>
        </is>
      </c>
      <c r="F633" t="inlineStr">
        <is>
          <t>Allmännings- och besparingsskogar</t>
        </is>
      </c>
      <c r="G633" t="n">
        <v>28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15334-2025</t>
        </is>
      </c>
      <c r="B634" s="1" t="n">
        <v>45747</v>
      </c>
      <c r="C634" s="1" t="n">
        <v>45881</v>
      </c>
      <c r="D634" t="inlineStr">
        <is>
          <t>DALARNAS LÄN</t>
        </is>
      </c>
      <c r="E634" t="inlineStr">
        <is>
          <t>MALUNG-SÄLEN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25971-2025</t>
        </is>
      </c>
      <c r="B635" s="1" t="n">
        <v>45804.63151620371</v>
      </c>
      <c r="C635" s="1" t="n">
        <v>45881</v>
      </c>
      <c r="D635" t="inlineStr">
        <is>
          <t>DALARNAS LÄN</t>
        </is>
      </c>
      <c r="E635" t="inlineStr">
        <is>
          <t>MALUNG-SÄLEN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34378-2025</t>
        </is>
      </c>
      <c r="B636" s="1" t="n">
        <v>45846.54021990741</v>
      </c>
      <c r="C636" s="1" t="n">
        <v>45881</v>
      </c>
      <c r="D636" t="inlineStr">
        <is>
          <t>DALARNAS LÄN</t>
        </is>
      </c>
      <c r="E636" t="inlineStr">
        <is>
          <t>MALUNG-SÄLEN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25759-2025</t>
        </is>
      </c>
      <c r="B637" s="1" t="n">
        <v>45804.33391203704</v>
      </c>
      <c r="C637" s="1" t="n">
        <v>45881</v>
      </c>
      <c r="D637" t="inlineStr">
        <is>
          <t>DALARNAS LÄN</t>
        </is>
      </c>
      <c r="E637" t="inlineStr">
        <is>
          <t>MALUNG-SÄLEN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25858-2025</t>
        </is>
      </c>
      <c r="B638" s="1" t="n">
        <v>45804.47033564815</v>
      </c>
      <c r="C638" s="1" t="n">
        <v>45881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25763-2025</t>
        </is>
      </c>
      <c r="B639" s="1" t="n">
        <v>45804.33924768519</v>
      </c>
      <c r="C639" s="1" t="n">
        <v>45881</v>
      </c>
      <c r="D639" t="inlineStr">
        <is>
          <t>DALARNAS LÄN</t>
        </is>
      </c>
      <c r="E639" t="inlineStr">
        <is>
          <t>MALUNG-SÄLEN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26050-2025</t>
        </is>
      </c>
      <c r="B640" s="1" t="n">
        <v>45769</v>
      </c>
      <c r="C640" s="1" t="n">
        <v>45881</v>
      </c>
      <c r="D640" t="inlineStr">
        <is>
          <t>DALARNAS LÄN</t>
        </is>
      </c>
      <c r="E640" t="inlineStr">
        <is>
          <t>MALUNG-SÄLEN</t>
        </is>
      </c>
      <c r="G640" t="n">
        <v>26.7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25891-2025</t>
        </is>
      </c>
      <c r="B641" s="1" t="n">
        <v>45804.53506944444</v>
      </c>
      <c r="C641" s="1" t="n">
        <v>45881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34257-2025</t>
        </is>
      </c>
      <c r="B642" s="1" t="n">
        <v>45845</v>
      </c>
      <c r="C642" s="1" t="n">
        <v>45881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33680-2025</t>
        </is>
      </c>
      <c r="B643" s="1" t="n">
        <v>45841</v>
      </c>
      <c r="C643" s="1" t="n">
        <v>45881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väst AB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34255-2025</t>
        </is>
      </c>
      <c r="B644" s="1" t="n">
        <v>45845.70777777778</v>
      </c>
      <c r="C644" s="1" t="n">
        <v>45881</v>
      </c>
      <c r="D644" t="inlineStr">
        <is>
          <t>DALARNAS LÄN</t>
        </is>
      </c>
      <c r="E644" t="inlineStr">
        <is>
          <t>MALUNG-SÄLEN</t>
        </is>
      </c>
      <c r="F644" t="inlineStr">
        <is>
          <t>Kommuner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25826-2025</t>
        </is>
      </c>
      <c r="B645" s="1" t="n">
        <v>45804.44298611111</v>
      </c>
      <c r="C645" s="1" t="n">
        <v>45881</v>
      </c>
      <c r="D645" t="inlineStr">
        <is>
          <t>DALARNAS LÄN</t>
        </is>
      </c>
      <c r="E645" t="inlineStr">
        <is>
          <t>MALUNG-SÄLEN</t>
        </is>
      </c>
      <c r="F645" t="inlineStr">
        <is>
          <t>Allmännings- och besparingsskogar</t>
        </is>
      </c>
      <c r="G645" t="n">
        <v>39.5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26008-2025</t>
        </is>
      </c>
      <c r="B646" s="1" t="n">
        <v>45804.67118055555</v>
      </c>
      <c r="C646" s="1" t="n">
        <v>45881</v>
      </c>
      <c r="D646" t="inlineStr">
        <is>
          <t>DALARNAS LÄN</t>
        </is>
      </c>
      <c r="E646" t="inlineStr">
        <is>
          <t>MALUNG-SÄLEN</t>
        </is>
      </c>
      <c r="F646" t="inlineStr">
        <is>
          <t>Allmännings- och besparingsskogar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25928-2025</t>
        </is>
      </c>
      <c r="B647" s="1" t="n">
        <v>45804.57848379629</v>
      </c>
      <c r="C647" s="1" t="n">
        <v>45881</v>
      </c>
      <c r="D647" t="inlineStr">
        <is>
          <t>DALARNAS LÄN</t>
        </is>
      </c>
      <c r="E647" t="inlineStr">
        <is>
          <t>MALUNG-SÄLEN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34256-2025</t>
        </is>
      </c>
      <c r="B648" s="1" t="n">
        <v>45845.71</v>
      </c>
      <c r="C648" s="1" t="n">
        <v>45881</v>
      </c>
      <c r="D648" t="inlineStr">
        <is>
          <t>DALARNAS LÄN</t>
        </is>
      </c>
      <c r="E648" t="inlineStr">
        <is>
          <t>MALUNG-SÄLEN</t>
        </is>
      </c>
      <c r="F648" t="inlineStr">
        <is>
          <t>Kommuner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15334-2025</t>
        </is>
      </c>
      <c r="B649" s="1" t="n">
        <v>45747</v>
      </c>
      <c r="C649" s="1" t="n">
        <v>45881</v>
      </c>
      <c r="D649" t="inlineStr">
        <is>
          <t>DALARNAS LÄN</t>
        </is>
      </c>
      <c r="E649" t="inlineStr">
        <is>
          <t>MALUNG-SÄLEN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19508-2025</t>
        </is>
      </c>
      <c r="B650" s="1" t="n">
        <v>45769</v>
      </c>
      <c r="C650" s="1" t="n">
        <v>45881</v>
      </c>
      <c r="D650" t="inlineStr">
        <is>
          <t>DALARNAS LÄN</t>
        </is>
      </c>
      <c r="E650" t="inlineStr">
        <is>
          <t>MALUNG-SÄLEN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25765-2025</t>
        </is>
      </c>
      <c r="B651" s="1" t="n">
        <v>45804.34152777777</v>
      </c>
      <c r="C651" s="1" t="n">
        <v>45881</v>
      </c>
      <c r="D651" t="inlineStr">
        <is>
          <t>DALARNAS LÄN</t>
        </is>
      </c>
      <c r="E651" t="inlineStr">
        <is>
          <t>MALUNG-SÄLEN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25766-2025</t>
        </is>
      </c>
      <c r="B652" s="1" t="n">
        <v>45804.34329861111</v>
      </c>
      <c r="C652" s="1" t="n">
        <v>45881</v>
      </c>
      <c r="D652" t="inlineStr">
        <is>
          <t>DALARNAS LÄN</t>
        </is>
      </c>
      <c r="E652" t="inlineStr">
        <is>
          <t>MALUNG-SÄLEN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41416-2023</t>
        </is>
      </c>
      <c r="B653" s="1" t="n">
        <v>45175.31414351852</v>
      </c>
      <c r="C653" s="1" t="n">
        <v>45881</v>
      </c>
      <c r="D653" t="inlineStr">
        <is>
          <t>DALARNAS LÄN</t>
        </is>
      </c>
      <c r="E653" t="inlineStr">
        <is>
          <t>MALUNG-SÄLEN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26138-2025</t>
        </is>
      </c>
      <c r="B654" s="1" t="n">
        <v>45805.41782407407</v>
      </c>
      <c r="C654" s="1" t="n">
        <v>45881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4525-2021</t>
        </is>
      </c>
      <c r="B655" s="1" t="n">
        <v>44224</v>
      </c>
      <c r="C655" s="1" t="n">
        <v>45881</v>
      </c>
      <c r="D655" t="inlineStr">
        <is>
          <t>DALARNAS LÄN</t>
        </is>
      </c>
      <c r="E655" t="inlineStr">
        <is>
          <t>MALUNG-SÄLEN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52507-2023</t>
        </is>
      </c>
      <c r="B656" s="1" t="n">
        <v>45225.46814814815</v>
      </c>
      <c r="C656" s="1" t="n">
        <v>45881</v>
      </c>
      <c r="D656" t="inlineStr">
        <is>
          <t>DALARNAS LÄN</t>
        </is>
      </c>
      <c r="E656" t="inlineStr">
        <is>
          <t>MALUNG-SÄLEN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57829-2023</t>
        </is>
      </c>
      <c r="B657" s="1" t="n">
        <v>45247</v>
      </c>
      <c r="C657" s="1" t="n">
        <v>45881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26142-2025</t>
        </is>
      </c>
      <c r="B658" s="1" t="n">
        <v>45805.42608796297</v>
      </c>
      <c r="C658" s="1" t="n">
        <v>45881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26185-2025</t>
        </is>
      </c>
      <c r="B659" s="1" t="n">
        <v>45805.47784722222</v>
      </c>
      <c r="C659" s="1" t="n">
        <v>45881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38492-2021</t>
        </is>
      </c>
      <c r="B660" s="1" t="n">
        <v>44405</v>
      </c>
      <c r="C660" s="1" t="n">
        <v>45881</v>
      </c>
      <c r="D660" t="inlineStr">
        <is>
          <t>DALARNAS LÄN</t>
        </is>
      </c>
      <c r="E660" t="inlineStr">
        <is>
          <t>MALUNG-SÄLEN</t>
        </is>
      </c>
      <c r="F660" t="inlineStr">
        <is>
          <t>Naturvårdsverket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43666-2023</t>
        </is>
      </c>
      <c r="B661" s="1" t="n">
        <v>45187</v>
      </c>
      <c r="C661" s="1" t="n">
        <v>45881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59088-2023</t>
        </is>
      </c>
      <c r="B662" s="1" t="n">
        <v>45252</v>
      </c>
      <c r="C662" s="1" t="n">
        <v>45881</v>
      </c>
      <c r="D662" t="inlineStr">
        <is>
          <t>DALARNAS LÄN</t>
        </is>
      </c>
      <c r="E662" t="inlineStr">
        <is>
          <t>MALUNG-SÄLEN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26235-2025</t>
        </is>
      </c>
      <c r="B663" s="1" t="n">
        <v>45805.56788194444</v>
      </c>
      <c r="C663" s="1" t="n">
        <v>45881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34901-2025</t>
        </is>
      </c>
      <c r="B664" s="1" t="n">
        <v>45849.50694444445</v>
      </c>
      <c r="C664" s="1" t="n">
        <v>45881</v>
      </c>
      <c r="D664" t="inlineStr">
        <is>
          <t>DALARNAS LÄN</t>
        </is>
      </c>
      <c r="E664" t="inlineStr">
        <is>
          <t>MALUNG-SÄLEN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26672-2022</t>
        </is>
      </c>
      <c r="B665" s="1" t="n">
        <v>44739</v>
      </c>
      <c r="C665" s="1" t="n">
        <v>45881</v>
      </c>
      <c r="D665" t="inlineStr">
        <is>
          <t>DALARNAS LÄN</t>
        </is>
      </c>
      <c r="E665" t="inlineStr">
        <is>
          <t>MALUNG-SÄLEN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34894-2025</t>
        </is>
      </c>
      <c r="B666" s="1" t="n">
        <v>45849.4940162037</v>
      </c>
      <c r="C666" s="1" t="n">
        <v>45881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61233-2024</t>
        </is>
      </c>
      <c r="B667" s="1" t="n">
        <v>45645.67467592593</v>
      </c>
      <c r="C667" s="1" t="n">
        <v>45881</v>
      </c>
      <c r="D667" t="inlineStr">
        <is>
          <t>DALARNAS LÄN</t>
        </is>
      </c>
      <c r="E667" t="inlineStr">
        <is>
          <t>MALUNG-SÄLEN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5215-2021</t>
        </is>
      </c>
      <c r="B668" s="1" t="n">
        <v>44229</v>
      </c>
      <c r="C668" s="1" t="n">
        <v>45881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26396-2025</t>
        </is>
      </c>
      <c r="B669" s="1" t="n">
        <v>45807</v>
      </c>
      <c r="C669" s="1" t="n">
        <v>45881</v>
      </c>
      <c r="D669" t="inlineStr">
        <is>
          <t>DALARNAS LÄN</t>
        </is>
      </c>
      <c r="E669" t="inlineStr">
        <is>
          <t>MALUNG-SÄLEN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34906-2025</t>
        </is>
      </c>
      <c r="B670" s="1" t="n">
        <v>45849.52040509259</v>
      </c>
      <c r="C670" s="1" t="n">
        <v>45881</v>
      </c>
      <c r="D670" t="inlineStr">
        <is>
          <t>DALARNAS LÄN</t>
        </is>
      </c>
      <c r="E670" t="inlineStr">
        <is>
          <t>MALUNG-SÄLEN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26460-2025</t>
        </is>
      </c>
      <c r="B671" s="1" t="n">
        <v>45807.43049768519</v>
      </c>
      <c r="C671" s="1" t="n">
        <v>45881</v>
      </c>
      <c r="D671" t="inlineStr">
        <is>
          <t>DALARNAS LÄN</t>
        </is>
      </c>
      <c r="E671" t="inlineStr">
        <is>
          <t>MALUNG-SÄLEN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59954-2023</t>
        </is>
      </c>
      <c r="B672" s="1" t="n">
        <v>45257</v>
      </c>
      <c r="C672" s="1" t="n">
        <v>45881</v>
      </c>
      <c r="D672" t="inlineStr">
        <is>
          <t>DALARNAS LÄN</t>
        </is>
      </c>
      <c r="E672" t="inlineStr">
        <is>
          <t>MALUNG-SÄLEN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3849-2024</t>
        </is>
      </c>
      <c r="B673" s="1" t="n">
        <v>45322.35017361111</v>
      </c>
      <c r="C673" s="1" t="n">
        <v>45881</v>
      </c>
      <c r="D673" t="inlineStr">
        <is>
          <t>DALARNAS LÄN</t>
        </is>
      </c>
      <c r="E673" t="inlineStr">
        <is>
          <t>MALUNG-SÄLEN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32486-2022</t>
        </is>
      </c>
      <c r="B674" s="1" t="n">
        <v>44782</v>
      </c>
      <c r="C674" s="1" t="n">
        <v>45881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26454-2025</t>
        </is>
      </c>
      <c r="B675" s="1" t="n">
        <v>45807.42395833333</v>
      </c>
      <c r="C675" s="1" t="n">
        <v>45881</v>
      </c>
      <c r="D675" t="inlineStr">
        <is>
          <t>DALARNAS LÄN</t>
        </is>
      </c>
      <c r="E675" t="inlineStr">
        <is>
          <t>MALUNG-SÄLEN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11593-2025</t>
        </is>
      </c>
      <c r="B676" s="1" t="n">
        <v>45727</v>
      </c>
      <c r="C676" s="1" t="n">
        <v>45881</v>
      </c>
      <c r="D676" t="inlineStr">
        <is>
          <t>DALARNAS LÄN</t>
        </is>
      </c>
      <c r="E676" t="inlineStr">
        <is>
          <t>MALUNG-SÄLEN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35127-2025</t>
        </is>
      </c>
      <c r="B677" s="1" t="n">
        <v>45852.62385416667</v>
      </c>
      <c r="C677" s="1" t="n">
        <v>45881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34898-2025</t>
        </is>
      </c>
      <c r="B678" s="1" t="n">
        <v>45849.49554398148</v>
      </c>
      <c r="C678" s="1" t="n">
        <v>45881</v>
      </c>
      <c r="D678" t="inlineStr">
        <is>
          <t>DALARNAS LÄN</t>
        </is>
      </c>
      <c r="E678" t="inlineStr">
        <is>
          <t>MALUNG-SÄLEN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26852-2025</t>
        </is>
      </c>
      <c r="B679" s="1" t="n">
        <v>45810.67299768519</v>
      </c>
      <c r="C679" s="1" t="n">
        <v>45881</v>
      </c>
      <c r="D679" t="inlineStr">
        <is>
          <t>DALARNAS LÄN</t>
        </is>
      </c>
      <c r="E679" t="inlineStr">
        <is>
          <t>MALUNG-SÄLEN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58954-2023</t>
        </is>
      </c>
      <c r="B680" s="1" t="n">
        <v>45252.59219907408</v>
      </c>
      <c r="C680" s="1" t="n">
        <v>45881</v>
      </c>
      <c r="D680" t="inlineStr">
        <is>
          <t>DALARNAS LÄN</t>
        </is>
      </c>
      <c r="E680" t="inlineStr">
        <is>
          <t>MALUNG-SÄLEN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9037-2025</t>
        </is>
      </c>
      <c r="B681" s="1" t="n">
        <v>45713.6208912037</v>
      </c>
      <c r="C681" s="1" t="n">
        <v>45881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35087-2025</t>
        </is>
      </c>
      <c r="B682" s="1" t="n">
        <v>45852.51752314815</v>
      </c>
      <c r="C682" s="1" t="n">
        <v>45881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34854-2025</t>
        </is>
      </c>
      <c r="B683" s="1" t="n">
        <v>45849.42806712963</v>
      </c>
      <c r="C683" s="1" t="n">
        <v>45881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35136-2025</t>
        </is>
      </c>
      <c r="B684" s="1" t="n">
        <v>45852.64193287037</v>
      </c>
      <c r="C684" s="1" t="n">
        <v>45881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20545-2025</t>
        </is>
      </c>
      <c r="B685" s="1" t="n">
        <v>45775.63165509259</v>
      </c>
      <c r="C685" s="1" t="n">
        <v>45881</v>
      </c>
      <c r="D685" t="inlineStr">
        <is>
          <t>DALARNAS LÄN</t>
        </is>
      </c>
      <c r="E685" t="inlineStr">
        <is>
          <t>MALUNG-SÄLEN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3853-2024</t>
        </is>
      </c>
      <c r="B686" s="1" t="n">
        <v>45322.36032407408</v>
      </c>
      <c r="C686" s="1" t="n">
        <v>45881</v>
      </c>
      <c r="D686" t="inlineStr">
        <is>
          <t>DALARNAS LÄN</t>
        </is>
      </c>
      <c r="E686" t="inlineStr">
        <is>
          <t>MALUNG-SÄLEN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54928-2022</t>
        </is>
      </c>
      <c r="B687" s="1" t="n">
        <v>44886.43664351852</v>
      </c>
      <c r="C687" s="1" t="n">
        <v>45881</v>
      </c>
      <c r="D687" t="inlineStr">
        <is>
          <t>DALARNAS LÄN</t>
        </is>
      </c>
      <c r="E687" t="inlineStr">
        <is>
          <t>MALUNG-SÄLEN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54932-2022</t>
        </is>
      </c>
      <c r="B688" s="1" t="n">
        <v>44881</v>
      </c>
      <c r="C688" s="1" t="n">
        <v>45881</v>
      </c>
      <c r="D688" t="inlineStr">
        <is>
          <t>DALARNAS LÄN</t>
        </is>
      </c>
      <c r="E688" t="inlineStr">
        <is>
          <t>MALUNG-SÄLEN</t>
        </is>
      </c>
      <c r="G688" t="n">
        <v>8.1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44190-2023</t>
        </is>
      </c>
      <c r="B689" s="1" t="n">
        <v>45188.53271990741</v>
      </c>
      <c r="C689" s="1" t="n">
        <v>45881</v>
      </c>
      <c r="D689" t="inlineStr">
        <is>
          <t>DALARNAS LÄN</t>
        </is>
      </c>
      <c r="E689" t="inlineStr">
        <is>
          <t>MALUNG-SÄLEN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35240-2025</t>
        </is>
      </c>
      <c r="B690" s="1" t="n">
        <v>45853.61689814815</v>
      </c>
      <c r="C690" s="1" t="n">
        <v>45881</v>
      </c>
      <c r="D690" t="inlineStr">
        <is>
          <t>DALARNAS LÄN</t>
        </is>
      </c>
      <c r="E690" t="inlineStr">
        <is>
          <t>MALUNG-SÄLEN</t>
        </is>
      </c>
      <c r="F690" t="inlineStr">
        <is>
          <t>Bergvik skog öst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24138-2025</t>
        </is>
      </c>
      <c r="B691" s="1" t="n">
        <v>45796.64077546296</v>
      </c>
      <c r="C691" s="1" t="n">
        <v>45881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24210-2025</t>
        </is>
      </c>
      <c r="B692" s="1" t="n">
        <v>45797.34548611111</v>
      </c>
      <c r="C692" s="1" t="n">
        <v>45881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HYPERLINK("https://klasma.github.io/Logging_2023/knärot/A 24210-2025 karta knärot.png", "A 24210-2025")</f>
        <v/>
      </c>
      <c r="V692">
        <f>HYPERLINK("https://klasma.github.io/Logging_2023/klagomål/A 24210-2025 FSC-klagomål.docx", "A 24210-2025")</f>
        <v/>
      </c>
      <c r="W692">
        <f>HYPERLINK("https://klasma.github.io/Logging_2023/klagomålsmail/A 24210-2025 FSC-klagomål mail.docx", "A 24210-2025")</f>
        <v/>
      </c>
      <c r="X692">
        <f>HYPERLINK("https://klasma.github.io/Logging_2023/tillsyn/A 24210-2025 tillsynsbegäran.docx", "A 24210-2025")</f>
        <v/>
      </c>
      <c r="Y692">
        <f>HYPERLINK("https://klasma.github.io/Logging_2023/tillsynsmail/A 24210-2025 tillsynsbegäran mail.docx", "A 24210-2025")</f>
        <v/>
      </c>
    </row>
    <row r="693" ht="15" customHeight="1">
      <c r="A693" t="inlineStr">
        <is>
          <t>A 55204-2023</t>
        </is>
      </c>
      <c r="B693" s="1" t="n">
        <v>45237</v>
      </c>
      <c r="C693" s="1" t="n">
        <v>45881</v>
      </c>
      <c r="D693" t="inlineStr">
        <is>
          <t>DALARNAS LÄN</t>
        </is>
      </c>
      <c r="E693" t="inlineStr">
        <is>
          <t>MALUNG-SÄLEN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55209-2023</t>
        </is>
      </c>
      <c r="B694" s="1" t="n">
        <v>45237</v>
      </c>
      <c r="C694" s="1" t="n">
        <v>45881</v>
      </c>
      <c r="D694" t="inlineStr">
        <is>
          <t>DALARNAS LÄN</t>
        </is>
      </c>
      <c r="E694" t="inlineStr">
        <is>
          <t>MALUNG-SÄLEN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59915-2023</t>
        </is>
      </c>
      <c r="B695" s="1" t="n">
        <v>45257.64123842592</v>
      </c>
      <c r="C695" s="1" t="n">
        <v>45881</v>
      </c>
      <c r="D695" t="inlineStr">
        <is>
          <t>DALARNAS LÄN</t>
        </is>
      </c>
      <c r="E695" t="inlineStr">
        <is>
          <t>MALUNG-SÄLEN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19312-2025</t>
        </is>
      </c>
      <c r="B696" s="1" t="n">
        <v>45769.57196759259</v>
      </c>
      <c r="C696" s="1" t="n">
        <v>45881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8826-2024</t>
        </is>
      </c>
      <c r="B697" s="1" t="n">
        <v>45355</v>
      </c>
      <c r="C697" s="1" t="n">
        <v>45881</v>
      </c>
      <c r="D697" t="inlineStr">
        <is>
          <t>DALARNAS LÄN</t>
        </is>
      </c>
      <c r="E697" t="inlineStr">
        <is>
          <t>MALUNG-SÄLEN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59875-2022</t>
        </is>
      </c>
      <c r="B698" s="1" t="n">
        <v>44908</v>
      </c>
      <c r="C698" s="1" t="n">
        <v>45881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Kommuner</t>
        </is>
      </c>
      <c r="G698" t="n">
        <v>17.8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3543-2023</t>
        </is>
      </c>
      <c r="B699" s="1" t="n">
        <v>44950</v>
      </c>
      <c r="C699" s="1" t="n">
        <v>45881</v>
      </c>
      <c r="D699" t="inlineStr">
        <is>
          <t>DALARNAS LÄN</t>
        </is>
      </c>
      <c r="E699" t="inlineStr">
        <is>
          <t>MALUNG-SÄLEN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3583-2023</t>
        </is>
      </c>
      <c r="B700" s="1" t="n">
        <v>44950</v>
      </c>
      <c r="C700" s="1" t="n">
        <v>45881</v>
      </c>
      <c r="D700" t="inlineStr">
        <is>
          <t>DALARNAS LÄN</t>
        </is>
      </c>
      <c r="E700" t="inlineStr">
        <is>
          <t>MALUNG-SÄLEN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63007-2023</t>
        </is>
      </c>
      <c r="B701" s="1" t="n">
        <v>45272.66512731482</v>
      </c>
      <c r="C701" s="1" t="n">
        <v>45881</v>
      </c>
      <c r="D701" t="inlineStr">
        <is>
          <t>DALARNAS LÄN</t>
        </is>
      </c>
      <c r="E701" t="inlineStr">
        <is>
          <t>MALUNG-SÄLEN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1257-2023</t>
        </is>
      </c>
      <c r="B702" s="1" t="n">
        <v>44936.37686342592</v>
      </c>
      <c r="C702" s="1" t="n">
        <v>45881</v>
      </c>
      <c r="D702" t="inlineStr">
        <is>
          <t>DALARNAS LÄN</t>
        </is>
      </c>
      <c r="E702" t="inlineStr">
        <is>
          <t>MALUNG-SÄLEN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8824-2024</t>
        </is>
      </c>
      <c r="B703" s="1" t="n">
        <v>45355</v>
      </c>
      <c r="C703" s="1" t="n">
        <v>45881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35493-2025</t>
        </is>
      </c>
      <c r="B704" s="1" t="n">
        <v>45855.90872685185</v>
      </c>
      <c r="C704" s="1" t="n">
        <v>45881</v>
      </c>
      <c r="D704" t="inlineStr">
        <is>
          <t>DALARNAS LÄN</t>
        </is>
      </c>
      <c r="E704" t="inlineStr">
        <is>
          <t>MALUNG-SÄLEN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35452-2025</t>
        </is>
      </c>
      <c r="B705" s="1" t="n">
        <v>45855.57219907407</v>
      </c>
      <c r="C705" s="1" t="n">
        <v>45881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21950-2024</t>
        </is>
      </c>
      <c r="B706" s="1" t="n">
        <v>45443.481875</v>
      </c>
      <c r="C706" s="1" t="n">
        <v>45881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Kommuner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61890-2023</t>
        </is>
      </c>
      <c r="B707" s="1" t="n">
        <v>45266</v>
      </c>
      <c r="C707" s="1" t="n">
        <v>45881</v>
      </c>
      <c r="D707" t="inlineStr">
        <is>
          <t>DALARNAS LÄN</t>
        </is>
      </c>
      <c r="E707" t="inlineStr">
        <is>
          <t>MALUNG-SÄLEN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37677-2024</t>
        </is>
      </c>
      <c r="B708" s="1" t="n">
        <v>45541.58631944445</v>
      </c>
      <c r="C708" s="1" t="n">
        <v>45881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20472-2025</t>
        </is>
      </c>
      <c r="B709" s="1" t="n">
        <v>45775</v>
      </c>
      <c r="C709" s="1" t="n">
        <v>45881</v>
      </c>
      <c r="D709" t="inlineStr">
        <is>
          <t>DALARNAS LÄN</t>
        </is>
      </c>
      <c r="E709" t="inlineStr">
        <is>
          <t>MALUNG-SÄLEN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28083-2025</t>
        </is>
      </c>
      <c r="B710" s="1" t="n">
        <v>45817.71776620371</v>
      </c>
      <c r="C710" s="1" t="n">
        <v>45881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28.4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28133-2025</t>
        </is>
      </c>
      <c r="B711" s="1" t="n">
        <v>45818.34246527778</v>
      </c>
      <c r="C711" s="1" t="n">
        <v>45881</v>
      </c>
      <c r="D711" t="inlineStr">
        <is>
          <t>DALARNAS LÄN</t>
        </is>
      </c>
      <c r="E711" t="inlineStr">
        <is>
          <t>MALUNG-SÄLEN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18249-2025</t>
        </is>
      </c>
      <c r="B712" s="1" t="n">
        <v>45762.33412037037</v>
      </c>
      <c r="C712" s="1" t="n">
        <v>45881</v>
      </c>
      <c r="D712" t="inlineStr">
        <is>
          <t>DALARNAS LÄN</t>
        </is>
      </c>
      <c r="E712" t="inlineStr">
        <is>
          <t>MALUNG-SÄLEN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14077-2025</t>
        </is>
      </c>
      <c r="B713" s="1" t="n">
        <v>45740.43369212963</v>
      </c>
      <c r="C713" s="1" t="n">
        <v>45881</v>
      </c>
      <c r="D713" t="inlineStr">
        <is>
          <t>DALARNAS LÄN</t>
        </is>
      </c>
      <c r="E713" t="inlineStr">
        <is>
          <t>MALUNG-SÄLEN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28268-2025</t>
        </is>
      </c>
      <c r="B714" s="1" t="n">
        <v>45818.56835648148</v>
      </c>
      <c r="C714" s="1" t="n">
        <v>45881</v>
      </c>
      <c r="D714" t="inlineStr">
        <is>
          <t>DALARNAS LÄN</t>
        </is>
      </c>
      <c r="E714" t="inlineStr">
        <is>
          <t>MALUNG-SÄLEN</t>
        </is>
      </c>
      <c r="F714" t="inlineStr">
        <is>
          <t>Övriga statliga verk och myndigheter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18260-2025</t>
        </is>
      </c>
      <c r="B715" s="1" t="n">
        <v>45762.36094907407</v>
      </c>
      <c r="C715" s="1" t="n">
        <v>45881</v>
      </c>
      <c r="D715" t="inlineStr">
        <is>
          <t>DALARNAS LÄN</t>
        </is>
      </c>
      <c r="E715" t="inlineStr">
        <is>
          <t>MALUNG-SÄLEN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60230-2021</t>
        </is>
      </c>
      <c r="B716" s="1" t="n">
        <v>44495</v>
      </c>
      <c r="C716" s="1" t="n">
        <v>45881</v>
      </c>
      <c r="D716" t="inlineStr">
        <is>
          <t>DALARNAS LÄN</t>
        </is>
      </c>
      <c r="E716" t="inlineStr">
        <is>
          <t>MALUNG-SÄLEN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971-2024</t>
        </is>
      </c>
      <c r="B717" s="1" t="n">
        <v>45301</v>
      </c>
      <c r="C717" s="1" t="n">
        <v>45881</v>
      </c>
      <c r="D717" t="inlineStr">
        <is>
          <t>DALARNAS LÄN</t>
        </is>
      </c>
      <c r="E717" t="inlineStr">
        <is>
          <t>MALUNG-SÄLEN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28542-2025</t>
        </is>
      </c>
      <c r="B718" s="1" t="n">
        <v>45818</v>
      </c>
      <c r="C718" s="1" t="n">
        <v>45881</v>
      </c>
      <c r="D718" t="inlineStr">
        <is>
          <t>DALARNAS LÄN</t>
        </is>
      </c>
      <c r="E718" t="inlineStr">
        <is>
          <t>MALUNG-SÄLEN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28191-2025</t>
        </is>
      </c>
      <c r="B719" s="1" t="n">
        <v>45818.41689814815</v>
      </c>
      <c r="C719" s="1" t="n">
        <v>45881</v>
      </c>
      <c r="D719" t="inlineStr">
        <is>
          <t>DALARNAS LÄN</t>
        </is>
      </c>
      <c r="E719" t="inlineStr">
        <is>
          <t>MALUNG-SÄLEN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28192-2025</t>
        </is>
      </c>
      <c r="B720" s="1" t="n">
        <v>45818.42233796296</v>
      </c>
      <c r="C720" s="1" t="n">
        <v>45881</v>
      </c>
      <c r="D720" t="inlineStr">
        <is>
          <t>DALARNAS LÄN</t>
        </is>
      </c>
      <c r="E720" t="inlineStr">
        <is>
          <t>MALUNG-SÄLEN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2736-2025</t>
        </is>
      </c>
      <c r="B721" s="1" t="n">
        <v>45677.45149305555</v>
      </c>
      <c r="C721" s="1" t="n">
        <v>45881</v>
      </c>
      <c r="D721" t="inlineStr">
        <is>
          <t>DALARNAS LÄN</t>
        </is>
      </c>
      <c r="E721" t="inlineStr">
        <is>
          <t>MALUNG-SÄLEN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19596-2024</t>
        </is>
      </c>
      <c r="B722" s="1" t="n">
        <v>45430.59172453704</v>
      </c>
      <c r="C722" s="1" t="n">
        <v>45881</v>
      </c>
      <c r="D722" t="inlineStr">
        <is>
          <t>DALARNAS LÄN</t>
        </is>
      </c>
      <c r="E722" t="inlineStr">
        <is>
          <t>MALUNG-SÄLEN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28850-2025</t>
        </is>
      </c>
      <c r="B723" s="1" t="n">
        <v>45820.57655092593</v>
      </c>
      <c r="C723" s="1" t="n">
        <v>45881</v>
      </c>
      <c r="D723" t="inlineStr">
        <is>
          <t>DALARNAS LÄN</t>
        </is>
      </c>
      <c r="E723" t="inlineStr">
        <is>
          <t>MALUNG-SÄLEN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1400-2024</t>
        </is>
      </c>
      <c r="B724" s="1" t="n">
        <v>45303</v>
      </c>
      <c r="C724" s="1" t="n">
        <v>45881</v>
      </c>
      <c r="D724" t="inlineStr">
        <is>
          <t>DALARNAS LÄN</t>
        </is>
      </c>
      <c r="E724" t="inlineStr">
        <is>
          <t>MALUNG-SÄLEN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28764-2025</t>
        </is>
      </c>
      <c r="B725" s="1" t="n">
        <v>45820.41873842593</v>
      </c>
      <c r="C725" s="1" t="n">
        <v>45881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32.7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21018-2021</t>
        </is>
      </c>
      <c r="B726" s="1" t="n">
        <v>44319.62157407407</v>
      </c>
      <c r="C726" s="1" t="n">
        <v>45881</v>
      </c>
      <c r="D726" t="inlineStr">
        <is>
          <t>DALARNAS LÄN</t>
        </is>
      </c>
      <c r="E726" t="inlineStr">
        <is>
          <t>MALUNG-SÄLEN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28518-2025</t>
        </is>
      </c>
      <c r="B727" s="1" t="n">
        <v>45819.48769675926</v>
      </c>
      <c r="C727" s="1" t="n">
        <v>45881</v>
      </c>
      <c r="D727" t="inlineStr">
        <is>
          <t>DALARNAS LÄN</t>
        </is>
      </c>
      <c r="E727" t="inlineStr">
        <is>
          <t>MALUNG-SÄLEN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28864-2025</t>
        </is>
      </c>
      <c r="B728" s="1" t="n">
        <v>45820.59396990741</v>
      </c>
      <c r="C728" s="1" t="n">
        <v>45881</v>
      </c>
      <c r="D728" t="inlineStr">
        <is>
          <t>DALARNAS LÄN</t>
        </is>
      </c>
      <c r="E728" t="inlineStr">
        <is>
          <t>MALUNG-SÄLEN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16035-2025</t>
        </is>
      </c>
      <c r="B729" s="1" t="n">
        <v>45749</v>
      </c>
      <c r="C729" s="1" t="n">
        <v>45881</v>
      </c>
      <c r="D729" t="inlineStr">
        <is>
          <t>DALARNAS LÄN</t>
        </is>
      </c>
      <c r="E729" t="inlineStr">
        <is>
          <t>MALUNG-SÄLEN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28856-2025</t>
        </is>
      </c>
      <c r="B730" s="1" t="n">
        <v>45820.5865625</v>
      </c>
      <c r="C730" s="1" t="n">
        <v>45881</v>
      </c>
      <c r="D730" t="inlineStr">
        <is>
          <t>DALARNAS LÄN</t>
        </is>
      </c>
      <c r="E730" t="inlineStr">
        <is>
          <t>MALUNG-SÄLEN</t>
        </is>
      </c>
      <c r="G730" t="n">
        <v>15.1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29257-2025</t>
        </is>
      </c>
      <c r="B731" s="1" t="n">
        <v>45824.38527777778</v>
      </c>
      <c r="C731" s="1" t="n">
        <v>45881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1704-2023</t>
        </is>
      </c>
      <c r="B732" s="1" t="n">
        <v>44938</v>
      </c>
      <c r="C732" s="1" t="n">
        <v>45881</v>
      </c>
      <c r="D732" t="inlineStr">
        <is>
          <t>DALARNAS LÄN</t>
        </is>
      </c>
      <c r="E732" t="inlineStr">
        <is>
          <t>MALUNG-SÄLEN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29398-2025</t>
        </is>
      </c>
      <c r="B733" s="1" t="n">
        <v>45824.61040509259</v>
      </c>
      <c r="C733" s="1" t="n">
        <v>45881</v>
      </c>
      <c r="D733" t="inlineStr">
        <is>
          <t>DALARNAS LÄN</t>
        </is>
      </c>
      <c r="E733" t="inlineStr">
        <is>
          <t>MALUNG-SÄLEN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29424-2025</t>
        </is>
      </c>
      <c r="B734" s="1" t="n">
        <v>45824.64315972223</v>
      </c>
      <c r="C734" s="1" t="n">
        <v>45881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29041-2025</t>
        </is>
      </c>
      <c r="B735" s="1" t="n">
        <v>45821.45039351852</v>
      </c>
      <c r="C735" s="1" t="n">
        <v>45881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42924-2024</t>
        </is>
      </c>
      <c r="B736" s="1" t="n">
        <v>45567.31128472222</v>
      </c>
      <c r="C736" s="1" t="n">
        <v>45881</v>
      </c>
      <c r="D736" t="inlineStr">
        <is>
          <t>DALARNAS LÄN</t>
        </is>
      </c>
      <c r="E736" t="inlineStr">
        <is>
          <t>MALUNG-SÄLEN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29359-2025</t>
        </is>
      </c>
      <c r="B737" s="1" t="n">
        <v>45824.56101851852</v>
      </c>
      <c r="C737" s="1" t="n">
        <v>45881</v>
      </c>
      <c r="D737" t="inlineStr">
        <is>
          <t>DALARNAS LÄN</t>
        </is>
      </c>
      <c r="E737" t="inlineStr">
        <is>
          <t>MALUNG-SÄLEN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38900-2024</t>
        </is>
      </c>
      <c r="B738" s="1" t="n">
        <v>45547.6940625</v>
      </c>
      <c r="C738" s="1" t="n">
        <v>45881</v>
      </c>
      <c r="D738" t="inlineStr">
        <is>
          <t>DALARNAS LÄN</t>
        </is>
      </c>
      <c r="E738" t="inlineStr">
        <is>
          <t>MALUNG-SÄLEN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19851-2023</t>
        </is>
      </c>
      <c r="B739" s="1" t="n">
        <v>45053</v>
      </c>
      <c r="C739" s="1" t="n">
        <v>45881</v>
      </c>
      <c r="D739" t="inlineStr">
        <is>
          <t>DALARNAS LÄN</t>
        </is>
      </c>
      <c r="E739" t="inlineStr">
        <is>
          <t>MALUNG-SÄLEN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19857-2023</t>
        </is>
      </c>
      <c r="B740" s="1" t="n">
        <v>45053.85569444444</v>
      </c>
      <c r="C740" s="1" t="n">
        <v>45881</v>
      </c>
      <c r="D740" t="inlineStr">
        <is>
          <t>DALARNAS LÄN</t>
        </is>
      </c>
      <c r="E740" t="inlineStr">
        <is>
          <t>MALUNG-SÄLEN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29040-2025</t>
        </is>
      </c>
      <c r="B741" s="1" t="n">
        <v>45821.44921296297</v>
      </c>
      <c r="C741" s="1" t="n">
        <v>45881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29259-2025</t>
        </is>
      </c>
      <c r="B742" s="1" t="n">
        <v>45824.39042824074</v>
      </c>
      <c r="C742" s="1" t="n">
        <v>45881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29363-2025</t>
        </is>
      </c>
      <c r="B743" s="1" t="n">
        <v>45824.56637731481</v>
      </c>
      <c r="C743" s="1" t="n">
        <v>45881</v>
      </c>
      <c r="D743" t="inlineStr">
        <is>
          <t>DALARNAS LÄN</t>
        </is>
      </c>
      <c r="E743" t="inlineStr">
        <is>
          <t>MALUNG-SÄLEN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29052-2025</t>
        </is>
      </c>
      <c r="B744" s="1" t="n">
        <v>45821.4656712963</v>
      </c>
      <c r="C744" s="1" t="n">
        <v>45881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29097-2025</t>
        </is>
      </c>
      <c r="B745" s="1" t="n">
        <v>45821.56467592593</v>
      </c>
      <c r="C745" s="1" t="n">
        <v>45881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29458-2025</t>
        </is>
      </c>
      <c r="B746" s="1" t="n">
        <v>45824.69283564815</v>
      </c>
      <c r="C746" s="1" t="n">
        <v>45881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väst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29362-2025</t>
        </is>
      </c>
      <c r="B747" s="1" t="n">
        <v>45824.56353009259</v>
      </c>
      <c r="C747" s="1" t="n">
        <v>45881</v>
      </c>
      <c r="D747" t="inlineStr">
        <is>
          <t>DALARNAS LÄN</t>
        </is>
      </c>
      <c r="E747" t="inlineStr">
        <is>
          <t>MALUNG-SÄLEN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29365-2025</t>
        </is>
      </c>
      <c r="B748" s="1" t="n">
        <v>45824.56792824074</v>
      </c>
      <c r="C748" s="1" t="n">
        <v>45881</v>
      </c>
      <c r="D748" t="inlineStr">
        <is>
          <t>DALARNAS LÄN</t>
        </is>
      </c>
      <c r="E748" t="inlineStr">
        <is>
          <t>MALUNG-SÄLEN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36261-2025</t>
        </is>
      </c>
      <c r="B749" s="1" t="n">
        <v>45867.61236111111</v>
      </c>
      <c r="C749" s="1" t="n">
        <v>45881</v>
      </c>
      <c r="D749" t="inlineStr">
        <is>
          <t>DALARNAS LÄN</t>
        </is>
      </c>
      <c r="E749" t="inlineStr">
        <is>
          <t>MALUNG-SÄLEN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29950-2025</t>
        </is>
      </c>
      <c r="B750" s="1" t="n">
        <v>45826.46914351852</v>
      </c>
      <c r="C750" s="1" t="n">
        <v>45881</v>
      </c>
      <c r="D750" t="inlineStr">
        <is>
          <t>DALARNAS LÄN</t>
        </is>
      </c>
      <c r="E750" t="inlineStr">
        <is>
          <t>MALUNG-SÄLEN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29913-2025</t>
        </is>
      </c>
      <c r="B751" s="1" t="n">
        <v>45826.41086805556</v>
      </c>
      <c r="C751" s="1" t="n">
        <v>45881</v>
      </c>
      <c r="D751" t="inlineStr">
        <is>
          <t>DALARNAS LÄN</t>
        </is>
      </c>
      <c r="E751" t="inlineStr">
        <is>
          <t>MALUNG-SÄLEN</t>
        </is>
      </c>
      <c r="F751" t="inlineStr">
        <is>
          <t>Allmännings- och besparingsskogar</t>
        </is>
      </c>
      <c r="G751" t="n">
        <v>13.7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58420-2024</t>
        </is>
      </c>
      <c r="B752" s="1" t="n">
        <v>45634.86686342592</v>
      </c>
      <c r="C752" s="1" t="n">
        <v>45881</v>
      </c>
      <c r="D752" t="inlineStr">
        <is>
          <t>DALARNAS LÄN</t>
        </is>
      </c>
      <c r="E752" t="inlineStr">
        <is>
          <t>MALUNG-SÄLEN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48982-2022</t>
        </is>
      </c>
      <c r="B753" s="1" t="n">
        <v>44860</v>
      </c>
      <c r="C753" s="1" t="n">
        <v>45881</v>
      </c>
      <c r="D753" t="inlineStr">
        <is>
          <t>DALARNAS LÄN</t>
        </is>
      </c>
      <c r="E753" t="inlineStr">
        <is>
          <t>MALUNG-SÄLEN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57895-2022</t>
        </is>
      </c>
      <c r="B754" s="1" t="n">
        <v>44900</v>
      </c>
      <c r="C754" s="1" t="n">
        <v>45881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36218-2025</t>
        </is>
      </c>
      <c r="B755" s="1" t="n">
        <v>45867.49938657408</v>
      </c>
      <c r="C755" s="1" t="n">
        <v>45881</v>
      </c>
      <c r="D755" t="inlineStr">
        <is>
          <t>DALARNAS LÄN</t>
        </is>
      </c>
      <c r="E755" t="inlineStr">
        <is>
          <t>MALUNG-SÄLEN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9170-2025</t>
        </is>
      </c>
      <c r="B756" s="1" t="n">
        <v>45713</v>
      </c>
      <c r="C756" s="1" t="n">
        <v>45881</v>
      </c>
      <c r="D756" t="inlineStr">
        <is>
          <t>DALARNAS LÄN</t>
        </is>
      </c>
      <c r="E756" t="inlineStr">
        <is>
          <t>MALUNG-SÄLEN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55969-2024</t>
        </is>
      </c>
      <c r="B757" s="1" t="n">
        <v>45623.64973379629</v>
      </c>
      <c r="C757" s="1" t="n">
        <v>45881</v>
      </c>
      <c r="D757" t="inlineStr">
        <is>
          <t>DALARNAS LÄN</t>
        </is>
      </c>
      <c r="E757" t="inlineStr">
        <is>
          <t>MALUNG-SÄLEN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16157-2024</t>
        </is>
      </c>
      <c r="B758" s="1" t="n">
        <v>45406.58510416667</v>
      </c>
      <c r="C758" s="1" t="n">
        <v>45881</v>
      </c>
      <c r="D758" t="inlineStr">
        <is>
          <t>DALARNAS LÄN</t>
        </is>
      </c>
      <c r="E758" t="inlineStr">
        <is>
          <t>MALUNG-SÄLEN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23413-2024</t>
        </is>
      </c>
      <c r="B759" s="1" t="n">
        <v>45453.59372685185</v>
      </c>
      <c r="C759" s="1" t="n">
        <v>45881</v>
      </c>
      <c r="D759" t="inlineStr">
        <is>
          <t>DALARNAS LÄN</t>
        </is>
      </c>
      <c r="E759" t="inlineStr">
        <is>
          <t>MALUNG-SÄLEN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57744-2022</t>
        </is>
      </c>
      <c r="B760" s="1" t="n">
        <v>44897.57861111111</v>
      </c>
      <c r="C760" s="1" t="n">
        <v>45881</v>
      </c>
      <c r="D760" t="inlineStr">
        <is>
          <t>DALARNAS LÄN</t>
        </is>
      </c>
      <c r="E760" t="inlineStr">
        <is>
          <t>MALUNG-SÄLEN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30176-2025</t>
        </is>
      </c>
      <c r="B761" s="1" t="n">
        <v>45827.34490740741</v>
      </c>
      <c r="C761" s="1" t="n">
        <v>45881</v>
      </c>
      <c r="D761" t="inlineStr">
        <is>
          <t>DALARNAS LÄN</t>
        </is>
      </c>
      <c r="E761" t="inlineStr">
        <is>
          <t>MALUNG-SÄLEN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30812-2025</t>
        </is>
      </c>
      <c r="B762" s="1" t="n">
        <v>45831.65957175926</v>
      </c>
      <c r="C762" s="1" t="n">
        <v>45881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30808-2025</t>
        </is>
      </c>
      <c r="B763" s="1" t="n">
        <v>45831.65703703704</v>
      </c>
      <c r="C763" s="1" t="n">
        <v>45881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Kommuner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30914-2025</t>
        </is>
      </c>
      <c r="B764" s="1" t="n">
        <v>45832.37792824074</v>
      </c>
      <c r="C764" s="1" t="n">
        <v>45881</v>
      </c>
      <c r="D764" t="inlineStr">
        <is>
          <t>DALARNAS LÄN</t>
        </is>
      </c>
      <c r="E764" t="inlineStr">
        <is>
          <t>MALUNG-SÄLEN</t>
        </is>
      </c>
      <c r="F764" t="inlineStr">
        <is>
          <t>Bergvik skog öst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30566-2025</t>
        </is>
      </c>
      <c r="B765" s="1" t="n">
        <v>45831.40608796296</v>
      </c>
      <c r="C765" s="1" t="n">
        <v>45881</v>
      </c>
      <c r="D765" t="inlineStr">
        <is>
          <t>DALARNAS LÄN</t>
        </is>
      </c>
      <c r="E765" t="inlineStr">
        <is>
          <t>MALUNG-SÄLEN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31067-2025</t>
        </is>
      </c>
      <c r="B766" s="1" t="n">
        <v>45832.57787037037</v>
      </c>
      <c r="C766" s="1" t="n">
        <v>45881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öst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30919-2025</t>
        </is>
      </c>
      <c r="B767" s="1" t="n">
        <v>45832.38466435186</v>
      </c>
      <c r="C767" s="1" t="n">
        <v>45881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26913-2022</t>
        </is>
      </c>
      <c r="B768" s="1" t="n">
        <v>44740.59753472222</v>
      </c>
      <c r="C768" s="1" t="n">
        <v>45881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30633-2025</t>
        </is>
      </c>
      <c r="B769" s="1" t="n">
        <v>45831.47927083333</v>
      </c>
      <c r="C769" s="1" t="n">
        <v>45881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30524-2025</t>
        </is>
      </c>
      <c r="B770" s="1" t="n">
        <v>45831.35322916666</v>
      </c>
      <c r="C770" s="1" t="n">
        <v>45881</v>
      </c>
      <c r="D770" t="inlineStr">
        <is>
          <t>DALARNAS LÄN</t>
        </is>
      </c>
      <c r="E770" t="inlineStr">
        <is>
          <t>MALUNG-SÄLEN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4420-2022</t>
        </is>
      </c>
      <c r="B771" s="1" t="n">
        <v>44589</v>
      </c>
      <c r="C771" s="1" t="n">
        <v>45881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30821-2025</t>
        </is>
      </c>
      <c r="B772" s="1" t="n">
        <v>45831.66356481481</v>
      </c>
      <c r="C772" s="1" t="n">
        <v>45881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40461-2024</t>
        </is>
      </c>
      <c r="B773" s="1" t="n">
        <v>45555.51069444444</v>
      </c>
      <c r="C773" s="1" t="n">
        <v>45881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31534-2025</t>
        </is>
      </c>
      <c r="B774" s="1" t="n">
        <v>45833</v>
      </c>
      <c r="C774" s="1" t="n">
        <v>45881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27.3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4811-2023</t>
        </is>
      </c>
      <c r="B775" s="1" t="n">
        <v>44957</v>
      </c>
      <c r="C775" s="1" t="n">
        <v>45881</v>
      </c>
      <c r="D775" t="inlineStr">
        <is>
          <t>DALARNAS LÄN</t>
        </is>
      </c>
      <c r="E775" t="inlineStr">
        <is>
          <t>MALUNG-SÄLEN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42672-2022</t>
        </is>
      </c>
      <c r="B776" s="1" t="n">
        <v>44832.32884259259</v>
      </c>
      <c r="C776" s="1" t="n">
        <v>45881</v>
      </c>
      <c r="D776" t="inlineStr">
        <is>
          <t>DALARNAS LÄN</t>
        </is>
      </c>
      <c r="E776" t="inlineStr">
        <is>
          <t>MALUNG-SÄLEN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42022-2024</t>
        </is>
      </c>
      <c r="B777" s="1" t="n">
        <v>45561</v>
      </c>
      <c r="C777" s="1" t="n">
        <v>45881</v>
      </c>
      <c r="D777" t="inlineStr">
        <is>
          <t>DALARNAS LÄN</t>
        </is>
      </c>
      <c r="E777" t="inlineStr">
        <is>
          <t>MALUNG-SÄLEN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3941-2021</t>
        </is>
      </c>
      <c r="B778" s="1" t="n">
        <v>44222</v>
      </c>
      <c r="C778" s="1" t="n">
        <v>45881</v>
      </c>
      <c r="D778" t="inlineStr">
        <is>
          <t>DALARNAS LÄN</t>
        </is>
      </c>
      <c r="E778" t="inlineStr">
        <is>
          <t>MALUNG-SÄLEN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31537-2025</t>
        </is>
      </c>
      <c r="B779" s="1" t="n">
        <v>45833</v>
      </c>
      <c r="C779" s="1" t="n">
        <v>45881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31700-2025</t>
        </is>
      </c>
      <c r="B780" s="1" t="n">
        <v>45834</v>
      </c>
      <c r="C780" s="1" t="n">
        <v>45881</v>
      </c>
      <c r="D780" t="inlineStr">
        <is>
          <t>DALARNAS LÄN</t>
        </is>
      </c>
      <c r="E780" t="inlineStr">
        <is>
          <t>MALUNG-SÄLEN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27143-2022</t>
        </is>
      </c>
      <c r="B781" s="1" t="n">
        <v>44741.50043981482</v>
      </c>
      <c r="C781" s="1" t="n">
        <v>45881</v>
      </c>
      <c r="D781" t="inlineStr">
        <is>
          <t>DALARNAS LÄN</t>
        </is>
      </c>
      <c r="E781" t="inlineStr">
        <is>
          <t>MALUNG-SÄLEN</t>
        </is>
      </c>
      <c r="F781" t="inlineStr">
        <is>
          <t>Kommuner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18045-2024</t>
        </is>
      </c>
      <c r="B782" s="1" t="n">
        <v>45420.37567129629</v>
      </c>
      <c r="C782" s="1" t="n">
        <v>45881</v>
      </c>
      <c r="D782" t="inlineStr">
        <is>
          <t>DALARNAS LÄN</t>
        </is>
      </c>
      <c r="E782" t="inlineStr">
        <is>
          <t>MALUNG-SÄLEN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31998-2025</t>
        </is>
      </c>
      <c r="B783" s="1" t="n">
        <v>45835.37701388889</v>
      </c>
      <c r="C783" s="1" t="n">
        <v>45881</v>
      </c>
      <c r="D783" t="inlineStr">
        <is>
          <t>DALARNAS LÄN</t>
        </is>
      </c>
      <c r="E783" t="inlineStr">
        <is>
          <t>MALUNG-SÄLEN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37166-2025</t>
        </is>
      </c>
      <c r="B784" s="1" t="n">
        <v>45875</v>
      </c>
      <c r="C784" s="1" t="n">
        <v>45881</v>
      </c>
      <c r="D784" t="inlineStr">
        <is>
          <t>DALARNAS LÄN</t>
        </is>
      </c>
      <c r="E784" t="inlineStr">
        <is>
          <t>MALUNG-SÄLEN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9977-2023</t>
        </is>
      </c>
      <c r="B785" s="1" t="n">
        <v>44979</v>
      </c>
      <c r="C785" s="1" t="n">
        <v>45881</v>
      </c>
      <c r="D785" t="inlineStr">
        <is>
          <t>DALARNAS LÄN</t>
        </is>
      </c>
      <c r="E785" t="inlineStr">
        <is>
          <t>MALUNG-SÄLEN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37172-2025</t>
        </is>
      </c>
      <c r="B786" s="1" t="n">
        <v>45875</v>
      </c>
      <c r="C786" s="1" t="n">
        <v>45881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32117-2025</t>
        </is>
      </c>
      <c r="B787" s="1" t="n">
        <v>45835.48920138889</v>
      </c>
      <c r="C787" s="1" t="n">
        <v>45881</v>
      </c>
      <c r="D787" t="inlineStr">
        <is>
          <t>DALARNAS LÄN</t>
        </is>
      </c>
      <c r="E787" t="inlineStr">
        <is>
          <t>MALUNG-SÄLEN</t>
        </is>
      </c>
      <c r="G787" t="n">
        <v>34.5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32129-2025</t>
        </is>
      </c>
      <c r="B788" s="1" t="n">
        <v>45835</v>
      </c>
      <c r="C788" s="1" t="n">
        <v>45881</v>
      </c>
      <c r="D788" t="inlineStr">
        <is>
          <t>DALARNAS LÄN</t>
        </is>
      </c>
      <c r="E788" t="inlineStr">
        <is>
          <t>MALUNG-SÄLEN</t>
        </is>
      </c>
      <c r="G788" t="n">
        <v>26.3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32570-2025</t>
        </is>
      </c>
      <c r="B789" s="1" t="n">
        <v>45838</v>
      </c>
      <c r="C789" s="1" t="n">
        <v>45881</v>
      </c>
      <c r="D789" t="inlineStr">
        <is>
          <t>DALARNAS LÄN</t>
        </is>
      </c>
      <c r="E789" t="inlineStr">
        <is>
          <t>MALUNG-SÄLEN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37634-2025</t>
        </is>
      </c>
      <c r="B790" s="1" t="n">
        <v>45880.46700231481</v>
      </c>
      <c r="C790" s="1" t="n">
        <v>45881</v>
      </c>
      <c r="D790" t="inlineStr">
        <is>
          <t>DALARNAS LÄN</t>
        </is>
      </c>
      <c r="E790" t="inlineStr">
        <is>
          <t>MALUNG-SÄLEN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37636-2025</t>
        </is>
      </c>
      <c r="B791" s="1" t="n">
        <v>45880.4719212963</v>
      </c>
      <c r="C791" s="1" t="n">
        <v>45881</v>
      </c>
      <c r="D791" t="inlineStr">
        <is>
          <t>DALARNAS LÄN</t>
        </is>
      </c>
      <c r="E791" t="inlineStr">
        <is>
          <t>MALUNG-SÄLEN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32153-2025</t>
        </is>
      </c>
      <c r="B792" s="1" t="n">
        <v>45835.53376157407</v>
      </c>
      <c r="C792" s="1" t="n">
        <v>45881</v>
      </c>
      <c r="D792" t="inlineStr">
        <is>
          <t>DALARNAS LÄN</t>
        </is>
      </c>
      <c r="E792" t="inlineStr">
        <is>
          <t>MALUNG-SÄLEN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36863-2025</t>
        </is>
      </c>
      <c r="B793" s="1" t="n">
        <v>45874</v>
      </c>
      <c r="C793" s="1" t="n">
        <v>45881</v>
      </c>
      <c r="D793" t="inlineStr">
        <is>
          <t>DALARNAS LÄN</t>
        </is>
      </c>
      <c r="E793" t="inlineStr">
        <is>
          <t>MALUNG-SÄLEN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32420-2025</t>
        </is>
      </c>
      <c r="B794" s="1" t="n">
        <v>45838</v>
      </c>
      <c r="C794" s="1" t="n">
        <v>45881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36988-2025</t>
        </is>
      </c>
      <c r="B795" s="1" t="n">
        <v>45874</v>
      </c>
      <c r="C795" s="1" t="n">
        <v>45881</v>
      </c>
      <c r="D795" t="inlineStr">
        <is>
          <t>DALARNAS LÄN</t>
        </is>
      </c>
      <c r="E795" t="inlineStr">
        <is>
          <t>MALUNG-SÄLEN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37040-2025</t>
        </is>
      </c>
      <c r="B796" s="1" t="n">
        <v>45875</v>
      </c>
      <c r="C796" s="1" t="n">
        <v>45881</v>
      </c>
      <c r="D796" t="inlineStr">
        <is>
          <t>DALARNAS LÄN</t>
        </is>
      </c>
      <c r="E796" t="inlineStr">
        <is>
          <t>MALUNG-SÄLEN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51768-2024</t>
        </is>
      </c>
      <c r="B797" s="1" t="n">
        <v>45607.44731481482</v>
      </c>
      <c r="C797" s="1" t="n">
        <v>45881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51794-2024</t>
        </is>
      </c>
      <c r="B798" s="1" t="n">
        <v>45607.4666087963</v>
      </c>
      <c r="C798" s="1" t="n">
        <v>45881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37642-2025</t>
        </is>
      </c>
      <c r="B799" s="1" t="n">
        <v>45880.47787037037</v>
      </c>
      <c r="C799" s="1" t="n">
        <v>45881</v>
      </c>
      <c r="D799" t="inlineStr">
        <is>
          <t>DALARNAS LÄN</t>
        </is>
      </c>
      <c r="E799" t="inlineStr">
        <is>
          <t>MALUNG-SÄLEN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12345-2022</t>
        </is>
      </c>
      <c r="B800" s="1" t="n">
        <v>44637</v>
      </c>
      <c r="C800" s="1" t="n">
        <v>45881</v>
      </c>
      <c r="D800" t="inlineStr">
        <is>
          <t>DALARNAS LÄN</t>
        </is>
      </c>
      <c r="E800" t="inlineStr">
        <is>
          <t>MALUNG-SÄLEN</t>
        </is>
      </c>
      <c r="F800" t="inlineStr">
        <is>
          <t>Allmännings- och besparingsskogar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10457-2022</t>
        </is>
      </c>
      <c r="B801" s="1" t="n">
        <v>44623.561875</v>
      </c>
      <c r="C801" s="1" t="n">
        <v>45881</v>
      </c>
      <c r="D801" t="inlineStr">
        <is>
          <t>DALARNAS LÄN</t>
        </is>
      </c>
      <c r="E801" t="inlineStr">
        <is>
          <t>MALUNG-SÄLEN</t>
        </is>
      </c>
      <c r="F801" t="inlineStr">
        <is>
          <t>Kommuner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38569-2023</t>
        </is>
      </c>
      <c r="B802" s="1" t="n">
        <v>45162.61471064815</v>
      </c>
      <c r="C802" s="1" t="n">
        <v>45881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3179-2023</t>
        </is>
      </c>
      <c r="B803" s="1" t="n">
        <v>44946</v>
      </c>
      <c r="C803" s="1" t="n">
        <v>45881</v>
      </c>
      <c r="D803" t="inlineStr">
        <is>
          <t>DALARNAS LÄN</t>
        </is>
      </c>
      <c r="E803" t="inlineStr">
        <is>
          <t>MALUNG-SÄLEN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1590-2023</t>
        </is>
      </c>
      <c r="B804" s="1" t="n">
        <v>44937</v>
      </c>
      <c r="C804" s="1" t="n">
        <v>45881</v>
      </c>
      <c r="D804" t="inlineStr">
        <is>
          <t>DALARNAS LÄN</t>
        </is>
      </c>
      <c r="E804" t="inlineStr">
        <is>
          <t>MALUNG-SÄLEN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2469-2025</t>
        </is>
      </c>
      <c r="B805" s="1" t="n">
        <v>45674.473125</v>
      </c>
      <c r="C805" s="1" t="n">
        <v>45881</v>
      </c>
      <c r="D805" t="inlineStr">
        <is>
          <t>DALARNAS LÄN</t>
        </is>
      </c>
      <c r="E805" t="inlineStr">
        <is>
          <t>MALUNG-SÄLEN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42652-2024</t>
        </is>
      </c>
      <c r="B806" s="1" t="n">
        <v>45566.32714120371</v>
      </c>
      <c r="C806" s="1" t="n">
        <v>45881</v>
      </c>
      <c r="D806" t="inlineStr">
        <is>
          <t>DALARNAS LÄN</t>
        </is>
      </c>
      <c r="E806" t="inlineStr">
        <is>
          <t>MALUNG-SÄLEN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23079-2024</t>
        </is>
      </c>
      <c r="B807" s="1" t="n">
        <v>45450</v>
      </c>
      <c r="C807" s="1" t="n">
        <v>45881</v>
      </c>
      <c r="D807" t="inlineStr">
        <is>
          <t>DALARNAS LÄN</t>
        </is>
      </c>
      <c r="E807" t="inlineStr">
        <is>
          <t>MALUNG-SÄLEN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47971-2023</t>
        </is>
      </c>
      <c r="B808" s="1" t="n">
        <v>45204.60543981481</v>
      </c>
      <c r="C808" s="1" t="n">
        <v>45881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24727-2024</t>
        </is>
      </c>
      <c r="B809" s="1" t="n">
        <v>45460.644375</v>
      </c>
      <c r="C809" s="1" t="n">
        <v>45881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21450-2024</t>
        </is>
      </c>
      <c r="B810" s="1" t="n">
        <v>45441.46118055555</v>
      </c>
      <c r="C810" s="1" t="n">
        <v>45881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10386-2022</t>
        </is>
      </c>
      <c r="B811" s="1" t="n">
        <v>44623.41967592593</v>
      </c>
      <c r="C811" s="1" t="n">
        <v>45881</v>
      </c>
      <c r="D811" t="inlineStr">
        <is>
          <t>DALARNAS LÄN</t>
        </is>
      </c>
      <c r="E811" t="inlineStr">
        <is>
          <t>MALUNG-SÄLEN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19315-2024</t>
        </is>
      </c>
      <c r="B812" s="1" t="n">
        <v>45428</v>
      </c>
      <c r="C812" s="1" t="n">
        <v>45881</v>
      </c>
      <c r="D812" t="inlineStr">
        <is>
          <t>DALARNAS LÄN</t>
        </is>
      </c>
      <c r="E812" t="inlineStr">
        <is>
          <t>MALUNG-SÄLEN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52871-2023</t>
        </is>
      </c>
      <c r="B813" s="1" t="n">
        <v>45226.46472222222</v>
      </c>
      <c r="C813" s="1" t="n">
        <v>45881</v>
      </c>
      <c r="D813" t="inlineStr">
        <is>
          <t>DALARNAS LÄN</t>
        </is>
      </c>
      <c r="E813" t="inlineStr">
        <is>
          <t>MALUNG-SÄLEN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2025-08-12T08:27:56Z</dcterms:created>
  <dcterms:modified xmlns:dcterms="http://purl.org/dc/terms/" xmlns:xsi="http://www.w3.org/2001/XMLSchema-instance" xsi:type="dcterms:W3CDTF">2025-08-12T08:27:56Z</dcterms:modified>
</cp:coreProperties>
</file>