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45638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45638</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45638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45638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45638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45638</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45638</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45638</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45638</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45638</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45638</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45638</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45638</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45638</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45638</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45638</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45638</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45638</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45638</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45638</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45638</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45638</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45638</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45638</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45638</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45638</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45638</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45638</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45638</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45638</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45638</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45638</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45638</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45638</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45638</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45638</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45638</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45638</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45638</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45638</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45638</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45638</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45638</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45638</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45638</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45638</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45638</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45638</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45638</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45638</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45638</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45638</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45638</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39475-2019</t>
        </is>
      </c>
      <c r="B55" s="1" t="n">
        <v>43691</v>
      </c>
      <c r="C55" s="1" t="n">
        <v>45638</v>
      </c>
      <c r="D55" t="inlineStr">
        <is>
          <t>DALARNAS LÄN</t>
        </is>
      </c>
      <c r="E55" t="inlineStr">
        <is>
          <t>MALUNG-SÄLEN</t>
        </is>
      </c>
      <c r="G55" t="n">
        <v>4.4</v>
      </c>
      <c r="H55" t="n">
        <v>1</v>
      </c>
      <c r="I55" t="n">
        <v>0</v>
      </c>
      <c r="J55" t="n">
        <v>0</v>
      </c>
      <c r="K55" t="n">
        <v>0</v>
      </c>
      <c r="L55" t="n">
        <v>0</v>
      </c>
      <c r="M55" t="n">
        <v>0</v>
      </c>
      <c r="N55" t="n">
        <v>0</v>
      </c>
      <c r="O55" t="n">
        <v>0</v>
      </c>
      <c r="P55" t="n">
        <v>0</v>
      </c>
      <c r="Q55" t="n">
        <v>1</v>
      </c>
      <c r="R55" s="2" t="inlineStr">
        <is>
          <t>Nattviol</t>
        </is>
      </c>
      <c r="S55">
        <f>HYPERLINK("https://klasma.github.io/Logging_2023/artfynd/A 39475-2019 artfynd.xlsx", "A 39475-2019")</f>
        <v/>
      </c>
      <c r="T55">
        <f>HYPERLINK("https://klasma.github.io/Logging_2023/kartor/A 39475-2019 karta.png", "A 39475-2019")</f>
        <v/>
      </c>
      <c r="V55">
        <f>HYPERLINK("https://klasma.github.io/Logging_2023/klagomål/A 39475-2019 FSC-klagomål.docx", "A 39475-2019")</f>
        <v/>
      </c>
      <c r="W55">
        <f>HYPERLINK("https://klasma.github.io/Logging_2023/klagomålsmail/A 39475-2019 FSC-klagomål mail.docx", "A 39475-2019")</f>
        <v/>
      </c>
      <c r="X55">
        <f>HYPERLINK("https://klasma.github.io/Logging_2023/tillsyn/A 39475-2019 tillsynsbegäran.docx", "A 39475-2019")</f>
        <v/>
      </c>
      <c r="Y55">
        <f>HYPERLINK("https://klasma.github.io/Logging_2023/tillsynsmail/A 39475-2019 tillsynsbegäran mail.docx", "A 39475-2019")</f>
        <v/>
      </c>
    </row>
    <row r="56" ht="15" customHeight="1">
      <c r="A56" t="inlineStr">
        <is>
          <t>A 62206-2019</t>
        </is>
      </c>
      <c r="B56" s="1" t="n">
        <v>43788</v>
      </c>
      <c r="C56" s="1" t="n">
        <v>45638</v>
      </c>
      <c r="D56" t="inlineStr">
        <is>
          <t>DALARNAS LÄN</t>
        </is>
      </c>
      <c r="E56" t="inlineStr">
        <is>
          <t>MALUNG-SÄLEN</t>
        </is>
      </c>
      <c r="G56" t="n">
        <v>0.8</v>
      </c>
      <c r="H56" t="n">
        <v>0</v>
      </c>
      <c r="I56" t="n">
        <v>0</v>
      </c>
      <c r="J56" t="n">
        <v>1</v>
      </c>
      <c r="K56" t="n">
        <v>0</v>
      </c>
      <c r="L56" t="n">
        <v>0</v>
      </c>
      <c r="M56" t="n">
        <v>0</v>
      </c>
      <c r="N56" t="n">
        <v>0</v>
      </c>
      <c r="O56" t="n">
        <v>1</v>
      </c>
      <c r="P56" t="n">
        <v>0</v>
      </c>
      <c r="Q56" t="n">
        <v>1</v>
      </c>
      <c r="R56" s="2" t="inlineStr">
        <is>
          <t>Lunglav</t>
        </is>
      </c>
      <c r="S56">
        <f>HYPERLINK("https://klasma.github.io/Logging_2023/artfynd/A 62206-2019 artfynd.xlsx", "A 62206-2019")</f>
        <v/>
      </c>
      <c r="T56">
        <f>HYPERLINK("https://klasma.github.io/Logging_2023/kartor/A 62206-2019 karta.png", "A 62206-2019")</f>
        <v/>
      </c>
      <c r="V56">
        <f>HYPERLINK("https://klasma.github.io/Logging_2023/klagomål/A 62206-2019 FSC-klagomål.docx", "A 62206-2019")</f>
        <v/>
      </c>
      <c r="W56">
        <f>HYPERLINK("https://klasma.github.io/Logging_2023/klagomålsmail/A 62206-2019 FSC-klagomål mail.docx", "A 62206-2019")</f>
        <v/>
      </c>
      <c r="X56">
        <f>HYPERLINK("https://klasma.github.io/Logging_2023/tillsyn/A 62206-2019 tillsynsbegäran.docx", "A 62206-2019")</f>
        <v/>
      </c>
      <c r="Y56">
        <f>HYPERLINK("https://klasma.github.io/Logging_2023/tillsynsmail/A 62206-2019 tillsynsbegäran mail.docx", "A 62206-2019")</f>
        <v/>
      </c>
    </row>
    <row r="57" ht="15" customHeight="1">
      <c r="A57" t="inlineStr">
        <is>
          <t>A 12761-2020</t>
        </is>
      </c>
      <c r="B57" s="1" t="n">
        <v>43899</v>
      </c>
      <c r="C57" s="1" t="n">
        <v>45638</v>
      </c>
      <c r="D57" t="inlineStr">
        <is>
          <t>DALARNAS LÄN</t>
        </is>
      </c>
      <c r="E57" t="inlineStr">
        <is>
          <t>MALUNG-SÄLEN</t>
        </is>
      </c>
      <c r="G57" t="n">
        <v>1.4</v>
      </c>
      <c r="H57" t="n">
        <v>0</v>
      </c>
      <c r="I57" t="n">
        <v>0</v>
      </c>
      <c r="J57" t="n">
        <v>1</v>
      </c>
      <c r="K57" t="n">
        <v>0</v>
      </c>
      <c r="L57" t="n">
        <v>0</v>
      </c>
      <c r="M57" t="n">
        <v>0</v>
      </c>
      <c r="N57" t="n">
        <v>0</v>
      </c>
      <c r="O57" t="n">
        <v>1</v>
      </c>
      <c r="P57" t="n">
        <v>0</v>
      </c>
      <c r="Q57" t="n">
        <v>1</v>
      </c>
      <c r="R57" s="2" t="inlineStr">
        <is>
          <t>Motaggsvamp</t>
        </is>
      </c>
      <c r="S57">
        <f>HYPERLINK("https://klasma.github.io/Logging_2023/artfynd/A 12761-2020 artfynd.xlsx", "A 12761-2020")</f>
        <v/>
      </c>
      <c r="T57">
        <f>HYPERLINK("https://klasma.github.io/Logging_2023/kartor/A 12761-2020 karta.png", "A 12761-2020")</f>
        <v/>
      </c>
      <c r="V57">
        <f>HYPERLINK("https://klasma.github.io/Logging_2023/klagomål/A 12761-2020 FSC-klagomål.docx", "A 12761-2020")</f>
        <v/>
      </c>
      <c r="W57">
        <f>HYPERLINK("https://klasma.github.io/Logging_2023/klagomålsmail/A 12761-2020 FSC-klagomål mail.docx", "A 12761-2020")</f>
        <v/>
      </c>
      <c r="X57">
        <f>HYPERLINK("https://klasma.github.io/Logging_2023/tillsyn/A 12761-2020 tillsynsbegäran.docx", "A 12761-2020")</f>
        <v/>
      </c>
      <c r="Y57">
        <f>HYPERLINK("https://klasma.github.io/Logging_2023/tillsynsmail/A 12761-2020 tillsynsbegäran mail.docx", "A 12761-2020")</f>
        <v/>
      </c>
    </row>
    <row r="58" ht="15" customHeight="1">
      <c r="A58" t="inlineStr">
        <is>
          <t>A 19759-2020</t>
        </is>
      </c>
      <c r="B58" s="1" t="n">
        <v>43942</v>
      </c>
      <c r="C58" s="1" t="n">
        <v>45638</v>
      </c>
      <c r="D58" t="inlineStr">
        <is>
          <t>DALARNAS LÄN</t>
        </is>
      </c>
      <c r="E58" t="inlineStr">
        <is>
          <t>MALUNG-SÄLEN</t>
        </is>
      </c>
      <c r="G58" t="n">
        <v>3.8</v>
      </c>
      <c r="H58" t="n">
        <v>1</v>
      </c>
      <c r="I58" t="n">
        <v>0</v>
      </c>
      <c r="J58" t="n">
        <v>0</v>
      </c>
      <c r="K58" t="n">
        <v>0</v>
      </c>
      <c r="L58" t="n">
        <v>1</v>
      </c>
      <c r="M58" t="n">
        <v>0</v>
      </c>
      <c r="N58" t="n">
        <v>0</v>
      </c>
      <c r="O58" t="n">
        <v>1</v>
      </c>
      <c r="P58" t="n">
        <v>1</v>
      </c>
      <c r="Q58" t="n">
        <v>1</v>
      </c>
      <c r="R58" s="2" t="inlineStr">
        <is>
          <t>Mosippa</t>
        </is>
      </c>
      <c r="S58">
        <f>HYPERLINK("https://klasma.github.io/Logging_2023/artfynd/A 19759-2020 artfynd.xlsx", "A 19759-2020")</f>
        <v/>
      </c>
      <c r="T58">
        <f>HYPERLINK("https://klasma.github.io/Logging_2023/kartor/A 19759-2020 karta.png", "A 19759-2020")</f>
        <v/>
      </c>
      <c r="V58">
        <f>HYPERLINK("https://klasma.github.io/Logging_2023/klagomål/A 19759-2020 FSC-klagomål.docx", "A 19759-2020")</f>
        <v/>
      </c>
      <c r="W58">
        <f>HYPERLINK("https://klasma.github.io/Logging_2023/klagomålsmail/A 19759-2020 FSC-klagomål mail.docx", "A 19759-2020")</f>
        <v/>
      </c>
      <c r="X58">
        <f>HYPERLINK("https://klasma.github.io/Logging_2023/tillsyn/A 19759-2020 tillsynsbegäran.docx", "A 19759-2020")</f>
        <v/>
      </c>
      <c r="Y58">
        <f>HYPERLINK("https://klasma.github.io/Logging_2023/tillsynsmail/A 19759-2020 tillsynsbegäran mail.docx", "A 19759-2020")</f>
        <v/>
      </c>
    </row>
    <row r="59" ht="15" customHeight="1">
      <c r="A59" t="inlineStr">
        <is>
          <t>A 25590-2020</t>
        </is>
      </c>
      <c r="B59" s="1" t="n">
        <v>43983</v>
      </c>
      <c r="C59" s="1" t="n">
        <v>45638</v>
      </c>
      <c r="D59" t="inlineStr">
        <is>
          <t>DALARNAS LÄN</t>
        </is>
      </c>
      <c r="E59" t="inlineStr">
        <is>
          <t>MALUNG-SÄLEN</t>
        </is>
      </c>
      <c r="F59" t="inlineStr">
        <is>
          <t>Allmännings- och besparingsskogar</t>
        </is>
      </c>
      <c r="G59" t="n">
        <v>2.2</v>
      </c>
      <c r="H59" t="n">
        <v>1</v>
      </c>
      <c r="I59" t="n">
        <v>0</v>
      </c>
      <c r="J59" t="n">
        <v>1</v>
      </c>
      <c r="K59" t="n">
        <v>0</v>
      </c>
      <c r="L59" t="n">
        <v>0</v>
      </c>
      <c r="M59" t="n">
        <v>0</v>
      </c>
      <c r="N59" t="n">
        <v>0</v>
      </c>
      <c r="O59" t="n">
        <v>1</v>
      </c>
      <c r="P59" t="n">
        <v>0</v>
      </c>
      <c r="Q59" t="n">
        <v>1</v>
      </c>
      <c r="R59" s="2" t="inlineStr">
        <is>
          <t>Tretåig hackspett</t>
        </is>
      </c>
      <c r="S59">
        <f>HYPERLINK("https://klasma.github.io/Logging_2023/artfynd/A 25590-2020 artfynd.xlsx", "A 25590-2020")</f>
        <v/>
      </c>
      <c r="T59">
        <f>HYPERLINK("https://klasma.github.io/Logging_2023/kartor/A 25590-2020 karta.png", "A 25590-2020")</f>
        <v/>
      </c>
      <c r="V59">
        <f>HYPERLINK("https://klasma.github.io/Logging_2023/klagomål/A 25590-2020 FSC-klagomål.docx", "A 25590-2020")</f>
        <v/>
      </c>
      <c r="W59">
        <f>HYPERLINK("https://klasma.github.io/Logging_2023/klagomålsmail/A 25590-2020 FSC-klagomål mail.docx", "A 25590-2020")</f>
        <v/>
      </c>
      <c r="X59">
        <f>HYPERLINK("https://klasma.github.io/Logging_2023/tillsyn/A 25590-2020 tillsynsbegäran.docx", "A 25590-2020")</f>
        <v/>
      </c>
      <c r="Y59">
        <f>HYPERLINK("https://klasma.github.io/Logging_2023/tillsynsmail/A 25590-2020 tillsynsbegäran mail.docx", "A 25590-2020")</f>
        <v/>
      </c>
      <c r="Z59">
        <f>HYPERLINK("https://klasma.github.io/Logging_2023/fåglar/A 25590-2020 prioriterade fågelarter.docx", "A 25590-2020")</f>
        <v/>
      </c>
    </row>
    <row r="60" ht="15" customHeight="1">
      <c r="A60" t="inlineStr">
        <is>
          <t>A 26557-2020</t>
        </is>
      </c>
      <c r="B60" s="1" t="n">
        <v>43987</v>
      </c>
      <c r="C60" s="1" t="n">
        <v>45638</v>
      </c>
      <c r="D60" t="inlineStr">
        <is>
          <t>DALARNAS LÄN</t>
        </is>
      </c>
      <c r="E60" t="inlineStr">
        <is>
          <t>MALUNG-SÄLEN</t>
        </is>
      </c>
      <c r="F60" t="inlineStr">
        <is>
          <t>Allmännings- och besparingsskogar</t>
        </is>
      </c>
      <c r="G60" t="n">
        <v>30.5</v>
      </c>
      <c r="H60" t="n">
        <v>1</v>
      </c>
      <c r="I60" t="n">
        <v>0</v>
      </c>
      <c r="J60" t="n">
        <v>0</v>
      </c>
      <c r="K60" t="n">
        <v>0</v>
      </c>
      <c r="L60" t="n">
        <v>0</v>
      </c>
      <c r="M60" t="n">
        <v>0</v>
      </c>
      <c r="N60" t="n">
        <v>0</v>
      </c>
      <c r="O60" t="n">
        <v>0</v>
      </c>
      <c r="P60" t="n">
        <v>0</v>
      </c>
      <c r="Q60" t="n">
        <v>1</v>
      </c>
      <c r="R60" s="2" t="inlineStr">
        <is>
          <t>Fläcknycklar</t>
        </is>
      </c>
      <c r="S60">
        <f>HYPERLINK("https://klasma.github.io/Logging_2023/artfynd/A 26557-2020 artfynd.xlsx", "A 26557-2020")</f>
        <v/>
      </c>
      <c r="T60">
        <f>HYPERLINK("https://klasma.github.io/Logging_2023/kartor/A 26557-2020 karta.png", "A 26557-2020")</f>
        <v/>
      </c>
      <c r="V60">
        <f>HYPERLINK("https://klasma.github.io/Logging_2023/klagomål/A 26557-2020 FSC-klagomål.docx", "A 26557-2020")</f>
        <v/>
      </c>
      <c r="W60">
        <f>HYPERLINK("https://klasma.github.io/Logging_2023/klagomålsmail/A 26557-2020 FSC-klagomål mail.docx", "A 26557-2020")</f>
        <v/>
      </c>
      <c r="X60">
        <f>HYPERLINK("https://klasma.github.io/Logging_2023/tillsyn/A 26557-2020 tillsynsbegäran.docx", "A 26557-2020")</f>
        <v/>
      </c>
      <c r="Y60">
        <f>HYPERLINK("https://klasma.github.io/Logging_2023/tillsynsmail/A 26557-2020 tillsynsbegäran mail.docx", "A 26557-2020")</f>
        <v/>
      </c>
    </row>
    <row r="61" ht="15" customHeight="1">
      <c r="A61" t="inlineStr">
        <is>
          <t>A 20921-2021</t>
        </is>
      </c>
      <c r="B61" s="1" t="n">
        <v>44319</v>
      </c>
      <c r="C61" s="1" t="n">
        <v>45638</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20921-2021 artfynd.xlsx", "A 20921-2021")</f>
        <v/>
      </c>
      <c r="T61">
        <f>HYPERLINK("https://klasma.github.io/Logging_2023/kartor/A 20921-2021 karta.png", "A 20921-2021")</f>
        <v/>
      </c>
      <c r="V61">
        <f>HYPERLINK("https://klasma.github.io/Logging_2023/klagomål/A 20921-2021 FSC-klagomål.docx", "A 20921-2021")</f>
        <v/>
      </c>
      <c r="W61">
        <f>HYPERLINK("https://klasma.github.io/Logging_2023/klagomålsmail/A 20921-2021 FSC-klagomål mail.docx", "A 20921-2021")</f>
        <v/>
      </c>
      <c r="X61">
        <f>HYPERLINK("https://klasma.github.io/Logging_2023/tillsyn/A 20921-2021 tillsynsbegäran.docx", "A 20921-2021")</f>
        <v/>
      </c>
      <c r="Y61">
        <f>HYPERLINK("https://klasma.github.io/Logging_2023/tillsynsmail/A 20921-2021 tillsynsbegäran mail.docx", "A 20921-2021")</f>
        <v/>
      </c>
    </row>
    <row r="62" ht="15" customHeight="1">
      <c r="A62" t="inlineStr">
        <is>
          <t>A 42981-2021</t>
        </is>
      </c>
      <c r="B62" s="1" t="n">
        <v>44427</v>
      </c>
      <c r="C62" s="1" t="n">
        <v>45638</v>
      </c>
      <c r="D62" t="inlineStr">
        <is>
          <t>DALARNAS LÄN</t>
        </is>
      </c>
      <c r="E62" t="inlineStr">
        <is>
          <t>MALUNG-SÄLEN</t>
        </is>
      </c>
      <c r="G62" t="n">
        <v>3.4</v>
      </c>
      <c r="H62" t="n">
        <v>0</v>
      </c>
      <c r="I62" t="n">
        <v>0</v>
      </c>
      <c r="J62" t="n">
        <v>1</v>
      </c>
      <c r="K62" t="n">
        <v>0</v>
      </c>
      <c r="L62" t="n">
        <v>0</v>
      </c>
      <c r="M62" t="n">
        <v>0</v>
      </c>
      <c r="N62" t="n">
        <v>0</v>
      </c>
      <c r="O62" t="n">
        <v>1</v>
      </c>
      <c r="P62" t="n">
        <v>0</v>
      </c>
      <c r="Q62" t="n">
        <v>1</v>
      </c>
      <c r="R62" s="2" t="inlineStr">
        <is>
          <t>Lunglav</t>
        </is>
      </c>
      <c r="S62">
        <f>HYPERLINK("https://klasma.github.io/Logging_2023/artfynd/A 42981-2021 artfynd.xlsx", "A 42981-2021")</f>
        <v/>
      </c>
      <c r="T62">
        <f>HYPERLINK("https://klasma.github.io/Logging_2023/kartor/A 42981-2021 karta.png", "A 42981-2021")</f>
        <v/>
      </c>
      <c r="V62">
        <f>HYPERLINK("https://klasma.github.io/Logging_2023/klagomål/A 42981-2021 FSC-klagomål.docx", "A 42981-2021")</f>
        <v/>
      </c>
      <c r="W62">
        <f>HYPERLINK("https://klasma.github.io/Logging_2023/klagomålsmail/A 42981-2021 FSC-klagomål mail.docx", "A 42981-2021")</f>
        <v/>
      </c>
      <c r="X62">
        <f>HYPERLINK("https://klasma.github.io/Logging_2023/tillsyn/A 42981-2021 tillsynsbegäran.docx", "A 42981-2021")</f>
        <v/>
      </c>
      <c r="Y62">
        <f>HYPERLINK("https://klasma.github.io/Logging_2023/tillsynsmail/A 42981-2021 tillsynsbegäran mail.docx", "A 42981-2021")</f>
        <v/>
      </c>
    </row>
    <row r="63" ht="15" customHeight="1">
      <c r="A63" t="inlineStr">
        <is>
          <t>A 52669-2021</t>
        </is>
      </c>
      <c r="B63" s="1" t="n">
        <v>44464</v>
      </c>
      <c r="C63" s="1" t="n">
        <v>45638</v>
      </c>
      <c r="D63" t="inlineStr">
        <is>
          <t>DALARNAS LÄN</t>
        </is>
      </c>
      <c r="E63" t="inlineStr">
        <is>
          <t>MALUNG-SÄLEN</t>
        </is>
      </c>
      <c r="G63" t="n">
        <v>0.2</v>
      </c>
      <c r="H63" t="n">
        <v>0</v>
      </c>
      <c r="I63" t="n">
        <v>0</v>
      </c>
      <c r="J63" t="n">
        <v>1</v>
      </c>
      <c r="K63" t="n">
        <v>0</v>
      </c>
      <c r="L63" t="n">
        <v>0</v>
      </c>
      <c r="M63" t="n">
        <v>0</v>
      </c>
      <c r="N63" t="n">
        <v>0</v>
      </c>
      <c r="O63" t="n">
        <v>1</v>
      </c>
      <c r="P63" t="n">
        <v>0</v>
      </c>
      <c r="Q63" t="n">
        <v>1</v>
      </c>
      <c r="R63" s="2" t="inlineStr">
        <is>
          <t>Garnlav</t>
        </is>
      </c>
      <c r="S63">
        <f>HYPERLINK("https://klasma.github.io/Logging_2023/artfynd/A 52669-2021 artfynd.xlsx", "A 52669-2021")</f>
        <v/>
      </c>
      <c r="T63">
        <f>HYPERLINK("https://klasma.github.io/Logging_2023/kartor/A 52669-2021 karta.png", "A 52669-2021")</f>
        <v/>
      </c>
      <c r="V63">
        <f>HYPERLINK("https://klasma.github.io/Logging_2023/klagomål/A 52669-2021 FSC-klagomål.docx", "A 52669-2021")</f>
        <v/>
      </c>
      <c r="W63">
        <f>HYPERLINK("https://klasma.github.io/Logging_2023/klagomålsmail/A 52669-2021 FSC-klagomål mail.docx", "A 52669-2021")</f>
        <v/>
      </c>
      <c r="X63">
        <f>HYPERLINK("https://klasma.github.io/Logging_2023/tillsyn/A 52669-2021 tillsynsbegäran.docx", "A 52669-2021")</f>
        <v/>
      </c>
      <c r="Y63">
        <f>HYPERLINK("https://klasma.github.io/Logging_2023/tillsynsmail/A 52669-2021 tillsynsbegäran mail.docx", "A 52669-2021")</f>
        <v/>
      </c>
    </row>
    <row r="64" ht="15" customHeight="1">
      <c r="A64" t="inlineStr">
        <is>
          <t>A 11560-2022</t>
        </is>
      </c>
      <c r="B64" s="1" t="n">
        <v>44631</v>
      </c>
      <c r="C64" s="1" t="n">
        <v>45638</v>
      </c>
      <c r="D64" t="inlineStr">
        <is>
          <t>DALARNAS LÄN</t>
        </is>
      </c>
      <c r="E64" t="inlineStr">
        <is>
          <t>MALUNG-SÄLEN</t>
        </is>
      </c>
      <c r="G64" t="n">
        <v>7.4</v>
      </c>
      <c r="H64" t="n">
        <v>0</v>
      </c>
      <c r="I64" t="n">
        <v>0</v>
      </c>
      <c r="J64" t="n">
        <v>1</v>
      </c>
      <c r="K64" t="n">
        <v>0</v>
      </c>
      <c r="L64" t="n">
        <v>0</v>
      </c>
      <c r="M64" t="n">
        <v>0</v>
      </c>
      <c r="N64" t="n">
        <v>0</v>
      </c>
      <c r="O64" t="n">
        <v>1</v>
      </c>
      <c r="P64" t="n">
        <v>0</v>
      </c>
      <c r="Q64" t="n">
        <v>1</v>
      </c>
      <c r="R64" s="2" t="inlineStr">
        <is>
          <t>Blå taggsvamp</t>
        </is>
      </c>
      <c r="S64">
        <f>HYPERLINK("https://klasma.github.io/Logging_2023/artfynd/A 11560-2022 artfynd.xlsx", "A 11560-2022")</f>
        <v/>
      </c>
      <c r="T64">
        <f>HYPERLINK("https://klasma.github.io/Logging_2023/kartor/A 11560-2022 karta.png", "A 11560-2022")</f>
        <v/>
      </c>
      <c r="V64">
        <f>HYPERLINK("https://klasma.github.io/Logging_2023/klagomål/A 11560-2022 FSC-klagomål.docx", "A 11560-2022")</f>
        <v/>
      </c>
      <c r="W64">
        <f>HYPERLINK("https://klasma.github.io/Logging_2023/klagomålsmail/A 11560-2022 FSC-klagomål mail.docx", "A 11560-2022")</f>
        <v/>
      </c>
      <c r="X64">
        <f>HYPERLINK("https://klasma.github.io/Logging_2023/tillsyn/A 11560-2022 tillsynsbegäran.docx", "A 11560-2022")</f>
        <v/>
      </c>
      <c r="Y64">
        <f>HYPERLINK("https://klasma.github.io/Logging_2023/tillsynsmail/A 11560-2022 tillsynsbegäran mail.docx", "A 11560-2022")</f>
        <v/>
      </c>
    </row>
    <row r="65" ht="15" customHeight="1">
      <c r="A65" t="inlineStr">
        <is>
          <t>A 23476-2022</t>
        </is>
      </c>
      <c r="B65" s="1" t="n">
        <v>44721</v>
      </c>
      <c r="C65" s="1" t="n">
        <v>45638</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33859-2022</t>
        </is>
      </c>
      <c r="B66" s="1" t="n">
        <v>44790</v>
      </c>
      <c r="C66" s="1" t="n">
        <v>45638</v>
      </c>
      <c r="D66" t="inlineStr">
        <is>
          <t>DALARNAS LÄN</t>
        </is>
      </c>
      <c r="E66" t="inlineStr">
        <is>
          <t>MALUNG-SÄLEN</t>
        </is>
      </c>
      <c r="G66" t="n">
        <v>18.8</v>
      </c>
      <c r="H66" t="n">
        <v>1</v>
      </c>
      <c r="I66" t="n">
        <v>0</v>
      </c>
      <c r="J66" t="n">
        <v>1</v>
      </c>
      <c r="K66" t="n">
        <v>0</v>
      </c>
      <c r="L66" t="n">
        <v>0</v>
      </c>
      <c r="M66" t="n">
        <v>0</v>
      </c>
      <c r="N66" t="n">
        <v>0</v>
      </c>
      <c r="O66" t="n">
        <v>1</v>
      </c>
      <c r="P66" t="n">
        <v>0</v>
      </c>
      <c r="Q66" t="n">
        <v>1</v>
      </c>
      <c r="R66" s="2" t="inlineStr">
        <is>
          <t>Nordfladdermus</t>
        </is>
      </c>
      <c r="S66">
        <f>HYPERLINK("https://klasma.github.io/Logging_2023/artfynd/A 33859-2022 artfynd.xlsx", "A 33859-2022")</f>
        <v/>
      </c>
      <c r="T66">
        <f>HYPERLINK("https://klasma.github.io/Logging_2023/kartor/A 33859-2022 karta.png", "A 33859-2022")</f>
        <v/>
      </c>
      <c r="V66">
        <f>HYPERLINK("https://klasma.github.io/Logging_2023/klagomål/A 33859-2022 FSC-klagomål.docx", "A 33859-2022")</f>
        <v/>
      </c>
      <c r="W66">
        <f>HYPERLINK("https://klasma.github.io/Logging_2023/klagomålsmail/A 33859-2022 FSC-klagomål mail.docx", "A 33859-2022")</f>
        <v/>
      </c>
      <c r="X66">
        <f>HYPERLINK("https://klasma.github.io/Logging_2023/tillsyn/A 33859-2022 tillsynsbegäran.docx", "A 33859-2022")</f>
        <v/>
      </c>
      <c r="Y66">
        <f>HYPERLINK("https://klasma.github.io/Logging_2023/tillsynsmail/A 33859-2022 tillsynsbegäran mail.docx", "A 33859-2022")</f>
        <v/>
      </c>
    </row>
    <row r="67" ht="15" customHeight="1">
      <c r="A67" t="inlineStr">
        <is>
          <t>A 32068-2023</t>
        </is>
      </c>
      <c r="B67" s="1" t="n">
        <v>45119</v>
      </c>
      <c r="C67" s="1" t="n">
        <v>45638</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57333-2023</t>
        </is>
      </c>
      <c r="B68" s="1" t="n">
        <v>45245</v>
      </c>
      <c r="C68" s="1" t="n">
        <v>45638</v>
      </c>
      <c r="D68" t="inlineStr">
        <is>
          <t>DALARNAS LÄN</t>
        </is>
      </c>
      <c r="E68" t="inlineStr">
        <is>
          <t>MALUNG-SÄLEN</t>
        </is>
      </c>
      <c r="G68" t="n">
        <v>6.7</v>
      </c>
      <c r="H68" t="n">
        <v>0</v>
      </c>
      <c r="I68" t="n">
        <v>0</v>
      </c>
      <c r="J68" t="n">
        <v>0</v>
      </c>
      <c r="K68" t="n">
        <v>1</v>
      </c>
      <c r="L68" t="n">
        <v>0</v>
      </c>
      <c r="M68" t="n">
        <v>0</v>
      </c>
      <c r="N68" t="n">
        <v>0</v>
      </c>
      <c r="O68" t="n">
        <v>1</v>
      </c>
      <c r="P68" t="n">
        <v>1</v>
      </c>
      <c r="Q68" t="n">
        <v>1</v>
      </c>
      <c r="R68" s="2" t="inlineStr">
        <is>
          <t>Gräddporing</t>
        </is>
      </c>
      <c r="S68">
        <f>HYPERLINK("https://klasma.github.io/Logging_2023/artfynd/A 57333-2023 artfynd.xlsx", "A 57333-2023")</f>
        <v/>
      </c>
      <c r="T68">
        <f>HYPERLINK("https://klasma.github.io/Logging_2023/kartor/A 57333-2023 karta.png", "A 57333-2023")</f>
        <v/>
      </c>
      <c r="V68">
        <f>HYPERLINK("https://klasma.github.io/Logging_2023/klagomål/A 57333-2023 FSC-klagomål.docx", "A 57333-2023")</f>
        <v/>
      </c>
      <c r="W68">
        <f>HYPERLINK("https://klasma.github.io/Logging_2023/klagomålsmail/A 57333-2023 FSC-klagomål mail.docx", "A 57333-2023")</f>
        <v/>
      </c>
      <c r="X68">
        <f>HYPERLINK("https://klasma.github.io/Logging_2023/tillsyn/A 57333-2023 tillsynsbegäran.docx", "A 57333-2023")</f>
        <v/>
      </c>
      <c r="Y68">
        <f>HYPERLINK("https://klasma.github.io/Logging_2023/tillsynsmail/A 57333-2023 tillsynsbegäran mail.docx", "A 57333-2023")</f>
        <v/>
      </c>
    </row>
    <row r="69" ht="15" customHeight="1">
      <c r="A69" t="inlineStr">
        <is>
          <t>A 57702-2023</t>
        </is>
      </c>
      <c r="B69" s="1" t="n">
        <v>45246</v>
      </c>
      <c r="C69" s="1" t="n">
        <v>45638</v>
      </c>
      <c r="D69" t="inlineStr">
        <is>
          <t>DALARNAS LÄN</t>
        </is>
      </c>
      <c r="E69" t="inlineStr">
        <is>
          <t>MALUNG-SÄLEN</t>
        </is>
      </c>
      <c r="G69" t="n">
        <v>1.5</v>
      </c>
      <c r="H69" t="n">
        <v>0</v>
      </c>
      <c r="I69" t="n">
        <v>1</v>
      </c>
      <c r="J69" t="n">
        <v>0</v>
      </c>
      <c r="K69" t="n">
        <v>0</v>
      </c>
      <c r="L69" t="n">
        <v>0</v>
      </c>
      <c r="M69" t="n">
        <v>0</v>
      </c>
      <c r="N69" t="n">
        <v>0</v>
      </c>
      <c r="O69" t="n">
        <v>0</v>
      </c>
      <c r="P69" t="n">
        <v>0</v>
      </c>
      <c r="Q69" t="n">
        <v>1</v>
      </c>
      <c r="R69" s="2" t="inlineStr">
        <is>
          <t>Brun nållav</t>
        </is>
      </c>
      <c r="S69">
        <f>HYPERLINK("https://klasma.github.io/Logging_2023/artfynd/A 57702-2023 artfynd.xlsx", "A 57702-2023")</f>
        <v/>
      </c>
      <c r="T69">
        <f>HYPERLINK("https://klasma.github.io/Logging_2023/kartor/A 57702-2023 karta.png", "A 57702-2023")</f>
        <v/>
      </c>
      <c r="V69">
        <f>HYPERLINK("https://klasma.github.io/Logging_2023/klagomål/A 57702-2023 FSC-klagomål.docx", "A 57702-2023")</f>
        <v/>
      </c>
      <c r="W69">
        <f>HYPERLINK("https://klasma.github.io/Logging_2023/klagomålsmail/A 57702-2023 FSC-klagomål mail.docx", "A 57702-2023")</f>
        <v/>
      </c>
      <c r="X69">
        <f>HYPERLINK("https://klasma.github.io/Logging_2023/tillsyn/A 57702-2023 tillsynsbegäran.docx", "A 57702-2023")</f>
        <v/>
      </c>
      <c r="Y69">
        <f>HYPERLINK("https://klasma.github.io/Logging_2023/tillsynsmail/A 57702-2023 tillsynsbegäran mail.docx", "A 57702-2023")</f>
        <v/>
      </c>
    </row>
    <row r="70" ht="15" customHeight="1">
      <c r="A70" t="inlineStr">
        <is>
          <t>A 6807-2024</t>
        </is>
      </c>
      <c r="B70" s="1" t="n">
        <v>45342</v>
      </c>
      <c r="C70" s="1" t="n">
        <v>45638</v>
      </c>
      <c r="D70" t="inlineStr">
        <is>
          <t>DALARNAS LÄN</t>
        </is>
      </c>
      <c r="E70" t="inlineStr">
        <is>
          <t>MALUNG-SÄLEN</t>
        </is>
      </c>
      <c r="G70" t="n">
        <v>10.7</v>
      </c>
      <c r="H70" t="n">
        <v>0</v>
      </c>
      <c r="I70" t="n">
        <v>0</v>
      </c>
      <c r="J70" t="n">
        <v>1</v>
      </c>
      <c r="K70" t="n">
        <v>0</v>
      </c>
      <c r="L70" t="n">
        <v>0</v>
      </c>
      <c r="M70" t="n">
        <v>0</v>
      </c>
      <c r="N70" t="n">
        <v>0</v>
      </c>
      <c r="O70" t="n">
        <v>1</v>
      </c>
      <c r="P70" t="n">
        <v>0</v>
      </c>
      <c r="Q70" t="n">
        <v>1</v>
      </c>
      <c r="R70" s="2" t="inlineStr">
        <is>
          <t>Motaggsvamp</t>
        </is>
      </c>
      <c r="S70">
        <f>HYPERLINK("https://klasma.github.io/Logging_2023/artfynd/A 6807-2024 artfynd.xlsx", "A 6807-2024")</f>
        <v/>
      </c>
      <c r="T70">
        <f>HYPERLINK("https://klasma.github.io/Logging_2023/kartor/A 6807-2024 karta.png", "A 6807-2024")</f>
        <v/>
      </c>
      <c r="V70">
        <f>HYPERLINK("https://klasma.github.io/Logging_2023/klagomål/A 6807-2024 FSC-klagomål.docx", "A 6807-2024")</f>
        <v/>
      </c>
      <c r="W70">
        <f>HYPERLINK("https://klasma.github.io/Logging_2023/klagomålsmail/A 6807-2024 FSC-klagomål mail.docx", "A 6807-2024")</f>
        <v/>
      </c>
      <c r="X70">
        <f>HYPERLINK("https://klasma.github.io/Logging_2023/tillsyn/A 6807-2024 tillsynsbegäran.docx", "A 6807-2024")</f>
        <v/>
      </c>
      <c r="Y70">
        <f>HYPERLINK("https://klasma.github.io/Logging_2023/tillsynsmail/A 6807-2024 tillsynsbegäran mail.docx", "A 6807-2024")</f>
        <v/>
      </c>
    </row>
    <row r="71" ht="15" customHeight="1">
      <c r="A71" t="inlineStr">
        <is>
          <t>A 8326-2024</t>
        </is>
      </c>
      <c r="B71" s="1" t="n">
        <v>45352</v>
      </c>
      <c r="C71" s="1" t="n">
        <v>45638</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Doftskinn</t>
        </is>
      </c>
      <c r="S71">
        <f>HYPERLINK("https://klasma.github.io/Logging_2023/artfynd/A 8326-2024 artfynd.xlsx", "A 8326-2024")</f>
        <v/>
      </c>
      <c r="T71">
        <f>HYPERLINK("https://klasma.github.io/Logging_2023/kartor/A 8326-2024 karta.png", "A 8326-2024")</f>
        <v/>
      </c>
      <c r="V71">
        <f>HYPERLINK("https://klasma.github.io/Logging_2023/klagomål/A 8326-2024 FSC-klagomål.docx", "A 8326-2024")</f>
        <v/>
      </c>
      <c r="W71">
        <f>HYPERLINK("https://klasma.github.io/Logging_2023/klagomålsmail/A 8326-2024 FSC-klagomål mail.docx", "A 8326-2024")</f>
        <v/>
      </c>
      <c r="X71">
        <f>HYPERLINK("https://klasma.github.io/Logging_2023/tillsyn/A 8326-2024 tillsynsbegäran.docx", "A 8326-2024")</f>
        <v/>
      </c>
      <c r="Y71">
        <f>HYPERLINK("https://klasma.github.io/Logging_2023/tillsynsmail/A 8326-2024 tillsynsbegäran mail.docx", "A 8326-2024")</f>
        <v/>
      </c>
    </row>
    <row r="72" ht="15" customHeight="1">
      <c r="A72" t="inlineStr">
        <is>
          <t>A 19374-2024</t>
        </is>
      </c>
      <c r="B72" s="1" t="n">
        <v>45429</v>
      </c>
      <c r="C72" s="1" t="n">
        <v>45638</v>
      </c>
      <c r="D72" t="inlineStr">
        <is>
          <t>DALARNAS LÄN</t>
        </is>
      </c>
      <c r="E72" t="inlineStr">
        <is>
          <t>MALUNG-SÄLEN</t>
        </is>
      </c>
      <c r="F72" t="inlineStr">
        <is>
          <t>Bergvik skog öst AB</t>
        </is>
      </c>
      <c r="G72" t="n">
        <v>1.1</v>
      </c>
      <c r="H72" t="n">
        <v>0</v>
      </c>
      <c r="I72" t="n">
        <v>1</v>
      </c>
      <c r="J72" t="n">
        <v>0</v>
      </c>
      <c r="K72" t="n">
        <v>0</v>
      </c>
      <c r="L72" t="n">
        <v>0</v>
      </c>
      <c r="M72" t="n">
        <v>0</v>
      </c>
      <c r="N72" t="n">
        <v>0</v>
      </c>
      <c r="O72" t="n">
        <v>0</v>
      </c>
      <c r="P72" t="n">
        <v>0</v>
      </c>
      <c r="Q72" t="n">
        <v>1</v>
      </c>
      <c r="R72" s="2" t="inlineStr">
        <is>
          <t>Skarp dropptaggsvamp</t>
        </is>
      </c>
      <c r="S72">
        <f>HYPERLINK("https://klasma.github.io/Logging_2023/artfynd/A 19374-2024 artfynd.xlsx", "A 19374-2024")</f>
        <v/>
      </c>
      <c r="T72">
        <f>HYPERLINK("https://klasma.github.io/Logging_2023/kartor/A 19374-2024 karta.png", "A 19374-2024")</f>
        <v/>
      </c>
      <c r="V72">
        <f>HYPERLINK("https://klasma.github.io/Logging_2023/klagomål/A 19374-2024 FSC-klagomål.docx", "A 19374-2024")</f>
        <v/>
      </c>
      <c r="W72">
        <f>HYPERLINK("https://klasma.github.io/Logging_2023/klagomålsmail/A 19374-2024 FSC-klagomål mail.docx", "A 19374-2024")</f>
        <v/>
      </c>
      <c r="X72">
        <f>HYPERLINK("https://klasma.github.io/Logging_2023/tillsyn/A 19374-2024 tillsynsbegäran.docx", "A 19374-2024")</f>
        <v/>
      </c>
      <c r="Y72">
        <f>HYPERLINK("https://klasma.github.io/Logging_2023/tillsynsmail/A 19374-2024 tillsynsbegäran mail.docx", "A 19374-2024")</f>
        <v/>
      </c>
    </row>
    <row r="73" ht="15" customHeight="1">
      <c r="A73" t="inlineStr">
        <is>
          <t>A 22186-2024</t>
        </is>
      </c>
      <c r="B73" s="1" t="n">
        <v>45446</v>
      </c>
      <c r="C73" s="1" t="n">
        <v>45638</v>
      </c>
      <c r="D73" t="inlineStr">
        <is>
          <t>DALARNAS LÄN</t>
        </is>
      </c>
      <c r="E73" t="inlineStr">
        <is>
          <t>MALUNG-SÄLEN</t>
        </is>
      </c>
      <c r="F73" t="inlineStr">
        <is>
          <t>Allmännings- och besparingsskogar</t>
        </is>
      </c>
      <c r="G73" t="n">
        <v>36</v>
      </c>
      <c r="H73" t="n">
        <v>1</v>
      </c>
      <c r="I73" t="n">
        <v>0</v>
      </c>
      <c r="J73" t="n">
        <v>1</v>
      </c>
      <c r="K73" t="n">
        <v>0</v>
      </c>
      <c r="L73" t="n">
        <v>0</v>
      </c>
      <c r="M73" t="n">
        <v>0</v>
      </c>
      <c r="N73" t="n">
        <v>0</v>
      </c>
      <c r="O73" t="n">
        <v>1</v>
      </c>
      <c r="P73" t="n">
        <v>0</v>
      </c>
      <c r="Q73" t="n">
        <v>1</v>
      </c>
      <c r="R73" s="2" t="inlineStr">
        <is>
          <t>Varglav</t>
        </is>
      </c>
      <c r="S73">
        <f>HYPERLINK("https://klasma.github.io/Logging_2023/artfynd/A 22186-2024 artfynd.xlsx", "A 22186-2024")</f>
        <v/>
      </c>
      <c r="T73">
        <f>HYPERLINK("https://klasma.github.io/Logging_2023/kartor/A 22186-2024 karta.png", "A 22186-2024")</f>
        <v/>
      </c>
      <c r="V73">
        <f>HYPERLINK("https://klasma.github.io/Logging_2023/klagomål/A 22186-2024 FSC-klagomål.docx", "A 22186-2024")</f>
        <v/>
      </c>
      <c r="W73">
        <f>HYPERLINK("https://klasma.github.io/Logging_2023/klagomålsmail/A 22186-2024 FSC-klagomål mail.docx", "A 22186-2024")</f>
        <v/>
      </c>
      <c r="X73">
        <f>HYPERLINK("https://klasma.github.io/Logging_2023/tillsyn/A 22186-2024 tillsynsbegäran.docx", "A 22186-2024")</f>
        <v/>
      </c>
      <c r="Y73">
        <f>HYPERLINK("https://klasma.github.io/Logging_2023/tillsynsmail/A 22186-2024 tillsynsbegäran mail.docx", "A 22186-2024")</f>
        <v/>
      </c>
    </row>
    <row r="74" ht="15" customHeight="1">
      <c r="A74" t="inlineStr">
        <is>
          <t>A 24907-2024</t>
        </is>
      </c>
      <c r="B74" s="1" t="n">
        <v>45461</v>
      </c>
      <c r="C74" s="1" t="n">
        <v>45638</v>
      </c>
      <c r="D74" t="inlineStr">
        <is>
          <t>DALARNAS LÄN</t>
        </is>
      </c>
      <c r="E74" t="inlineStr">
        <is>
          <t>MALUNG-SÄLEN</t>
        </is>
      </c>
      <c r="F74" t="inlineStr">
        <is>
          <t>Allmännings- och besparingsskogar</t>
        </is>
      </c>
      <c r="G74" t="n">
        <v>1.4</v>
      </c>
      <c r="H74" t="n">
        <v>1</v>
      </c>
      <c r="I74" t="n">
        <v>0</v>
      </c>
      <c r="J74" t="n">
        <v>1</v>
      </c>
      <c r="K74" t="n">
        <v>0</v>
      </c>
      <c r="L74" t="n">
        <v>0</v>
      </c>
      <c r="M74" t="n">
        <v>0</v>
      </c>
      <c r="N74" t="n">
        <v>0</v>
      </c>
      <c r="O74" t="n">
        <v>1</v>
      </c>
      <c r="P74" t="n">
        <v>0</v>
      </c>
      <c r="Q74" t="n">
        <v>1</v>
      </c>
      <c r="R74" s="2" t="inlineStr">
        <is>
          <t>Tretåig hackspett</t>
        </is>
      </c>
      <c r="S74">
        <f>HYPERLINK("https://klasma.github.io/Logging_2023/artfynd/A 24907-2024 artfynd.xlsx", "A 24907-2024")</f>
        <v/>
      </c>
      <c r="T74">
        <f>HYPERLINK("https://klasma.github.io/Logging_2023/kartor/A 24907-2024 karta.png", "A 24907-2024")</f>
        <v/>
      </c>
      <c r="V74">
        <f>HYPERLINK("https://klasma.github.io/Logging_2023/klagomål/A 24907-2024 FSC-klagomål.docx", "A 24907-2024")</f>
        <v/>
      </c>
      <c r="W74">
        <f>HYPERLINK("https://klasma.github.io/Logging_2023/klagomålsmail/A 24907-2024 FSC-klagomål mail.docx", "A 24907-2024")</f>
        <v/>
      </c>
      <c r="X74">
        <f>HYPERLINK("https://klasma.github.io/Logging_2023/tillsyn/A 24907-2024 tillsynsbegäran.docx", "A 24907-2024")</f>
        <v/>
      </c>
      <c r="Y74">
        <f>HYPERLINK("https://klasma.github.io/Logging_2023/tillsynsmail/A 24907-2024 tillsynsbegäran mail.docx", "A 24907-2024")</f>
        <v/>
      </c>
      <c r="Z74">
        <f>HYPERLINK("https://klasma.github.io/Logging_2023/fåglar/A 24907-2024 prioriterade fågelarter.docx", "A 24907-2024")</f>
        <v/>
      </c>
    </row>
    <row r="75" ht="15" customHeight="1">
      <c r="A75" t="inlineStr">
        <is>
          <t>A 29045-2024</t>
        </is>
      </c>
      <c r="B75" s="1" t="n">
        <v>45481</v>
      </c>
      <c r="C75" s="1" t="n">
        <v>45638</v>
      </c>
      <c r="D75" t="inlineStr">
        <is>
          <t>DALARNAS LÄN</t>
        </is>
      </c>
      <c r="E75" t="inlineStr">
        <is>
          <t>MALUNG-SÄLEN</t>
        </is>
      </c>
      <c r="G75" t="n">
        <v>5.7</v>
      </c>
      <c r="H75" t="n">
        <v>1</v>
      </c>
      <c r="I75" t="n">
        <v>0</v>
      </c>
      <c r="J75" t="n">
        <v>0</v>
      </c>
      <c r="K75" t="n">
        <v>1</v>
      </c>
      <c r="L75" t="n">
        <v>0</v>
      </c>
      <c r="M75" t="n">
        <v>0</v>
      </c>
      <c r="N75" t="n">
        <v>0</v>
      </c>
      <c r="O75" t="n">
        <v>1</v>
      </c>
      <c r="P75" t="n">
        <v>1</v>
      </c>
      <c r="Q75" t="n">
        <v>1</v>
      </c>
      <c r="R75" s="2" t="inlineStr">
        <is>
          <t>Knärot</t>
        </is>
      </c>
      <c r="S75">
        <f>HYPERLINK("https://klasma.github.io/Logging_2023/artfynd/A 29045-2024 artfynd.xlsx", "A 29045-2024")</f>
        <v/>
      </c>
      <c r="T75">
        <f>HYPERLINK("https://klasma.github.io/Logging_2023/kartor/A 29045-2024 karta.png", "A 29045-2024")</f>
        <v/>
      </c>
      <c r="U75">
        <f>HYPERLINK("https://klasma.github.io/Logging_2023/knärot/A 29045-2024 karta knärot.png", "A 29045-2024")</f>
        <v/>
      </c>
      <c r="V75">
        <f>HYPERLINK("https://klasma.github.io/Logging_2023/klagomål/A 29045-2024 FSC-klagomål.docx", "A 29045-2024")</f>
        <v/>
      </c>
      <c r="W75">
        <f>HYPERLINK("https://klasma.github.io/Logging_2023/klagomålsmail/A 29045-2024 FSC-klagomål mail.docx", "A 29045-2024")</f>
        <v/>
      </c>
      <c r="X75">
        <f>HYPERLINK("https://klasma.github.io/Logging_2023/tillsyn/A 29045-2024 tillsynsbegäran.docx", "A 29045-2024")</f>
        <v/>
      </c>
      <c r="Y75">
        <f>HYPERLINK("https://klasma.github.io/Logging_2023/tillsynsmail/A 29045-2024 tillsynsbegäran mail.docx", "A 29045-2024")</f>
        <v/>
      </c>
    </row>
    <row r="76" ht="15" customHeight="1">
      <c r="A76" t="inlineStr">
        <is>
          <t>A 55914-2024</t>
        </is>
      </c>
      <c r="B76" s="1" t="n">
        <v>45623</v>
      </c>
      <c r="C76" s="1" t="n">
        <v>45638</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Lunglav</t>
        </is>
      </c>
      <c r="S76">
        <f>HYPERLINK("https://klasma.github.io/Logging_2023/artfynd/A 55914-2024 artfynd.xlsx", "A 55914-2024")</f>
        <v/>
      </c>
      <c r="T76">
        <f>HYPERLINK("https://klasma.github.io/Logging_2023/kartor/A 55914-2024 karta.png", "A 55914-2024")</f>
        <v/>
      </c>
      <c r="V76">
        <f>HYPERLINK("https://klasma.github.io/Logging_2023/klagomål/A 55914-2024 FSC-klagomål.docx", "A 55914-2024")</f>
        <v/>
      </c>
      <c r="W76">
        <f>HYPERLINK("https://klasma.github.io/Logging_2023/klagomålsmail/A 55914-2024 FSC-klagomål mail.docx", "A 55914-2024")</f>
        <v/>
      </c>
      <c r="X76">
        <f>HYPERLINK("https://klasma.github.io/Logging_2023/tillsyn/A 55914-2024 tillsynsbegäran.docx", "A 55914-2024")</f>
        <v/>
      </c>
      <c r="Y76">
        <f>HYPERLINK("https://klasma.github.io/Logging_2023/tillsynsmail/A 55914-2024 tillsynsbegäran mail.docx", "A 55914-2024")</f>
        <v/>
      </c>
    </row>
    <row r="77" ht="15" customHeight="1">
      <c r="A77" t="inlineStr">
        <is>
          <t>A 58765-2024</t>
        </is>
      </c>
      <c r="B77" s="1" t="n">
        <v>45635</v>
      </c>
      <c r="C77" s="1" t="n">
        <v>45638</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Garnlav</t>
        </is>
      </c>
      <c r="S77">
        <f>HYPERLINK("https://klasma.github.io/Logging_2023/artfynd/A 58765-2024 artfynd.xlsx", "A 58765-2024")</f>
        <v/>
      </c>
      <c r="T77">
        <f>HYPERLINK("https://klasma.github.io/Logging_2023/kartor/A 58765-2024 karta.png", "A 58765-2024")</f>
        <v/>
      </c>
      <c r="V77">
        <f>HYPERLINK("https://klasma.github.io/Logging_2023/klagomål/A 58765-2024 FSC-klagomål.docx", "A 58765-2024")</f>
        <v/>
      </c>
      <c r="W77">
        <f>HYPERLINK("https://klasma.github.io/Logging_2023/klagomålsmail/A 58765-2024 FSC-klagomål mail.docx", "A 58765-2024")</f>
        <v/>
      </c>
      <c r="X77">
        <f>HYPERLINK("https://klasma.github.io/Logging_2023/tillsyn/A 58765-2024 tillsynsbegäran.docx", "A 58765-2024")</f>
        <v/>
      </c>
      <c r="Y77">
        <f>HYPERLINK("https://klasma.github.io/Logging_2023/tillsynsmail/A 58765-2024 tillsynsbegäran mail.docx", "A 58765-2024")</f>
        <v/>
      </c>
    </row>
    <row r="78" ht="15" customHeight="1">
      <c r="A78" t="inlineStr">
        <is>
          <t>A 18265-2019</t>
        </is>
      </c>
      <c r="B78" s="1" t="n">
        <v>43558</v>
      </c>
      <c r="C78" s="1" t="n">
        <v>45638</v>
      </c>
      <c r="D78" t="inlineStr">
        <is>
          <t>DALARNAS LÄN</t>
        </is>
      </c>
      <c r="E78" t="inlineStr">
        <is>
          <t>MALUNG-SÄLEN</t>
        </is>
      </c>
      <c r="G78" t="n">
        <v>7</v>
      </c>
      <c r="H78" t="n">
        <v>0</v>
      </c>
      <c r="I78" t="n">
        <v>0</v>
      </c>
      <c r="J78" t="n">
        <v>0</v>
      </c>
      <c r="K78" t="n">
        <v>0</v>
      </c>
      <c r="L78" t="n">
        <v>0</v>
      </c>
      <c r="M78" t="n">
        <v>0</v>
      </c>
      <c r="N78" t="n">
        <v>0</v>
      </c>
      <c r="O78" t="n">
        <v>0</v>
      </c>
      <c r="P78" t="n">
        <v>0</v>
      </c>
      <c r="Q78" t="n">
        <v>0</v>
      </c>
      <c r="R78" s="2" t="inlineStr"/>
    </row>
    <row r="79" ht="15" customHeight="1">
      <c r="A79" t="inlineStr">
        <is>
          <t>A 18844-2019</t>
        </is>
      </c>
      <c r="B79" s="1" t="n">
        <v>43563</v>
      </c>
      <c r="C79" s="1" t="n">
        <v>45638</v>
      </c>
      <c r="D79" t="inlineStr">
        <is>
          <t>DALARNAS LÄN</t>
        </is>
      </c>
      <c r="E79" t="inlineStr">
        <is>
          <t>MALUNG-SÄLEN</t>
        </is>
      </c>
      <c r="G79" t="n">
        <v>1.2</v>
      </c>
      <c r="H79" t="n">
        <v>0</v>
      </c>
      <c r="I79" t="n">
        <v>0</v>
      </c>
      <c r="J79" t="n">
        <v>0</v>
      </c>
      <c r="K79" t="n">
        <v>0</v>
      </c>
      <c r="L79" t="n">
        <v>0</v>
      </c>
      <c r="M79" t="n">
        <v>0</v>
      </c>
      <c r="N79" t="n">
        <v>0</v>
      </c>
      <c r="O79" t="n">
        <v>0</v>
      </c>
      <c r="P79" t="n">
        <v>0</v>
      </c>
      <c r="Q79" t="n">
        <v>0</v>
      </c>
      <c r="R79" s="2" t="inlineStr"/>
    </row>
    <row r="80" ht="15" customHeight="1">
      <c r="A80" t="inlineStr">
        <is>
          <t>A 19281-2019</t>
        </is>
      </c>
      <c r="B80" s="1" t="n">
        <v>43565</v>
      </c>
      <c r="C80" s="1" t="n">
        <v>45638</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19282-2019</t>
        </is>
      </c>
      <c r="B81" s="1" t="n">
        <v>43565</v>
      </c>
      <c r="C81" s="1" t="n">
        <v>45638</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22452-2019</t>
        </is>
      </c>
      <c r="B82" s="1" t="n">
        <v>43587</v>
      </c>
      <c r="C82" s="1" t="n">
        <v>45638</v>
      </c>
      <c r="D82" t="inlineStr">
        <is>
          <t>DALARNAS LÄN</t>
        </is>
      </c>
      <c r="E82" t="inlineStr">
        <is>
          <t>MALUNG-SÄLEN</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22809-2019</t>
        </is>
      </c>
      <c r="B83" s="1" t="n">
        <v>43590</v>
      </c>
      <c r="C83" s="1" t="n">
        <v>45638</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23809-2019</t>
        </is>
      </c>
      <c r="B84" s="1" t="n">
        <v>43595</v>
      </c>
      <c r="C84" s="1" t="n">
        <v>45638</v>
      </c>
      <c r="D84" t="inlineStr">
        <is>
          <t>DALARNAS LÄN</t>
        </is>
      </c>
      <c r="E84" t="inlineStr">
        <is>
          <t>MALUNG-SÄLEN</t>
        </is>
      </c>
      <c r="G84" t="n">
        <v>9</v>
      </c>
      <c r="H84" t="n">
        <v>0</v>
      </c>
      <c r="I84" t="n">
        <v>0</v>
      </c>
      <c r="J84" t="n">
        <v>0</v>
      </c>
      <c r="K84" t="n">
        <v>0</v>
      </c>
      <c r="L84" t="n">
        <v>0</v>
      </c>
      <c r="M84" t="n">
        <v>0</v>
      </c>
      <c r="N84" t="n">
        <v>0</v>
      </c>
      <c r="O84" t="n">
        <v>0</v>
      </c>
      <c r="P84" t="n">
        <v>0</v>
      </c>
      <c r="Q84" t="n">
        <v>0</v>
      </c>
      <c r="R84" s="2" t="inlineStr"/>
    </row>
    <row r="85" ht="15" customHeight="1">
      <c r="A85" t="inlineStr">
        <is>
          <t>A 26136-2019</t>
        </is>
      </c>
      <c r="B85" s="1" t="n">
        <v>43609</v>
      </c>
      <c r="C85" s="1" t="n">
        <v>45638</v>
      </c>
      <c r="D85" t="inlineStr">
        <is>
          <t>DALARNAS LÄN</t>
        </is>
      </c>
      <c r="E85" t="inlineStr">
        <is>
          <t>MALUNG-SÄLEN</t>
        </is>
      </c>
      <c r="F85" t="inlineStr">
        <is>
          <t>Bergvik skog väst AB</t>
        </is>
      </c>
      <c r="G85" t="n">
        <v>5.7</v>
      </c>
      <c r="H85" t="n">
        <v>0</v>
      </c>
      <c r="I85" t="n">
        <v>0</v>
      </c>
      <c r="J85" t="n">
        <v>0</v>
      </c>
      <c r="K85" t="n">
        <v>0</v>
      </c>
      <c r="L85" t="n">
        <v>0</v>
      </c>
      <c r="M85" t="n">
        <v>0</v>
      </c>
      <c r="N85" t="n">
        <v>0</v>
      </c>
      <c r="O85" t="n">
        <v>0</v>
      </c>
      <c r="P85" t="n">
        <v>0</v>
      </c>
      <c r="Q85" t="n">
        <v>0</v>
      </c>
      <c r="R85" s="2" t="inlineStr"/>
    </row>
    <row r="86" ht="15" customHeight="1">
      <c r="A86" t="inlineStr">
        <is>
          <t>A 26258-2019</t>
        </is>
      </c>
      <c r="B86" s="1" t="n">
        <v>43610</v>
      </c>
      <c r="C86" s="1" t="n">
        <v>45638</v>
      </c>
      <c r="D86" t="inlineStr">
        <is>
          <t>DALARNAS LÄN</t>
        </is>
      </c>
      <c r="E86" t="inlineStr">
        <is>
          <t>MALUNG-SÄLEN</t>
        </is>
      </c>
      <c r="G86" t="n">
        <v>5.5</v>
      </c>
      <c r="H86" t="n">
        <v>0</v>
      </c>
      <c r="I86" t="n">
        <v>0</v>
      </c>
      <c r="J86" t="n">
        <v>0</v>
      </c>
      <c r="K86" t="n">
        <v>0</v>
      </c>
      <c r="L86" t="n">
        <v>0</v>
      </c>
      <c r="M86" t="n">
        <v>0</v>
      </c>
      <c r="N86" t="n">
        <v>0</v>
      </c>
      <c r="O86" t="n">
        <v>0</v>
      </c>
      <c r="P86" t="n">
        <v>0</v>
      </c>
      <c r="Q86" t="n">
        <v>0</v>
      </c>
      <c r="R86" s="2" t="inlineStr"/>
    </row>
    <row r="87" ht="15" customHeight="1">
      <c r="A87" t="inlineStr">
        <is>
          <t>A 26259-2019</t>
        </is>
      </c>
      <c r="B87" s="1" t="n">
        <v>43610</v>
      </c>
      <c r="C87" s="1" t="n">
        <v>45638</v>
      </c>
      <c r="D87" t="inlineStr">
        <is>
          <t>DALARNAS LÄN</t>
        </is>
      </c>
      <c r="E87" t="inlineStr">
        <is>
          <t>MALUNG-SÄLEN</t>
        </is>
      </c>
      <c r="G87" t="n">
        <v>1</v>
      </c>
      <c r="H87" t="n">
        <v>0</v>
      </c>
      <c r="I87" t="n">
        <v>0</v>
      </c>
      <c r="J87" t="n">
        <v>0</v>
      </c>
      <c r="K87" t="n">
        <v>0</v>
      </c>
      <c r="L87" t="n">
        <v>0</v>
      </c>
      <c r="M87" t="n">
        <v>0</v>
      </c>
      <c r="N87" t="n">
        <v>0</v>
      </c>
      <c r="O87" t="n">
        <v>0</v>
      </c>
      <c r="P87" t="n">
        <v>0</v>
      </c>
      <c r="Q87" t="n">
        <v>0</v>
      </c>
      <c r="R87" s="2" t="inlineStr"/>
    </row>
    <row r="88" ht="15" customHeight="1">
      <c r="A88" t="inlineStr">
        <is>
          <t>A 27048-2019</t>
        </is>
      </c>
      <c r="B88" s="1" t="n">
        <v>43614</v>
      </c>
      <c r="C88" s="1" t="n">
        <v>45638</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27037-2019</t>
        </is>
      </c>
      <c r="B89" s="1" t="n">
        <v>43614</v>
      </c>
      <c r="C89" s="1" t="n">
        <v>45638</v>
      </c>
      <c r="D89" t="inlineStr">
        <is>
          <t>DALARNAS LÄN</t>
        </is>
      </c>
      <c r="E89" t="inlineStr">
        <is>
          <t>MALUNG-SÄLEN</t>
        </is>
      </c>
      <c r="G89" t="n">
        <v>0.6</v>
      </c>
      <c r="H89" t="n">
        <v>0</v>
      </c>
      <c r="I89" t="n">
        <v>0</v>
      </c>
      <c r="J89" t="n">
        <v>0</v>
      </c>
      <c r="K89" t="n">
        <v>0</v>
      </c>
      <c r="L89" t="n">
        <v>0</v>
      </c>
      <c r="M89" t="n">
        <v>0</v>
      </c>
      <c r="N89" t="n">
        <v>0</v>
      </c>
      <c r="O89" t="n">
        <v>0</v>
      </c>
      <c r="P89" t="n">
        <v>0</v>
      </c>
      <c r="Q89" t="n">
        <v>0</v>
      </c>
      <c r="R89" s="2" t="inlineStr"/>
    </row>
    <row r="90" ht="15" customHeight="1">
      <c r="A90" t="inlineStr">
        <is>
          <t>A 27039-2019</t>
        </is>
      </c>
      <c r="B90" s="1" t="n">
        <v>43614</v>
      </c>
      <c r="C90" s="1" t="n">
        <v>45638</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27487-2019</t>
        </is>
      </c>
      <c r="B91" s="1" t="n">
        <v>43619</v>
      </c>
      <c r="C91" s="1" t="n">
        <v>45638</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28259-2019</t>
        </is>
      </c>
      <c r="B92" s="1" t="n">
        <v>43623</v>
      </c>
      <c r="C92" s="1" t="n">
        <v>45638</v>
      </c>
      <c r="D92" t="inlineStr">
        <is>
          <t>DALARNAS LÄN</t>
        </is>
      </c>
      <c r="E92" t="inlineStr">
        <is>
          <t>MALUNG-SÄLEN</t>
        </is>
      </c>
      <c r="G92" t="n">
        <v>2.1</v>
      </c>
      <c r="H92" t="n">
        <v>0</v>
      </c>
      <c r="I92" t="n">
        <v>0</v>
      </c>
      <c r="J92" t="n">
        <v>0</v>
      </c>
      <c r="K92" t="n">
        <v>0</v>
      </c>
      <c r="L92" t="n">
        <v>0</v>
      </c>
      <c r="M92" t="n">
        <v>0</v>
      </c>
      <c r="N92" t="n">
        <v>0</v>
      </c>
      <c r="O92" t="n">
        <v>0</v>
      </c>
      <c r="P92" t="n">
        <v>0</v>
      </c>
      <c r="Q92" t="n">
        <v>0</v>
      </c>
      <c r="R92" s="2" t="inlineStr"/>
    </row>
    <row r="93" ht="15" customHeight="1">
      <c r="A93" t="inlineStr">
        <is>
          <t>A 29761-2019</t>
        </is>
      </c>
      <c r="B93" s="1" t="n">
        <v>43631</v>
      </c>
      <c r="C93" s="1" t="n">
        <v>45638</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29760-2019</t>
        </is>
      </c>
      <c r="B94" s="1" t="n">
        <v>43631</v>
      </c>
      <c r="C94" s="1" t="n">
        <v>45638</v>
      </c>
      <c r="D94" t="inlineStr">
        <is>
          <t>DALARNAS LÄN</t>
        </is>
      </c>
      <c r="E94" t="inlineStr">
        <is>
          <t>MALUNG-SÄLEN</t>
        </is>
      </c>
      <c r="G94" t="n">
        <v>2.9</v>
      </c>
      <c r="H94" t="n">
        <v>0</v>
      </c>
      <c r="I94" t="n">
        <v>0</v>
      </c>
      <c r="J94" t="n">
        <v>0</v>
      </c>
      <c r="K94" t="n">
        <v>0</v>
      </c>
      <c r="L94" t="n">
        <v>0</v>
      </c>
      <c r="M94" t="n">
        <v>0</v>
      </c>
      <c r="N94" t="n">
        <v>0</v>
      </c>
      <c r="O94" t="n">
        <v>0</v>
      </c>
      <c r="P94" t="n">
        <v>0</v>
      </c>
      <c r="Q94" t="n">
        <v>0</v>
      </c>
      <c r="R94" s="2" t="inlineStr"/>
    </row>
    <row r="95" ht="15" customHeight="1">
      <c r="A95" t="inlineStr">
        <is>
          <t>A 30046-2019</t>
        </is>
      </c>
      <c r="B95" s="1" t="n">
        <v>43633</v>
      </c>
      <c r="C95" s="1" t="n">
        <v>45638</v>
      </c>
      <c r="D95" t="inlineStr">
        <is>
          <t>DALARNAS LÄN</t>
        </is>
      </c>
      <c r="E95" t="inlineStr">
        <is>
          <t>MALUNG-SÄLEN</t>
        </is>
      </c>
      <c r="G95" t="n">
        <v>7.6</v>
      </c>
      <c r="H95" t="n">
        <v>0</v>
      </c>
      <c r="I95" t="n">
        <v>0</v>
      </c>
      <c r="J95" t="n">
        <v>0</v>
      </c>
      <c r="K95" t="n">
        <v>0</v>
      </c>
      <c r="L95" t="n">
        <v>0</v>
      </c>
      <c r="M95" t="n">
        <v>0</v>
      </c>
      <c r="N95" t="n">
        <v>0</v>
      </c>
      <c r="O95" t="n">
        <v>0</v>
      </c>
      <c r="P95" t="n">
        <v>0</v>
      </c>
      <c r="Q95" t="n">
        <v>0</v>
      </c>
      <c r="R95" s="2" t="inlineStr"/>
    </row>
    <row r="96" ht="15" customHeight="1">
      <c r="A96" t="inlineStr">
        <is>
          <t>A 30295-2019</t>
        </is>
      </c>
      <c r="B96" s="1" t="n">
        <v>43634</v>
      </c>
      <c r="C96" s="1" t="n">
        <v>45638</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30230-2019</t>
        </is>
      </c>
      <c r="B97" s="1" t="n">
        <v>43634</v>
      </c>
      <c r="C97" s="1" t="n">
        <v>45638</v>
      </c>
      <c r="D97" t="inlineStr">
        <is>
          <t>DALARNAS LÄN</t>
        </is>
      </c>
      <c r="E97" t="inlineStr">
        <is>
          <t>MALUNG-SÄLEN</t>
        </is>
      </c>
      <c r="G97" t="n">
        <v>4.1</v>
      </c>
      <c r="H97" t="n">
        <v>0</v>
      </c>
      <c r="I97" t="n">
        <v>0</v>
      </c>
      <c r="J97" t="n">
        <v>0</v>
      </c>
      <c r="K97" t="n">
        <v>0</v>
      </c>
      <c r="L97" t="n">
        <v>0</v>
      </c>
      <c r="M97" t="n">
        <v>0</v>
      </c>
      <c r="N97" t="n">
        <v>0</v>
      </c>
      <c r="O97" t="n">
        <v>0</v>
      </c>
      <c r="P97" t="n">
        <v>0</v>
      </c>
      <c r="Q97" t="n">
        <v>0</v>
      </c>
      <c r="R97" s="2" t="inlineStr"/>
    </row>
    <row r="98" ht="15" customHeight="1">
      <c r="A98" t="inlineStr">
        <is>
          <t>A 30828-2019</t>
        </is>
      </c>
      <c r="B98" s="1" t="n">
        <v>43636</v>
      </c>
      <c r="C98" s="1" t="n">
        <v>45638</v>
      </c>
      <c r="D98" t="inlineStr">
        <is>
          <t>DALARNAS LÄN</t>
        </is>
      </c>
      <c r="E98" t="inlineStr">
        <is>
          <t>MALUNG-SÄLEN</t>
        </is>
      </c>
      <c r="G98" t="n">
        <v>4.8</v>
      </c>
      <c r="H98" t="n">
        <v>0</v>
      </c>
      <c r="I98" t="n">
        <v>0</v>
      </c>
      <c r="J98" t="n">
        <v>0</v>
      </c>
      <c r="K98" t="n">
        <v>0</v>
      </c>
      <c r="L98" t="n">
        <v>0</v>
      </c>
      <c r="M98" t="n">
        <v>0</v>
      </c>
      <c r="N98" t="n">
        <v>0</v>
      </c>
      <c r="O98" t="n">
        <v>0</v>
      </c>
      <c r="P98" t="n">
        <v>0</v>
      </c>
      <c r="Q98" t="n">
        <v>0</v>
      </c>
      <c r="R98" s="2" t="inlineStr"/>
    </row>
    <row r="99" ht="15" customHeight="1">
      <c r="A99" t="inlineStr">
        <is>
          <t>A 32136-2019</t>
        </is>
      </c>
      <c r="B99" s="1" t="n">
        <v>43643</v>
      </c>
      <c r="C99" s="1" t="n">
        <v>45638</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32124-2019</t>
        </is>
      </c>
      <c r="B100" s="1" t="n">
        <v>43643</v>
      </c>
      <c r="C100" s="1" t="n">
        <v>45638</v>
      </c>
      <c r="D100" t="inlineStr">
        <is>
          <t>DALARNAS LÄN</t>
        </is>
      </c>
      <c r="E100" t="inlineStr">
        <is>
          <t>MALUNG-SÄLEN</t>
        </is>
      </c>
      <c r="G100" t="n">
        <v>3.1</v>
      </c>
      <c r="H100" t="n">
        <v>0</v>
      </c>
      <c r="I100" t="n">
        <v>0</v>
      </c>
      <c r="J100" t="n">
        <v>0</v>
      </c>
      <c r="K100" t="n">
        <v>0</v>
      </c>
      <c r="L100" t="n">
        <v>0</v>
      </c>
      <c r="M100" t="n">
        <v>0</v>
      </c>
      <c r="N100" t="n">
        <v>0</v>
      </c>
      <c r="O100" t="n">
        <v>0</v>
      </c>
      <c r="P100" t="n">
        <v>0</v>
      </c>
      <c r="Q100" t="n">
        <v>0</v>
      </c>
      <c r="R100" s="2" t="inlineStr"/>
    </row>
    <row r="101" ht="15" customHeight="1">
      <c r="A101" t="inlineStr">
        <is>
          <t>A 34243-2019</t>
        </is>
      </c>
      <c r="B101" s="1" t="n">
        <v>43647</v>
      </c>
      <c r="C101" s="1" t="n">
        <v>45638</v>
      </c>
      <c r="D101" t="inlineStr">
        <is>
          <t>DALARNAS LÄN</t>
        </is>
      </c>
      <c r="E101" t="inlineStr">
        <is>
          <t>MALUNG-SÄLEN</t>
        </is>
      </c>
      <c r="G101" t="n">
        <v>8</v>
      </c>
      <c r="H101" t="n">
        <v>0</v>
      </c>
      <c r="I101" t="n">
        <v>0</v>
      </c>
      <c r="J101" t="n">
        <v>0</v>
      </c>
      <c r="K101" t="n">
        <v>0</v>
      </c>
      <c r="L101" t="n">
        <v>0</v>
      </c>
      <c r="M101" t="n">
        <v>0</v>
      </c>
      <c r="N101" t="n">
        <v>0</v>
      </c>
      <c r="O101" t="n">
        <v>0</v>
      </c>
      <c r="P101" t="n">
        <v>0</v>
      </c>
      <c r="Q101" t="n">
        <v>0</v>
      </c>
      <c r="R101" s="2" t="inlineStr"/>
    </row>
    <row r="102" ht="15" customHeight="1">
      <c r="A102" t="inlineStr">
        <is>
          <t>A 33559-2019</t>
        </is>
      </c>
      <c r="B102" s="1" t="n">
        <v>43651</v>
      </c>
      <c r="C102" s="1" t="n">
        <v>45638</v>
      </c>
      <c r="D102" t="inlineStr">
        <is>
          <t>DALARNAS LÄN</t>
        </is>
      </c>
      <c r="E102" t="inlineStr">
        <is>
          <t>MALUNG-SÄLEN</t>
        </is>
      </c>
      <c r="G102" t="n">
        <v>14.1</v>
      </c>
      <c r="H102" t="n">
        <v>0</v>
      </c>
      <c r="I102" t="n">
        <v>0</v>
      </c>
      <c r="J102" t="n">
        <v>0</v>
      </c>
      <c r="K102" t="n">
        <v>0</v>
      </c>
      <c r="L102" t="n">
        <v>0</v>
      </c>
      <c r="M102" t="n">
        <v>0</v>
      </c>
      <c r="N102" t="n">
        <v>0</v>
      </c>
      <c r="O102" t="n">
        <v>0</v>
      </c>
      <c r="P102" t="n">
        <v>0</v>
      </c>
      <c r="Q102" t="n">
        <v>0</v>
      </c>
      <c r="R102" s="2" t="inlineStr"/>
    </row>
    <row r="103" ht="15" customHeight="1">
      <c r="A103" t="inlineStr">
        <is>
          <t>A 34071-2019</t>
        </is>
      </c>
      <c r="B103" s="1" t="n">
        <v>43654</v>
      </c>
      <c r="C103" s="1" t="n">
        <v>45638</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34085-2019</t>
        </is>
      </c>
      <c r="B104" s="1" t="n">
        <v>43654</v>
      </c>
      <c r="C104" s="1" t="n">
        <v>45638</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35793-2019</t>
        </is>
      </c>
      <c r="B105" s="1" t="n">
        <v>43656</v>
      </c>
      <c r="C105" s="1" t="n">
        <v>45638</v>
      </c>
      <c r="D105" t="inlineStr">
        <is>
          <t>DALARNAS LÄN</t>
        </is>
      </c>
      <c r="E105" t="inlineStr">
        <is>
          <t>MALUNG-SÄLEN</t>
        </is>
      </c>
      <c r="G105" t="n">
        <v>2.2</v>
      </c>
      <c r="H105" t="n">
        <v>0</v>
      </c>
      <c r="I105" t="n">
        <v>0</v>
      </c>
      <c r="J105" t="n">
        <v>0</v>
      </c>
      <c r="K105" t="n">
        <v>0</v>
      </c>
      <c r="L105" t="n">
        <v>0</v>
      </c>
      <c r="M105" t="n">
        <v>0</v>
      </c>
      <c r="N105" t="n">
        <v>0</v>
      </c>
      <c r="O105" t="n">
        <v>0</v>
      </c>
      <c r="P105" t="n">
        <v>0</v>
      </c>
      <c r="Q105" t="n">
        <v>0</v>
      </c>
      <c r="R105" s="2" t="inlineStr"/>
    </row>
    <row r="106" ht="15" customHeight="1">
      <c r="A106" t="inlineStr">
        <is>
          <t>A 36006-2019</t>
        </is>
      </c>
      <c r="B106" s="1" t="n">
        <v>43657</v>
      </c>
      <c r="C106" s="1" t="n">
        <v>45638</v>
      </c>
      <c r="D106" t="inlineStr">
        <is>
          <t>DALARNAS LÄN</t>
        </is>
      </c>
      <c r="E106" t="inlineStr">
        <is>
          <t>MALUNG-SÄLEN</t>
        </is>
      </c>
      <c r="G106" t="n">
        <v>10.4</v>
      </c>
      <c r="H106" t="n">
        <v>0</v>
      </c>
      <c r="I106" t="n">
        <v>0</v>
      </c>
      <c r="J106" t="n">
        <v>0</v>
      </c>
      <c r="K106" t="n">
        <v>0</v>
      </c>
      <c r="L106" t="n">
        <v>0</v>
      </c>
      <c r="M106" t="n">
        <v>0</v>
      </c>
      <c r="N106" t="n">
        <v>0</v>
      </c>
      <c r="O106" t="n">
        <v>0</v>
      </c>
      <c r="P106" t="n">
        <v>0</v>
      </c>
      <c r="Q106" t="n">
        <v>0</v>
      </c>
      <c r="R106" s="2" t="inlineStr"/>
    </row>
    <row r="107" ht="15" customHeight="1">
      <c r="A107" t="inlineStr">
        <is>
          <t>A 36119-2019</t>
        </is>
      </c>
      <c r="B107" s="1" t="n">
        <v>43658</v>
      </c>
      <c r="C107" s="1" t="n">
        <v>45638</v>
      </c>
      <c r="D107" t="inlineStr">
        <is>
          <t>DALARNAS LÄN</t>
        </is>
      </c>
      <c r="E107" t="inlineStr">
        <is>
          <t>MALUNG-SÄLEN</t>
        </is>
      </c>
      <c r="F107" t="inlineStr">
        <is>
          <t>Allmännings- och besparingsskogar</t>
        </is>
      </c>
      <c r="G107" t="n">
        <v>2.1</v>
      </c>
      <c r="H107" t="n">
        <v>0</v>
      </c>
      <c r="I107" t="n">
        <v>0</v>
      </c>
      <c r="J107" t="n">
        <v>0</v>
      </c>
      <c r="K107" t="n">
        <v>0</v>
      </c>
      <c r="L107" t="n">
        <v>0</v>
      </c>
      <c r="M107" t="n">
        <v>0</v>
      </c>
      <c r="N107" t="n">
        <v>0</v>
      </c>
      <c r="O107" t="n">
        <v>0</v>
      </c>
      <c r="P107" t="n">
        <v>0</v>
      </c>
      <c r="Q107" t="n">
        <v>0</v>
      </c>
      <c r="R107" s="2" t="inlineStr"/>
    </row>
    <row r="108" ht="15" customHeight="1">
      <c r="A108" t="inlineStr">
        <is>
          <t>A 36878-2019</t>
        </is>
      </c>
      <c r="B108" s="1" t="n">
        <v>43675</v>
      </c>
      <c r="C108" s="1" t="n">
        <v>45638</v>
      </c>
      <c r="D108" t="inlineStr">
        <is>
          <t>DALARNAS LÄN</t>
        </is>
      </c>
      <c r="E108" t="inlineStr">
        <is>
          <t>MALUNG-SÄLEN</t>
        </is>
      </c>
      <c r="G108" t="n">
        <v>2</v>
      </c>
      <c r="H108" t="n">
        <v>0</v>
      </c>
      <c r="I108" t="n">
        <v>0</v>
      </c>
      <c r="J108" t="n">
        <v>0</v>
      </c>
      <c r="K108" t="n">
        <v>0</v>
      </c>
      <c r="L108" t="n">
        <v>0</v>
      </c>
      <c r="M108" t="n">
        <v>0</v>
      </c>
      <c r="N108" t="n">
        <v>0</v>
      </c>
      <c r="O108" t="n">
        <v>0</v>
      </c>
      <c r="P108" t="n">
        <v>0</v>
      </c>
      <c r="Q108" t="n">
        <v>0</v>
      </c>
      <c r="R108" s="2" t="inlineStr"/>
    </row>
    <row r="109" ht="15" customHeight="1">
      <c r="A109" t="inlineStr">
        <is>
          <t>A 36873-2019</t>
        </is>
      </c>
      <c r="B109" s="1" t="n">
        <v>43675</v>
      </c>
      <c r="C109" s="1" t="n">
        <v>45638</v>
      </c>
      <c r="D109" t="inlineStr">
        <is>
          <t>DALARNAS LÄN</t>
        </is>
      </c>
      <c r="E109" t="inlineStr">
        <is>
          <t>MALUNG-SÄLEN</t>
        </is>
      </c>
      <c r="F109" t="inlineStr">
        <is>
          <t>Allmännings- och besparingsskogar</t>
        </is>
      </c>
      <c r="G109" t="n">
        <v>16.3</v>
      </c>
      <c r="H109" t="n">
        <v>0</v>
      </c>
      <c r="I109" t="n">
        <v>0</v>
      </c>
      <c r="J109" t="n">
        <v>0</v>
      </c>
      <c r="K109" t="n">
        <v>0</v>
      </c>
      <c r="L109" t="n">
        <v>0</v>
      </c>
      <c r="M109" t="n">
        <v>0</v>
      </c>
      <c r="N109" t="n">
        <v>0</v>
      </c>
      <c r="O109" t="n">
        <v>0</v>
      </c>
      <c r="P109" t="n">
        <v>0</v>
      </c>
      <c r="Q109" t="n">
        <v>0</v>
      </c>
      <c r="R109" s="2" t="inlineStr"/>
    </row>
    <row r="110" ht="15" customHeight="1">
      <c r="A110" t="inlineStr">
        <is>
          <t>A 37179-2019</t>
        </is>
      </c>
      <c r="B110" s="1" t="n">
        <v>43677</v>
      </c>
      <c r="C110" s="1" t="n">
        <v>45638</v>
      </c>
      <c r="D110" t="inlineStr">
        <is>
          <t>DALARNAS LÄN</t>
        </is>
      </c>
      <c r="E110" t="inlineStr">
        <is>
          <t>MALUNG-SÄLEN</t>
        </is>
      </c>
      <c r="G110" t="n">
        <v>5.5</v>
      </c>
      <c r="H110" t="n">
        <v>0</v>
      </c>
      <c r="I110" t="n">
        <v>0</v>
      </c>
      <c r="J110" t="n">
        <v>0</v>
      </c>
      <c r="K110" t="n">
        <v>0</v>
      </c>
      <c r="L110" t="n">
        <v>0</v>
      </c>
      <c r="M110" t="n">
        <v>0</v>
      </c>
      <c r="N110" t="n">
        <v>0</v>
      </c>
      <c r="O110" t="n">
        <v>0</v>
      </c>
      <c r="P110" t="n">
        <v>0</v>
      </c>
      <c r="Q110" t="n">
        <v>0</v>
      </c>
      <c r="R110" s="2" t="inlineStr"/>
    </row>
    <row r="111" ht="15" customHeight="1">
      <c r="A111" t="inlineStr">
        <is>
          <t>A 37952-2019</t>
        </is>
      </c>
      <c r="B111" s="1" t="n">
        <v>43683</v>
      </c>
      <c r="C111" s="1" t="n">
        <v>45638</v>
      </c>
      <c r="D111" t="inlineStr">
        <is>
          <t>DALARNAS LÄN</t>
        </is>
      </c>
      <c r="E111" t="inlineStr">
        <is>
          <t>MALUNG-SÄLEN</t>
        </is>
      </c>
      <c r="G111" t="n">
        <v>6.4</v>
      </c>
      <c r="H111" t="n">
        <v>0</v>
      </c>
      <c r="I111" t="n">
        <v>0</v>
      </c>
      <c r="J111" t="n">
        <v>0</v>
      </c>
      <c r="K111" t="n">
        <v>0</v>
      </c>
      <c r="L111" t="n">
        <v>0</v>
      </c>
      <c r="M111" t="n">
        <v>0</v>
      </c>
      <c r="N111" t="n">
        <v>0</v>
      </c>
      <c r="O111" t="n">
        <v>0</v>
      </c>
      <c r="P111" t="n">
        <v>0</v>
      </c>
      <c r="Q111" t="n">
        <v>0</v>
      </c>
      <c r="R111" s="2" t="inlineStr"/>
    </row>
    <row r="112" ht="15" customHeight="1">
      <c r="A112" t="inlineStr">
        <is>
          <t>A 38173-2019</t>
        </is>
      </c>
      <c r="B112" s="1" t="n">
        <v>43684</v>
      </c>
      <c r="C112" s="1" t="n">
        <v>45638</v>
      </c>
      <c r="D112" t="inlineStr">
        <is>
          <t>DALARNAS LÄN</t>
        </is>
      </c>
      <c r="E112" t="inlineStr">
        <is>
          <t>MALUNG-SÄLEN</t>
        </is>
      </c>
      <c r="G112" t="n">
        <v>3.3</v>
      </c>
      <c r="H112" t="n">
        <v>0</v>
      </c>
      <c r="I112" t="n">
        <v>0</v>
      </c>
      <c r="J112" t="n">
        <v>0</v>
      </c>
      <c r="K112" t="n">
        <v>0</v>
      </c>
      <c r="L112" t="n">
        <v>0</v>
      </c>
      <c r="M112" t="n">
        <v>0</v>
      </c>
      <c r="N112" t="n">
        <v>0</v>
      </c>
      <c r="O112" t="n">
        <v>0</v>
      </c>
      <c r="P112" t="n">
        <v>0</v>
      </c>
      <c r="Q112" t="n">
        <v>0</v>
      </c>
      <c r="R112" s="2" t="inlineStr"/>
    </row>
    <row r="113" ht="15" customHeight="1">
      <c r="A113" t="inlineStr">
        <is>
          <t>A 39281-2019</t>
        </is>
      </c>
      <c r="B113" s="1" t="n">
        <v>43686</v>
      </c>
      <c r="C113" s="1" t="n">
        <v>45638</v>
      </c>
      <c r="D113" t="inlineStr">
        <is>
          <t>DALARNAS LÄN</t>
        </is>
      </c>
      <c r="E113" t="inlineStr">
        <is>
          <t>MALUNG-SÄLEN</t>
        </is>
      </c>
      <c r="F113" t="inlineStr">
        <is>
          <t>Allmännings- och besparingsskogar</t>
        </is>
      </c>
      <c r="G113" t="n">
        <v>12.8</v>
      </c>
      <c r="H113" t="n">
        <v>0</v>
      </c>
      <c r="I113" t="n">
        <v>0</v>
      </c>
      <c r="J113" t="n">
        <v>0</v>
      </c>
      <c r="K113" t="n">
        <v>0</v>
      </c>
      <c r="L113" t="n">
        <v>0</v>
      </c>
      <c r="M113" t="n">
        <v>0</v>
      </c>
      <c r="N113" t="n">
        <v>0</v>
      </c>
      <c r="O113" t="n">
        <v>0</v>
      </c>
      <c r="P113" t="n">
        <v>0</v>
      </c>
      <c r="Q113" t="n">
        <v>0</v>
      </c>
      <c r="R113" s="2" t="inlineStr"/>
    </row>
    <row r="114" ht="15" customHeight="1">
      <c r="A114" t="inlineStr">
        <is>
          <t>A 39287-2019</t>
        </is>
      </c>
      <c r="B114" s="1" t="n">
        <v>43686</v>
      </c>
      <c r="C114" s="1" t="n">
        <v>45638</v>
      </c>
      <c r="D114" t="inlineStr">
        <is>
          <t>DALARNAS LÄN</t>
        </is>
      </c>
      <c r="E114" t="inlineStr">
        <is>
          <t>MALUNG-SÄLEN</t>
        </is>
      </c>
      <c r="F114" t="inlineStr">
        <is>
          <t>Allmännings- och besparingsskogar</t>
        </is>
      </c>
      <c r="G114" t="n">
        <v>10</v>
      </c>
      <c r="H114" t="n">
        <v>0</v>
      </c>
      <c r="I114" t="n">
        <v>0</v>
      </c>
      <c r="J114" t="n">
        <v>0</v>
      </c>
      <c r="K114" t="n">
        <v>0</v>
      </c>
      <c r="L114" t="n">
        <v>0</v>
      </c>
      <c r="M114" t="n">
        <v>0</v>
      </c>
      <c r="N114" t="n">
        <v>0</v>
      </c>
      <c r="O114" t="n">
        <v>0</v>
      </c>
      <c r="P114" t="n">
        <v>0</v>
      </c>
      <c r="Q114" t="n">
        <v>0</v>
      </c>
      <c r="R114" s="2" t="inlineStr"/>
    </row>
    <row r="115" ht="15" customHeight="1">
      <c r="A115" t="inlineStr">
        <is>
          <t>A 39298-2019</t>
        </is>
      </c>
      <c r="B115" s="1" t="n">
        <v>43690</v>
      </c>
      <c r="C115" s="1" t="n">
        <v>45638</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42881-2019</t>
        </is>
      </c>
      <c r="B116" s="1" t="n">
        <v>43700</v>
      </c>
      <c r="C116" s="1" t="n">
        <v>45638</v>
      </c>
      <c r="D116" t="inlineStr">
        <is>
          <t>DALARNAS LÄN</t>
        </is>
      </c>
      <c r="E116" t="inlineStr">
        <is>
          <t>MALUNG-SÄLEN</t>
        </is>
      </c>
      <c r="F116" t="inlineStr">
        <is>
          <t>Allmännings- och besparingsskogar</t>
        </is>
      </c>
      <c r="G116" t="n">
        <v>8</v>
      </c>
      <c r="H116" t="n">
        <v>0</v>
      </c>
      <c r="I116" t="n">
        <v>0</v>
      </c>
      <c r="J116" t="n">
        <v>0</v>
      </c>
      <c r="K116" t="n">
        <v>0</v>
      </c>
      <c r="L116" t="n">
        <v>0</v>
      </c>
      <c r="M116" t="n">
        <v>0</v>
      </c>
      <c r="N116" t="n">
        <v>0</v>
      </c>
      <c r="O116" t="n">
        <v>0</v>
      </c>
      <c r="P116" t="n">
        <v>0</v>
      </c>
      <c r="Q116" t="n">
        <v>0</v>
      </c>
      <c r="R116" s="2" t="inlineStr"/>
    </row>
    <row r="117" ht="15" customHeight="1">
      <c r="A117" t="inlineStr">
        <is>
          <t>A 42889-2019</t>
        </is>
      </c>
      <c r="B117" s="1" t="n">
        <v>43700</v>
      </c>
      <c r="C117" s="1" t="n">
        <v>45638</v>
      </c>
      <c r="D117" t="inlineStr">
        <is>
          <t>DALARNAS LÄN</t>
        </is>
      </c>
      <c r="E117" t="inlineStr">
        <is>
          <t>MALUNG-SÄLEN</t>
        </is>
      </c>
      <c r="F117" t="inlineStr">
        <is>
          <t>Allmännings- och besparingsskogar</t>
        </is>
      </c>
      <c r="G117" t="n">
        <v>6.3</v>
      </c>
      <c r="H117" t="n">
        <v>0</v>
      </c>
      <c r="I117" t="n">
        <v>0</v>
      </c>
      <c r="J117" t="n">
        <v>0</v>
      </c>
      <c r="K117" t="n">
        <v>0</v>
      </c>
      <c r="L117" t="n">
        <v>0</v>
      </c>
      <c r="M117" t="n">
        <v>0</v>
      </c>
      <c r="N117" t="n">
        <v>0</v>
      </c>
      <c r="O117" t="n">
        <v>0</v>
      </c>
      <c r="P117" t="n">
        <v>0</v>
      </c>
      <c r="Q117" t="n">
        <v>0</v>
      </c>
      <c r="R117" s="2" t="inlineStr"/>
    </row>
    <row r="118" ht="15" customHeight="1">
      <c r="A118" t="inlineStr">
        <is>
          <t>A 42172-2019</t>
        </is>
      </c>
      <c r="B118" s="1" t="n">
        <v>43703</v>
      </c>
      <c r="C118" s="1" t="n">
        <v>45638</v>
      </c>
      <c r="D118" t="inlineStr">
        <is>
          <t>DALARNAS LÄN</t>
        </is>
      </c>
      <c r="E118" t="inlineStr">
        <is>
          <t>MALUNG-SÄLEN</t>
        </is>
      </c>
      <c r="G118" t="n">
        <v>1</v>
      </c>
      <c r="H118" t="n">
        <v>0</v>
      </c>
      <c r="I118" t="n">
        <v>0</v>
      </c>
      <c r="J118" t="n">
        <v>0</v>
      </c>
      <c r="K118" t="n">
        <v>0</v>
      </c>
      <c r="L118" t="n">
        <v>0</v>
      </c>
      <c r="M118" t="n">
        <v>0</v>
      </c>
      <c r="N118" t="n">
        <v>0</v>
      </c>
      <c r="O118" t="n">
        <v>0</v>
      </c>
      <c r="P118" t="n">
        <v>0</v>
      </c>
      <c r="Q118" t="n">
        <v>0</v>
      </c>
      <c r="R118" s="2" t="inlineStr"/>
    </row>
    <row r="119" ht="15" customHeight="1">
      <c r="A119" t="inlineStr">
        <is>
          <t>A 44934-2019</t>
        </is>
      </c>
      <c r="B119" s="1" t="n">
        <v>43713</v>
      </c>
      <c r="C119" s="1" t="n">
        <v>45638</v>
      </c>
      <c r="D119" t="inlineStr">
        <is>
          <t>DALARNAS LÄN</t>
        </is>
      </c>
      <c r="E119" t="inlineStr">
        <is>
          <t>MALUNG-SÄLEN</t>
        </is>
      </c>
      <c r="G119" t="n">
        <v>1.1</v>
      </c>
      <c r="H119" t="n">
        <v>0</v>
      </c>
      <c r="I119" t="n">
        <v>0</v>
      </c>
      <c r="J119" t="n">
        <v>0</v>
      </c>
      <c r="K119" t="n">
        <v>0</v>
      </c>
      <c r="L119" t="n">
        <v>0</v>
      </c>
      <c r="M119" t="n">
        <v>0</v>
      </c>
      <c r="N119" t="n">
        <v>0</v>
      </c>
      <c r="O119" t="n">
        <v>0</v>
      </c>
      <c r="P119" t="n">
        <v>0</v>
      </c>
      <c r="Q119" t="n">
        <v>0</v>
      </c>
      <c r="R119" s="2" t="inlineStr"/>
    </row>
    <row r="120" ht="15" customHeight="1">
      <c r="A120" t="inlineStr">
        <is>
          <t>A 45135-2019</t>
        </is>
      </c>
      <c r="B120" s="1" t="n">
        <v>43713</v>
      </c>
      <c r="C120" s="1" t="n">
        <v>45638</v>
      </c>
      <c r="D120" t="inlineStr">
        <is>
          <t>DALARNAS LÄN</t>
        </is>
      </c>
      <c r="E120" t="inlineStr">
        <is>
          <t>MALUNG-SÄLEN</t>
        </is>
      </c>
      <c r="G120" t="n">
        <v>4.3</v>
      </c>
      <c r="H120" t="n">
        <v>0</v>
      </c>
      <c r="I120" t="n">
        <v>0</v>
      </c>
      <c r="J120" t="n">
        <v>0</v>
      </c>
      <c r="K120" t="n">
        <v>0</v>
      </c>
      <c r="L120" t="n">
        <v>0</v>
      </c>
      <c r="M120" t="n">
        <v>0</v>
      </c>
      <c r="N120" t="n">
        <v>0</v>
      </c>
      <c r="O120" t="n">
        <v>0</v>
      </c>
      <c r="P120" t="n">
        <v>0</v>
      </c>
      <c r="Q120" t="n">
        <v>0</v>
      </c>
      <c r="R120" s="2" t="inlineStr"/>
    </row>
    <row r="121" ht="15" customHeight="1">
      <c r="A121" t="inlineStr">
        <is>
          <t>A 47233-2019</t>
        </is>
      </c>
      <c r="B121" s="1" t="n">
        <v>43713</v>
      </c>
      <c r="C121" s="1" t="n">
        <v>45638</v>
      </c>
      <c r="D121" t="inlineStr">
        <is>
          <t>DALARNAS LÄN</t>
        </is>
      </c>
      <c r="E121" t="inlineStr">
        <is>
          <t>MALUNG-SÄLEN</t>
        </is>
      </c>
      <c r="G121" t="n">
        <v>6.7</v>
      </c>
      <c r="H121" t="n">
        <v>0</v>
      </c>
      <c r="I121" t="n">
        <v>0</v>
      </c>
      <c r="J121" t="n">
        <v>0</v>
      </c>
      <c r="K121" t="n">
        <v>0</v>
      </c>
      <c r="L121" t="n">
        <v>0</v>
      </c>
      <c r="M121" t="n">
        <v>0</v>
      </c>
      <c r="N121" t="n">
        <v>0</v>
      </c>
      <c r="O121" t="n">
        <v>0</v>
      </c>
      <c r="P121" t="n">
        <v>0</v>
      </c>
      <c r="Q121" t="n">
        <v>0</v>
      </c>
      <c r="R121" s="2" t="inlineStr"/>
    </row>
    <row r="122" ht="15" customHeight="1">
      <c r="A122" t="inlineStr">
        <is>
          <t>A 47236-2019</t>
        </is>
      </c>
      <c r="B122" s="1" t="n">
        <v>43713</v>
      </c>
      <c r="C122" s="1" t="n">
        <v>45638</v>
      </c>
      <c r="D122" t="inlineStr">
        <is>
          <t>DALARNAS LÄN</t>
        </is>
      </c>
      <c r="E122" t="inlineStr">
        <is>
          <t>MALUNG-SÄLEN</t>
        </is>
      </c>
      <c r="G122" t="n">
        <v>7.9</v>
      </c>
      <c r="H122" t="n">
        <v>0</v>
      </c>
      <c r="I122" t="n">
        <v>0</v>
      </c>
      <c r="J122" t="n">
        <v>0</v>
      </c>
      <c r="K122" t="n">
        <v>0</v>
      </c>
      <c r="L122" t="n">
        <v>0</v>
      </c>
      <c r="M122" t="n">
        <v>0</v>
      </c>
      <c r="N122" t="n">
        <v>0</v>
      </c>
      <c r="O122" t="n">
        <v>0</v>
      </c>
      <c r="P122" t="n">
        <v>0</v>
      </c>
      <c r="Q122" t="n">
        <v>0</v>
      </c>
      <c r="R122" s="2" t="inlineStr"/>
    </row>
    <row r="123" ht="15" customHeight="1">
      <c r="A123" t="inlineStr">
        <is>
          <t>A 45738-2019</t>
        </is>
      </c>
      <c r="B123" s="1" t="n">
        <v>43717</v>
      </c>
      <c r="C123" s="1" t="n">
        <v>45638</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45750-2019</t>
        </is>
      </c>
      <c r="B124" s="1" t="n">
        <v>43717</v>
      </c>
      <c r="C124" s="1" t="n">
        <v>45638</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45697-2019</t>
        </is>
      </c>
      <c r="B125" s="1" t="n">
        <v>43717</v>
      </c>
      <c r="C125" s="1" t="n">
        <v>45638</v>
      </c>
      <c r="D125" t="inlineStr">
        <is>
          <t>DALARNAS LÄN</t>
        </is>
      </c>
      <c r="E125" t="inlineStr">
        <is>
          <t>MALUNG-SÄLEN</t>
        </is>
      </c>
      <c r="G125" t="n">
        <v>0.7</v>
      </c>
      <c r="H125" t="n">
        <v>0</v>
      </c>
      <c r="I125" t="n">
        <v>0</v>
      </c>
      <c r="J125" t="n">
        <v>0</v>
      </c>
      <c r="K125" t="n">
        <v>0</v>
      </c>
      <c r="L125" t="n">
        <v>0</v>
      </c>
      <c r="M125" t="n">
        <v>0</v>
      </c>
      <c r="N125" t="n">
        <v>0</v>
      </c>
      <c r="O125" t="n">
        <v>0</v>
      </c>
      <c r="P125" t="n">
        <v>0</v>
      </c>
      <c r="Q125" t="n">
        <v>0</v>
      </c>
      <c r="R125" s="2" t="inlineStr"/>
    </row>
    <row r="126" ht="15" customHeight="1">
      <c r="A126" t="inlineStr">
        <is>
          <t>A 47068-2019</t>
        </is>
      </c>
      <c r="B126" s="1" t="n">
        <v>43720</v>
      </c>
      <c r="C126" s="1" t="n">
        <v>45638</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47067-2019</t>
        </is>
      </c>
      <c r="B127" s="1" t="n">
        <v>43720</v>
      </c>
      <c r="C127" s="1" t="n">
        <v>45638</v>
      </c>
      <c r="D127" t="inlineStr">
        <is>
          <t>DALARNAS LÄN</t>
        </is>
      </c>
      <c r="E127" t="inlineStr">
        <is>
          <t>MALUNG-SÄLEN</t>
        </is>
      </c>
      <c r="G127" t="n">
        <v>3.7</v>
      </c>
      <c r="H127" t="n">
        <v>0</v>
      </c>
      <c r="I127" t="n">
        <v>0</v>
      </c>
      <c r="J127" t="n">
        <v>0</v>
      </c>
      <c r="K127" t="n">
        <v>0</v>
      </c>
      <c r="L127" t="n">
        <v>0</v>
      </c>
      <c r="M127" t="n">
        <v>0</v>
      </c>
      <c r="N127" t="n">
        <v>0</v>
      </c>
      <c r="O127" t="n">
        <v>0</v>
      </c>
      <c r="P127" t="n">
        <v>0</v>
      </c>
      <c r="Q127" t="n">
        <v>0</v>
      </c>
      <c r="R127" s="2" t="inlineStr"/>
    </row>
    <row r="128" ht="15" customHeight="1">
      <c r="A128" t="inlineStr">
        <is>
          <t>A 48275-2019</t>
        </is>
      </c>
      <c r="B128" s="1" t="n">
        <v>43726</v>
      </c>
      <c r="C128" s="1" t="n">
        <v>45638</v>
      </c>
      <c r="D128" t="inlineStr">
        <is>
          <t>DALARNAS LÄN</t>
        </is>
      </c>
      <c r="E128" t="inlineStr">
        <is>
          <t>MALUNG-SÄLEN</t>
        </is>
      </c>
      <c r="G128" t="n">
        <v>5.2</v>
      </c>
      <c r="H128" t="n">
        <v>0</v>
      </c>
      <c r="I128" t="n">
        <v>0</v>
      </c>
      <c r="J128" t="n">
        <v>0</v>
      </c>
      <c r="K128" t="n">
        <v>0</v>
      </c>
      <c r="L128" t="n">
        <v>0</v>
      </c>
      <c r="M128" t="n">
        <v>0</v>
      </c>
      <c r="N128" t="n">
        <v>0</v>
      </c>
      <c r="O128" t="n">
        <v>0</v>
      </c>
      <c r="P128" t="n">
        <v>0</v>
      </c>
      <c r="Q128" t="n">
        <v>0</v>
      </c>
      <c r="R128" s="2" t="inlineStr"/>
    </row>
    <row r="129" ht="15" customHeight="1">
      <c r="A129" t="inlineStr">
        <is>
          <t>A 49736-2019</t>
        </is>
      </c>
      <c r="B129" s="1" t="n">
        <v>43733</v>
      </c>
      <c r="C129" s="1" t="n">
        <v>45638</v>
      </c>
      <c r="D129" t="inlineStr">
        <is>
          <t>DALARNAS LÄN</t>
        </is>
      </c>
      <c r="E129" t="inlineStr">
        <is>
          <t>MALUNG-SÄLEN</t>
        </is>
      </c>
      <c r="G129" t="n">
        <v>6.5</v>
      </c>
      <c r="H129" t="n">
        <v>0</v>
      </c>
      <c r="I129" t="n">
        <v>0</v>
      </c>
      <c r="J129" t="n">
        <v>0</v>
      </c>
      <c r="K129" t="n">
        <v>0</v>
      </c>
      <c r="L129" t="n">
        <v>0</v>
      </c>
      <c r="M129" t="n">
        <v>0</v>
      </c>
      <c r="N129" t="n">
        <v>0</v>
      </c>
      <c r="O129" t="n">
        <v>0</v>
      </c>
      <c r="P129" t="n">
        <v>0</v>
      </c>
      <c r="Q129" t="n">
        <v>0</v>
      </c>
      <c r="R129" s="2" t="inlineStr"/>
    </row>
    <row r="130" ht="15" customHeight="1">
      <c r="A130" t="inlineStr">
        <is>
          <t>A 49817-2019</t>
        </is>
      </c>
      <c r="B130" s="1" t="n">
        <v>43733</v>
      </c>
      <c r="C130" s="1" t="n">
        <v>45638</v>
      </c>
      <c r="D130" t="inlineStr">
        <is>
          <t>DALARNAS LÄN</t>
        </is>
      </c>
      <c r="E130" t="inlineStr">
        <is>
          <t>MALUNG-SÄLEN</t>
        </is>
      </c>
      <c r="G130" t="n">
        <v>1.6</v>
      </c>
      <c r="H130" t="n">
        <v>0</v>
      </c>
      <c r="I130" t="n">
        <v>0</v>
      </c>
      <c r="J130" t="n">
        <v>0</v>
      </c>
      <c r="K130" t="n">
        <v>0</v>
      </c>
      <c r="L130" t="n">
        <v>0</v>
      </c>
      <c r="M130" t="n">
        <v>0</v>
      </c>
      <c r="N130" t="n">
        <v>0</v>
      </c>
      <c r="O130" t="n">
        <v>0</v>
      </c>
      <c r="P130" t="n">
        <v>0</v>
      </c>
      <c r="Q130" t="n">
        <v>0</v>
      </c>
      <c r="R130" s="2" t="inlineStr"/>
    </row>
    <row r="131" ht="15" customHeight="1">
      <c r="A131" t="inlineStr">
        <is>
          <t>A 50160-2019</t>
        </is>
      </c>
      <c r="B131" s="1" t="n">
        <v>43734</v>
      </c>
      <c r="C131" s="1" t="n">
        <v>45638</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50408-2019</t>
        </is>
      </c>
      <c r="B132" s="1" t="n">
        <v>43735</v>
      </c>
      <c r="C132" s="1" t="n">
        <v>45638</v>
      </c>
      <c r="D132" t="inlineStr">
        <is>
          <t>DALARNAS LÄN</t>
        </is>
      </c>
      <c r="E132" t="inlineStr">
        <is>
          <t>MALUNG-SÄLEN</t>
        </is>
      </c>
      <c r="G132" t="n">
        <v>7.3</v>
      </c>
      <c r="H132" t="n">
        <v>0</v>
      </c>
      <c r="I132" t="n">
        <v>0</v>
      </c>
      <c r="J132" t="n">
        <v>0</v>
      </c>
      <c r="K132" t="n">
        <v>0</v>
      </c>
      <c r="L132" t="n">
        <v>0</v>
      </c>
      <c r="M132" t="n">
        <v>0</v>
      </c>
      <c r="N132" t="n">
        <v>0</v>
      </c>
      <c r="O132" t="n">
        <v>0</v>
      </c>
      <c r="P132" t="n">
        <v>0</v>
      </c>
      <c r="Q132" t="n">
        <v>0</v>
      </c>
      <c r="R132" s="2" t="inlineStr"/>
    </row>
    <row r="133" ht="15" customHeight="1">
      <c r="A133" t="inlineStr">
        <is>
          <t>A 50418-2019</t>
        </is>
      </c>
      <c r="B133" s="1" t="n">
        <v>43735</v>
      </c>
      <c r="C133" s="1" t="n">
        <v>45638</v>
      </c>
      <c r="D133" t="inlineStr">
        <is>
          <t>DALARNAS LÄN</t>
        </is>
      </c>
      <c r="E133" t="inlineStr">
        <is>
          <t>MALUNG-SÄLEN</t>
        </is>
      </c>
      <c r="G133" t="n">
        <v>2.5</v>
      </c>
      <c r="H133" t="n">
        <v>0</v>
      </c>
      <c r="I133" t="n">
        <v>0</v>
      </c>
      <c r="J133" t="n">
        <v>0</v>
      </c>
      <c r="K133" t="n">
        <v>0</v>
      </c>
      <c r="L133" t="n">
        <v>0</v>
      </c>
      <c r="M133" t="n">
        <v>0</v>
      </c>
      <c r="N133" t="n">
        <v>0</v>
      </c>
      <c r="O133" t="n">
        <v>0</v>
      </c>
      <c r="P133" t="n">
        <v>0</v>
      </c>
      <c r="Q133" t="n">
        <v>0</v>
      </c>
      <c r="R133" s="2" t="inlineStr"/>
    </row>
    <row r="134" ht="15" customHeight="1">
      <c r="A134" t="inlineStr">
        <is>
          <t>A 50424-2019</t>
        </is>
      </c>
      <c r="B134" s="1" t="n">
        <v>43735</v>
      </c>
      <c r="C134" s="1" t="n">
        <v>45638</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50486-2019</t>
        </is>
      </c>
      <c r="B135" s="1" t="n">
        <v>43735</v>
      </c>
      <c r="C135" s="1" t="n">
        <v>45638</v>
      </c>
      <c r="D135" t="inlineStr">
        <is>
          <t>DALARNAS LÄN</t>
        </is>
      </c>
      <c r="E135" t="inlineStr">
        <is>
          <t>MALUNG-SÄLEN</t>
        </is>
      </c>
      <c r="G135" t="n">
        <v>1</v>
      </c>
      <c r="H135" t="n">
        <v>0</v>
      </c>
      <c r="I135" t="n">
        <v>0</v>
      </c>
      <c r="J135" t="n">
        <v>0</v>
      </c>
      <c r="K135" t="n">
        <v>0</v>
      </c>
      <c r="L135" t="n">
        <v>0</v>
      </c>
      <c r="M135" t="n">
        <v>0</v>
      </c>
      <c r="N135" t="n">
        <v>0</v>
      </c>
      <c r="O135" t="n">
        <v>0</v>
      </c>
      <c r="P135" t="n">
        <v>0</v>
      </c>
      <c r="Q135" t="n">
        <v>0</v>
      </c>
      <c r="R135" s="2" t="inlineStr"/>
    </row>
    <row r="136" ht="15" customHeight="1">
      <c r="A136" t="inlineStr">
        <is>
          <t>A 50479-2019</t>
        </is>
      </c>
      <c r="B136" s="1" t="n">
        <v>43735</v>
      </c>
      <c r="C136" s="1" t="n">
        <v>45638</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50437-2019</t>
        </is>
      </c>
      <c r="B137" s="1" t="n">
        <v>43735</v>
      </c>
      <c r="C137" s="1" t="n">
        <v>45638</v>
      </c>
      <c r="D137" t="inlineStr">
        <is>
          <t>DALARNAS LÄN</t>
        </is>
      </c>
      <c r="E137" t="inlineStr">
        <is>
          <t>MALUNG-SÄLEN</t>
        </is>
      </c>
      <c r="G137" t="n">
        <v>1.9</v>
      </c>
      <c r="H137" t="n">
        <v>0</v>
      </c>
      <c r="I137" t="n">
        <v>0</v>
      </c>
      <c r="J137" t="n">
        <v>0</v>
      </c>
      <c r="K137" t="n">
        <v>0</v>
      </c>
      <c r="L137" t="n">
        <v>0</v>
      </c>
      <c r="M137" t="n">
        <v>0</v>
      </c>
      <c r="N137" t="n">
        <v>0</v>
      </c>
      <c r="O137" t="n">
        <v>0</v>
      </c>
      <c r="P137" t="n">
        <v>0</v>
      </c>
      <c r="Q137" t="n">
        <v>0</v>
      </c>
      <c r="R137" s="2" t="inlineStr"/>
    </row>
    <row r="138" ht="15" customHeight="1">
      <c r="A138" t="inlineStr">
        <is>
          <t>A 52706-2019</t>
        </is>
      </c>
      <c r="B138" s="1" t="n">
        <v>43739</v>
      </c>
      <c r="C138" s="1" t="n">
        <v>45638</v>
      </c>
      <c r="D138" t="inlineStr">
        <is>
          <t>DALARNAS LÄN</t>
        </is>
      </c>
      <c r="E138" t="inlineStr">
        <is>
          <t>MALUNG-SÄLEN</t>
        </is>
      </c>
      <c r="G138" t="n">
        <v>21</v>
      </c>
      <c r="H138" t="n">
        <v>0</v>
      </c>
      <c r="I138" t="n">
        <v>0</v>
      </c>
      <c r="J138" t="n">
        <v>0</v>
      </c>
      <c r="K138" t="n">
        <v>0</v>
      </c>
      <c r="L138" t="n">
        <v>0</v>
      </c>
      <c r="M138" t="n">
        <v>0</v>
      </c>
      <c r="N138" t="n">
        <v>0</v>
      </c>
      <c r="O138" t="n">
        <v>0</v>
      </c>
      <c r="P138" t="n">
        <v>0</v>
      </c>
      <c r="Q138" t="n">
        <v>0</v>
      </c>
      <c r="R138" s="2" t="inlineStr"/>
    </row>
    <row r="139" ht="15" customHeight="1">
      <c r="A139" t="inlineStr">
        <is>
          <t>A 52719-2019</t>
        </is>
      </c>
      <c r="B139" s="1" t="n">
        <v>43739</v>
      </c>
      <c r="C139" s="1" t="n">
        <v>45638</v>
      </c>
      <c r="D139" t="inlineStr">
        <is>
          <t>DALARNAS LÄN</t>
        </is>
      </c>
      <c r="E139" t="inlineStr">
        <is>
          <t>MALUNG-SÄLEN</t>
        </is>
      </c>
      <c r="G139" t="n">
        <v>9</v>
      </c>
      <c r="H139" t="n">
        <v>0</v>
      </c>
      <c r="I139" t="n">
        <v>0</v>
      </c>
      <c r="J139" t="n">
        <v>0</v>
      </c>
      <c r="K139" t="n">
        <v>0</v>
      </c>
      <c r="L139" t="n">
        <v>0</v>
      </c>
      <c r="M139" t="n">
        <v>0</v>
      </c>
      <c r="N139" t="n">
        <v>0</v>
      </c>
      <c r="O139" t="n">
        <v>0</v>
      </c>
      <c r="P139" t="n">
        <v>0</v>
      </c>
      <c r="Q139" t="n">
        <v>0</v>
      </c>
      <c r="R139" s="2" t="inlineStr"/>
    </row>
    <row r="140" ht="15" customHeight="1">
      <c r="A140" t="inlineStr">
        <is>
          <t>A 53100-2019</t>
        </is>
      </c>
      <c r="B140" s="1" t="n">
        <v>43747</v>
      </c>
      <c r="C140" s="1" t="n">
        <v>45638</v>
      </c>
      <c r="D140" t="inlineStr">
        <is>
          <t>DALARNAS LÄN</t>
        </is>
      </c>
      <c r="E140" t="inlineStr">
        <is>
          <t>MALUNG-SÄLEN</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53740-2019</t>
        </is>
      </c>
      <c r="B141" s="1" t="n">
        <v>43749</v>
      </c>
      <c r="C141" s="1" t="n">
        <v>45638</v>
      </c>
      <c r="D141" t="inlineStr">
        <is>
          <t>DALARNAS LÄN</t>
        </is>
      </c>
      <c r="E141" t="inlineStr">
        <is>
          <t>MALUNG-SÄLEN</t>
        </is>
      </c>
      <c r="G141" t="n">
        <v>4.3</v>
      </c>
      <c r="H141" t="n">
        <v>0</v>
      </c>
      <c r="I141" t="n">
        <v>0</v>
      </c>
      <c r="J141" t="n">
        <v>0</v>
      </c>
      <c r="K141" t="n">
        <v>0</v>
      </c>
      <c r="L141" t="n">
        <v>0</v>
      </c>
      <c r="M141" t="n">
        <v>0</v>
      </c>
      <c r="N141" t="n">
        <v>0</v>
      </c>
      <c r="O141" t="n">
        <v>0</v>
      </c>
      <c r="P141" t="n">
        <v>0</v>
      </c>
      <c r="Q141" t="n">
        <v>0</v>
      </c>
      <c r="R141" s="2" t="inlineStr"/>
    </row>
    <row r="142" ht="15" customHeight="1">
      <c r="A142" t="inlineStr">
        <is>
          <t>A 57052-2019</t>
        </is>
      </c>
      <c r="B142" s="1" t="n">
        <v>43762</v>
      </c>
      <c r="C142" s="1" t="n">
        <v>45638</v>
      </c>
      <c r="D142" t="inlineStr">
        <is>
          <t>DALARNAS LÄN</t>
        </is>
      </c>
      <c r="E142" t="inlineStr">
        <is>
          <t>MALUNG-SÄLEN</t>
        </is>
      </c>
      <c r="G142" t="n">
        <v>2</v>
      </c>
      <c r="H142" t="n">
        <v>0</v>
      </c>
      <c r="I142" t="n">
        <v>0</v>
      </c>
      <c r="J142" t="n">
        <v>0</v>
      </c>
      <c r="K142" t="n">
        <v>0</v>
      </c>
      <c r="L142" t="n">
        <v>0</v>
      </c>
      <c r="M142" t="n">
        <v>0</v>
      </c>
      <c r="N142" t="n">
        <v>0</v>
      </c>
      <c r="O142" t="n">
        <v>0</v>
      </c>
      <c r="P142" t="n">
        <v>0</v>
      </c>
      <c r="Q142" t="n">
        <v>0</v>
      </c>
      <c r="R142" s="2" t="inlineStr"/>
    </row>
    <row r="143" ht="15" customHeight="1">
      <c r="A143" t="inlineStr">
        <is>
          <t>A 56523-2019</t>
        </is>
      </c>
      <c r="B143" s="1" t="n">
        <v>43763</v>
      </c>
      <c r="C143" s="1" t="n">
        <v>45638</v>
      </c>
      <c r="D143" t="inlineStr">
        <is>
          <t>DALARNAS LÄN</t>
        </is>
      </c>
      <c r="E143" t="inlineStr">
        <is>
          <t>MALUNG-SÄLEN</t>
        </is>
      </c>
      <c r="G143" t="n">
        <v>2.2</v>
      </c>
      <c r="H143" t="n">
        <v>0</v>
      </c>
      <c r="I143" t="n">
        <v>0</v>
      </c>
      <c r="J143" t="n">
        <v>0</v>
      </c>
      <c r="K143" t="n">
        <v>0</v>
      </c>
      <c r="L143" t="n">
        <v>0</v>
      </c>
      <c r="M143" t="n">
        <v>0</v>
      </c>
      <c r="N143" t="n">
        <v>0</v>
      </c>
      <c r="O143" t="n">
        <v>0</v>
      </c>
      <c r="P143" t="n">
        <v>0</v>
      </c>
      <c r="Q143" t="n">
        <v>0</v>
      </c>
      <c r="R143" s="2" t="inlineStr"/>
    </row>
    <row r="144" ht="15" customHeight="1">
      <c r="A144" t="inlineStr">
        <is>
          <t>A 57243-2019</t>
        </is>
      </c>
      <c r="B144" s="1" t="n">
        <v>43767</v>
      </c>
      <c r="C144" s="1" t="n">
        <v>45638</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57486-2019</t>
        </is>
      </c>
      <c r="B145" s="1" t="n">
        <v>43767</v>
      </c>
      <c r="C145" s="1" t="n">
        <v>45638</v>
      </c>
      <c r="D145" t="inlineStr">
        <is>
          <t>DALARNAS LÄN</t>
        </is>
      </c>
      <c r="E145" t="inlineStr">
        <is>
          <t>MALUNG-SÄLEN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60957-2019</t>
        </is>
      </c>
      <c r="B146" s="1" t="n">
        <v>43782</v>
      </c>
      <c r="C146" s="1" t="n">
        <v>45638</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61100-2019</t>
        </is>
      </c>
      <c r="B147" s="1" t="n">
        <v>43782</v>
      </c>
      <c r="C147" s="1" t="n">
        <v>45638</v>
      </c>
      <c r="D147" t="inlineStr">
        <is>
          <t>DALARNAS LÄN</t>
        </is>
      </c>
      <c r="E147" t="inlineStr">
        <is>
          <t>MALUNG-SÄLEN</t>
        </is>
      </c>
      <c r="F147" t="inlineStr">
        <is>
          <t>Bergvik skog väst AB</t>
        </is>
      </c>
      <c r="G147" t="n">
        <v>13.7</v>
      </c>
      <c r="H147" t="n">
        <v>0</v>
      </c>
      <c r="I147" t="n">
        <v>0</v>
      </c>
      <c r="J147" t="n">
        <v>0</v>
      </c>
      <c r="K147" t="n">
        <v>0</v>
      </c>
      <c r="L147" t="n">
        <v>0</v>
      </c>
      <c r="M147" t="n">
        <v>0</v>
      </c>
      <c r="N147" t="n">
        <v>0</v>
      </c>
      <c r="O147" t="n">
        <v>0</v>
      </c>
      <c r="P147" t="n">
        <v>0</v>
      </c>
      <c r="Q147" t="n">
        <v>0</v>
      </c>
      <c r="R147" s="2" t="inlineStr"/>
    </row>
    <row r="148" ht="15" customHeight="1">
      <c r="A148" t="inlineStr">
        <is>
          <t>A 61280-2019</t>
        </is>
      </c>
      <c r="B148" s="1" t="n">
        <v>43783</v>
      </c>
      <c r="C148" s="1" t="n">
        <v>45638</v>
      </c>
      <c r="D148" t="inlineStr">
        <is>
          <t>DALARNAS LÄN</t>
        </is>
      </c>
      <c r="E148" t="inlineStr">
        <is>
          <t>MALUNG-SÄLEN</t>
        </is>
      </c>
      <c r="G148" t="n">
        <v>4.4</v>
      </c>
      <c r="H148" t="n">
        <v>0</v>
      </c>
      <c r="I148" t="n">
        <v>0</v>
      </c>
      <c r="J148" t="n">
        <v>0</v>
      </c>
      <c r="K148" t="n">
        <v>0</v>
      </c>
      <c r="L148" t="n">
        <v>0</v>
      </c>
      <c r="M148" t="n">
        <v>0</v>
      </c>
      <c r="N148" t="n">
        <v>0</v>
      </c>
      <c r="O148" t="n">
        <v>0</v>
      </c>
      <c r="P148" t="n">
        <v>0</v>
      </c>
      <c r="Q148" t="n">
        <v>0</v>
      </c>
      <c r="R148" s="2" t="inlineStr"/>
    </row>
    <row r="149" ht="15" customHeight="1">
      <c r="A149" t="inlineStr">
        <is>
          <t>A 63333-2019</t>
        </is>
      </c>
      <c r="B149" s="1" t="n">
        <v>43787</v>
      </c>
      <c r="C149" s="1" t="n">
        <v>45638</v>
      </c>
      <c r="D149" t="inlineStr">
        <is>
          <t>DALARNAS LÄN</t>
        </is>
      </c>
      <c r="E149" t="inlineStr">
        <is>
          <t>MALUNG-SÄLEN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62247-2019</t>
        </is>
      </c>
      <c r="B150" s="1" t="n">
        <v>43788</v>
      </c>
      <c r="C150" s="1" t="n">
        <v>45638</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62248-2019</t>
        </is>
      </c>
      <c r="B151" s="1" t="n">
        <v>43788</v>
      </c>
      <c r="C151" s="1" t="n">
        <v>45638</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62312-2019</t>
        </is>
      </c>
      <c r="B152" s="1" t="n">
        <v>43788</v>
      </c>
      <c r="C152" s="1" t="n">
        <v>45638</v>
      </c>
      <c r="D152" t="inlineStr">
        <is>
          <t>DALARNAS LÄN</t>
        </is>
      </c>
      <c r="E152" t="inlineStr">
        <is>
          <t>MALUNG-SÄLEN</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67339-2019</t>
        </is>
      </c>
      <c r="B153" s="1" t="n">
        <v>43812</v>
      </c>
      <c r="C153" s="1" t="n">
        <v>45638</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68789-2019</t>
        </is>
      </c>
      <c r="B154" s="1" t="n">
        <v>43819</v>
      </c>
      <c r="C154" s="1" t="n">
        <v>45638</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337-2020</t>
        </is>
      </c>
      <c r="B155" s="1" t="n">
        <v>43837</v>
      </c>
      <c r="C155" s="1" t="n">
        <v>45638</v>
      </c>
      <c r="D155" t="inlineStr">
        <is>
          <t>DALARNAS LÄN</t>
        </is>
      </c>
      <c r="E155" t="inlineStr">
        <is>
          <t>MALUNG-SÄLEN</t>
        </is>
      </c>
      <c r="G155" t="n">
        <v>0.8</v>
      </c>
      <c r="H155" t="n">
        <v>0</v>
      </c>
      <c r="I155" t="n">
        <v>0</v>
      </c>
      <c r="J155" t="n">
        <v>0</v>
      </c>
      <c r="K155" t="n">
        <v>0</v>
      </c>
      <c r="L155" t="n">
        <v>0</v>
      </c>
      <c r="M155" t="n">
        <v>0</v>
      </c>
      <c r="N155" t="n">
        <v>0</v>
      </c>
      <c r="O155" t="n">
        <v>0</v>
      </c>
      <c r="P155" t="n">
        <v>0</v>
      </c>
      <c r="Q155" t="n">
        <v>0</v>
      </c>
      <c r="R155" s="2" t="inlineStr"/>
    </row>
    <row r="156" ht="15" customHeight="1">
      <c r="A156" t="inlineStr">
        <is>
          <t>A 2198-2020</t>
        </is>
      </c>
      <c r="B156" s="1" t="n">
        <v>43839</v>
      </c>
      <c r="C156" s="1" t="n">
        <v>45638</v>
      </c>
      <c r="D156" t="inlineStr">
        <is>
          <t>DALARNAS LÄN</t>
        </is>
      </c>
      <c r="E156" t="inlineStr">
        <is>
          <t>MALUNG-SÄLEN</t>
        </is>
      </c>
      <c r="G156" t="n">
        <v>0.3</v>
      </c>
      <c r="H156" t="n">
        <v>0</v>
      </c>
      <c r="I156" t="n">
        <v>0</v>
      </c>
      <c r="J156" t="n">
        <v>0</v>
      </c>
      <c r="K156" t="n">
        <v>0</v>
      </c>
      <c r="L156" t="n">
        <v>0</v>
      </c>
      <c r="M156" t="n">
        <v>0</v>
      </c>
      <c r="N156" t="n">
        <v>0</v>
      </c>
      <c r="O156" t="n">
        <v>0</v>
      </c>
      <c r="P156" t="n">
        <v>0</v>
      </c>
      <c r="Q156" t="n">
        <v>0</v>
      </c>
      <c r="R156" s="2" t="inlineStr"/>
    </row>
    <row r="157" ht="15" customHeight="1">
      <c r="A157" t="inlineStr">
        <is>
          <t>A 4747-2020</t>
        </is>
      </c>
      <c r="B157" s="1" t="n">
        <v>43859</v>
      </c>
      <c r="C157" s="1" t="n">
        <v>45638</v>
      </c>
      <c r="D157" t="inlineStr">
        <is>
          <t>DALARNAS LÄN</t>
        </is>
      </c>
      <c r="E157" t="inlineStr">
        <is>
          <t>MALUNG-SÄLEN</t>
        </is>
      </c>
      <c r="F157" t="inlineStr">
        <is>
          <t>Allmännings- och besparingsskogar</t>
        </is>
      </c>
      <c r="G157" t="n">
        <v>27.6</v>
      </c>
      <c r="H157" t="n">
        <v>0</v>
      </c>
      <c r="I157" t="n">
        <v>0</v>
      </c>
      <c r="J157" t="n">
        <v>0</v>
      </c>
      <c r="K157" t="n">
        <v>0</v>
      </c>
      <c r="L157" t="n">
        <v>0</v>
      </c>
      <c r="M157" t="n">
        <v>0</v>
      </c>
      <c r="N157" t="n">
        <v>0</v>
      </c>
      <c r="O157" t="n">
        <v>0</v>
      </c>
      <c r="P157" t="n">
        <v>0</v>
      </c>
      <c r="Q157" t="n">
        <v>0</v>
      </c>
      <c r="R157" s="2" t="inlineStr"/>
    </row>
    <row r="158" ht="15" customHeight="1">
      <c r="A158" t="inlineStr">
        <is>
          <t>A 8728-2020</t>
        </is>
      </c>
      <c r="B158" s="1" t="n">
        <v>43878</v>
      </c>
      <c r="C158" s="1" t="n">
        <v>45638</v>
      </c>
      <c r="D158" t="inlineStr">
        <is>
          <t>DALARNAS LÄN</t>
        </is>
      </c>
      <c r="E158" t="inlineStr">
        <is>
          <t>MALUNG-SÄLEN</t>
        </is>
      </c>
      <c r="F158" t="inlineStr">
        <is>
          <t>Bergvik skog öst AB</t>
        </is>
      </c>
      <c r="G158" t="n">
        <v>5.8</v>
      </c>
      <c r="H158" t="n">
        <v>0</v>
      </c>
      <c r="I158" t="n">
        <v>0</v>
      </c>
      <c r="J158" t="n">
        <v>0</v>
      </c>
      <c r="K158" t="n">
        <v>0</v>
      </c>
      <c r="L158" t="n">
        <v>0</v>
      </c>
      <c r="M158" t="n">
        <v>0</v>
      </c>
      <c r="N158" t="n">
        <v>0</v>
      </c>
      <c r="O158" t="n">
        <v>0</v>
      </c>
      <c r="P158" t="n">
        <v>0</v>
      </c>
      <c r="Q158" t="n">
        <v>0</v>
      </c>
      <c r="R158" s="2" t="inlineStr"/>
    </row>
    <row r="159" ht="15" customHeight="1">
      <c r="A159" t="inlineStr">
        <is>
          <t>A 8737-2020</t>
        </is>
      </c>
      <c r="B159" s="1" t="n">
        <v>43878</v>
      </c>
      <c r="C159" s="1" t="n">
        <v>45638</v>
      </c>
      <c r="D159" t="inlineStr">
        <is>
          <t>DALARNAS LÄN</t>
        </is>
      </c>
      <c r="E159" t="inlineStr">
        <is>
          <t>MALUNG-SÄLEN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10447-2020</t>
        </is>
      </c>
      <c r="B160" s="1" t="n">
        <v>43886</v>
      </c>
      <c r="C160" s="1" t="n">
        <v>45638</v>
      </c>
      <c r="D160" t="inlineStr">
        <is>
          <t>DALARNAS LÄN</t>
        </is>
      </c>
      <c r="E160" t="inlineStr">
        <is>
          <t>MALUNG-SÄLEN</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11273-2020</t>
        </is>
      </c>
      <c r="B161" s="1" t="n">
        <v>43888</v>
      </c>
      <c r="C161" s="1" t="n">
        <v>45638</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12791-2020</t>
        </is>
      </c>
      <c r="B162" s="1" t="n">
        <v>43894</v>
      </c>
      <c r="C162" s="1" t="n">
        <v>45638</v>
      </c>
      <c r="D162" t="inlineStr">
        <is>
          <t>DALARNAS LÄN</t>
        </is>
      </c>
      <c r="E162" t="inlineStr">
        <is>
          <t>MALUNG-SÄLEN</t>
        </is>
      </c>
      <c r="F162" t="inlineStr">
        <is>
          <t>Allmännings- och besparingsskogar</t>
        </is>
      </c>
      <c r="G162" t="n">
        <v>0.6</v>
      </c>
      <c r="H162" t="n">
        <v>0</v>
      </c>
      <c r="I162" t="n">
        <v>0</v>
      </c>
      <c r="J162" t="n">
        <v>0</v>
      </c>
      <c r="K162" t="n">
        <v>0</v>
      </c>
      <c r="L162" t="n">
        <v>0</v>
      </c>
      <c r="M162" t="n">
        <v>0</v>
      </c>
      <c r="N162" t="n">
        <v>0</v>
      </c>
      <c r="O162" t="n">
        <v>0</v>
      </c>
      <c r="P162" t="n">
        <v>0</v>
      </c>
      <c r="Q162" t="n">
        <v>0</v>
      </c>
      <c r="R162" s="2" t="inlineStr"/>
    </row>
    <row r="163" ht="15" customHeight="1">
      <c r="A163" t="inlineStr">
        <is>
          <t>A 14922-2020</t>
        </is>
      </c>
      <c r="B163" s="1" t="n">
        <v>43906</v>
      </c>
      <c r="C163" s="1" t="n">
        <v>45638</v>
      </c>
      <c r="D163" t="inlineStr">
        <is>
          <t>DALARNAS LÄN</t>
        </is>
      </c>
      <c r="E163" t="inlineStr">
        <is>
          <t>MALUNG-SÄLEN</t>
        </is>
      </c>
      <c r="G163" t="n">
        <v>2.3</v>
      </c>
      <c r="H163" t="n">
        <v>0</v>
      </c>
      <c r="I163" t="n">
        <v>0</v>
      </c>
      <c r="J163" t="n">
        <v>0</v>
      </c>
      <c r="K163" t="n">
        <v>0</v>
      </c>
      <c r="L163" t="n">
        <v>0</v>
      </c>
      <c r="M163" t="n">
        <v>0</v>
      </c>
      <c r="N163" t="n">
        <v>0</v>
      </c>
      <c r="O163" t="n">
        <v>0</v>
      </c>
      <c r="P163" t="n">
        <v>0</v>
      </c>
      <c r="Q163" t="n">
        <v>0</v>
      </c>
      <c r="R163" s="2" t="inlineStr"/>
    </row>
    <row r="164" ht="15" customHeight="1">
      <c r="A164" t="inlineStr">
        <is>
          <t>A 14265-2020</t>
        </is>
      </c>
      <c r="B164" s="1" t="n">
        <v>43907</v>
      </c>
      <c r="C164" s="1" t="n">
        <v>45638</v>
      </c>
      <c r="D164" t="inlineStr">
        <is>
          <t>DALARNAS LÄN</t>
        </is>
      </c>
      <c r="E164" t="inlineStr">
        <is>
          <t>MALUNG-SÄLEN</t>
        </is>
      </c>
      <c r="G164" t="n">
        <v>0.9</v>
      </c>
      <c r="H164" t="n">
        <v>0</v>
      </c>
      <c r="I164" t="n">
        <v>0</v>
      </c>
      <c r="J164" t="n">
        <v>0</v>
      </c>
      <c r="K164" t="n">
        <v>0</v>
      </c>
      <c r="L164" t="n">
        <v>0</v>
      </c>
      <c r="M164" t="n">
        <v>0</v>
      </c>
      <c r="N164" t="n">
        <v>0</v>
      </c>
      <c r="O164" t="n">
        <v>0</v>
      </c>
      <c r="P164" t="n">
        <v>0</v>
      </c>
      <c r="Q164" t="n">
        <v>0</v>
      </c>
      <c r="R164" s="2" t="inlineStr"/>
    </row>
    <row r="165" ht="15" customHeight="1">
      <c r="A165" t="inlineStr">
        <is>
          <t>A 14260-2020</t>
        </is>
      </c>
      <c r="B165" s="1" t="n">
        <v>43907</v>
      </c>
      <c r="C165" s="1" t="n">
        <v>45638</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15207-2020</t>
        </is>
      </c>
      <c r="B166" s="1" t="n">
        <v>43909</v>
      </c>
      <c r="C166" s="1" t="n">
        <v>45638</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17366-2020</t>
        </is>
      </c>
      <c r="B167" s="1" t="n">
        <v>43923</v>
      </c>
      <c r="C167" s="1" t="n">
        <v>45638</v>
      </c>
      <c r="D167" t="inlineStr">
        <is>
          <t>DALARNAS LÄN</t>
        </is>
      </c>
      <c r="E167" t="inlineStr">
        <is>
          <t>MALUNG-SÄLEN</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17712-2020</t>
        </is>
      </c>
      <c r="B168" s="1" t="n">
        <v>43924</v>
      </c>
      <c r="C168" s="1" t="n">
        <v>45638</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18150-2020</t>
        </is>
      </c>
      <c r="B169" s="1" t="n">
        <v>43927</v>
      </c>
      <c r="C169" s="1" t="n">
        <v>45638</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18625-2020</t>
        </is>
      </c>
      <c r="B170" s="1" t="n">
        <v>43928</v>
      </c>
      <c r="C170" s="1" t="n">
        <v>45638</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18751-2020</t>
        </is>
      </c>
      <c r="B171" s="1" t="n">
        <v>43930</v>
      </c>
      <c r="C171" s="1" t="n">
        <v>45638</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19366-2020</t>
        </is>
      </c>
      <c r="B172" s="1" t="n">
        <v>43938</v>
      </c>
      <c r="C172" s="1" t="n">
        <v>45638</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20042-2020</t>
        </is>
      </c>
      <c r="B173" s="1" t="n">
        <v>43943</v>
      </c>
      <c r="C173" s="1" t="n">
        <v>45638</v>
      </c>
      <c r="D173" t="inlineStr">
        <is>
          <t>DALARNAS LÄN</t>
        </is>
      </c>
      <c r="E173" t="inlineStr">
        <is>
          <t>MALUNG-SÄLEN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20360-2020</t>
        </is>
      </c>
      <c r="B174" s="1" t="n">
        <v>43945</v>
      </c>
      <c r="C174" s="1" t="n">
        <v>45638</v>
      </c>
      <c r="D174" t="inlineStr">
        <is>
          <t>DALARNAS LÄN</t>
        </is>
      </c>
      <c r="E174" t="inlineStr">
        <is>
          <t>MALUNG-SÄLEN</t>
        </is>
      </c>
      <c r="G174" t="n">
        <v>4.2</v>
      </c>
      <c r="H174" t="n">
        <v>0</v>
      </c>
      <c r="I174" t="n">
        <v>0</v>
      </c>
      <c r="J174" t="n">
        <v>0</v>
      </c>
      <c r="K174" t="n">
        <v>0</v>
      </c>
      <c r="L174" t="n">
        <v>0</v>
      </c>
      <c r="M174" t="n">
        <v>0</v>
      </c>
      <c r="N174" t="n">
        <v>0</v>
      </c>
      <c r="O174" t="n">
        <v>0</v>
      </c>
      <c r="P174" t="n">
        <v>0</v>
      </c>
      <c r="Q174" t="n">
        <v>0</v>
      </c>
      <c r="R174" s="2" t="inlineStr"/>
    </row>
    <row r="175" ht="15" customHeight="1">
      <c r="A175" t="inlineStr">
        <is>
          <t>A 23815-2020</t>
        </is>
      </c>
      <c r="B175" s="1" t="n">
        <v>43970</v>
      </c>
      <c r="C175" s="1" t="n">
        <v>45638</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24942-2020</t>
        </is>
      </c>
      <c r="B176" s="1" t="n">
        <v>43979</v>
      </c>
      <c r="C176" s="1" t="n">
        <v>45638</v>
      </c>
      <c r="D176" t="inlineStr">
        <is>
          <t>DALARNAS LÄN</t>
        </is>
      </c>
      <c r="E176" t="inlineStr">
        <is>
          <t>MALUNG-SÄLEN</t>
        </is>
      </c>
      <c r="F176" t="inlineStr">
        <is>
          <t>Bergvik skog öst AB</t>
        </is>
      </c>
      <c r="G176" t="n">
        <v>3.2</v>
      </c>
      <c r="H176" t="n">
        <v>0</v>
      </c>
      <c r="I176" t="n">
        <v>0</v>
      </c>
      <c r="J176" t="n">
        <v>0</v>
      </c>
      <c r="K176" t="n">
        <v>0</v>
      </c>
      <c r="L176" t="n">
        <v>0</v>
      </c>
      <c r="M176" t="n">
        <v>0</v>
      </c>
      <c r="N176" t="n">
        <v>0</v>
      </c>
      <c r="O176" t="n">
        <v>0</v>
      </c>
      <c r="P176" t="n">
        <v>0</v>
      </c>
      <c r="Q176" t="n">
        <v>0</v>
      </c>
      <c r="R176" s="2" t="inlineStr"/>
    </row>
    <row r="177" ht="15" customHeight="1">
      <c r="A177" t="inlineStr">
        <is>
          <t>A 26299-2020</t>
        </is>
      </c>
      <c r="B177" s="1" t="n">
        <v>43986</v>
      </c>
      <c r="C177" s="1" t="n">
        <v>45638</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26305-2020</t>
        </is>
      </c>
      <c r="B178" s="1" t="n">
        <v>43986</v>
      </c>
      <c r="C178" s="1" t="n">
        <v>45638</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26303-2020</t>
        </is>
      </c>
      <c r="B179" s="1" t="n">
        <v>43986</v>
      </c>
      <c r="C179" s="1" t="n">
        <v>45638</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26546-2020</t>
        </is>
      </c>
      <c r="B180" s="1" t="n">
        <v>43987</v>
      </c>
      <c r="C180" s="1" t="n">
        <v>45638</v>
      </c>
      <c r="D180" t="inlineStr">
        <is>
          <t>DALARNAS LÄN</t>
        </is>
      </c>
      <c r="E180" t="inlineStr">
        <is>
          <t>MALUNG-SÄLEN</t>
        </is>
      </c>
      <c r="G180" t="n">
        <v>0.4</v>
      </c>
      <c r="H180" t="n">
        <v>0</v>
      </c>
      <c r="I180" t="n">
        <v>0</v>
      </c>
      <c r="J180" t="n">
        <v>0</v>
      </c>
      <c r="K180" t="n">
        <v>0</v>
      </c>
      <c r="L180" t="n">
        <v>0</v>
      </c>
      <c r="M180" t="n">
        <v>0</v>
      </c>
      <c r="N180" t="n">
        <v>0</v>
      </c>
      <c r="O180" t="n">
        <v>0</v>
      </c>
      <c r="P180" t="n">
        <v>0</v>
      </c>
      <c r="Q180" t="n">
        <v>0</v>
      </c>
      <c r="R180" s="2" t="inlineStr"/>
    </row>
    <row r="181" ht="15" customHeight="1">
      <c r="A181" t="inlineStr">
        <is>
          <t>A 26898-2020</t>
        </is>
      </c>
      <c r="B181" s="1" t="n">
        <v>43990</v>
      </c>
      <c r="C181" s="1" t="n">
        <v>45638</v>
      </c>
      <c r="D181" t="inlineStr">
        <is>
          <t>DALARNAS LÄN</t>
        </is>
      </c>
      <c r="E181" t="inlineStr">
        <is>
          <t>MALUNG-SÄLEN</t>
        </is>
      </c>
      <c r="G181" t="n">
        <v>0.8</v>
      </c>
      <c r="H181" t="n">
        <v>0</v>
      </c>
      <c r="I181" t="n">
        <v>0</v>
      </c>
      <c r="J181" t="n">
        <v>0</v>
      </c>
      <c r="K181" t="n">
        <v>0</v>
      </c>
      <c r="L181" t="n">
        <v>0</v>
      </c>
      <c r="M181" t="n">
        <v>0</v>
      </c>
      <c r="N181" t="n">
        <v>0</v>
      </c>
      <c r="O181" t="n">
        <v>0</v>
      </c>
      <c r="P181" t="n">
        <v>0</v>
      </c>
      <c r="Q181" t="n">
        <v>0</v>
      </c>
      <c r="R181" s="2" t="inlineStr"/>
    </row>
    <row r="182" ht="15" customHeight="1">
      <c r="A182" t="inlineStr">
        <is>
          <t>A 26697-2020</t>
        </is>
      </c>
      <c r="B182" s="1" t="n">
        <v>43990</v>
      </c>
      <c r="C182" s="1" t="n">
        <v>45638</v>
      </c>
      <c r="D182" t="inlineStr">
        <is>
          <t>DALARNAS LÄN</t>
        </is>
      </c>
      <c r="E182" t="inlineStr">
        <is>
          <t>MALUNG-SÄLEN</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26910-2020</t>
        </is>
      </c>
      <c r="B183" s="1" t="n">
        <v>43990</v>
      </c>
      <c r="C183" s="1" t="n">
        <v>45638</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26905-2020</t>
        </is>
      </c>
      <c r="B184" s="1" t="n">
        <v>43990</v>
      </c>
      <c r="C184" s="1" t="n">
        <v>45638</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27125-2020</t>
        </is>
      </c>
      <c r="B185" s="1" t="n">
        <v>43990</v>
      </c>
      <c r="C185" s="1" t="n">
        <v>45638</v>
      </c>
      <c r="D185" t="inlineStr">
        <is>
          <t>DALARNAS LÄN</t>
        </is>
      </c>
      <c r="E185" t="inlineStr">
        <is>
          <t>MALUNG-SÄLEN</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27020-2020</t>
        </is>
      </c>
      <c r="B186" s="1" t="n">
        <v>43991</v>
      </c>
      <c r="C186" s="1" t="n">
        <v>45638</v>
      </c>
      <c r="D186" t="inlineStr">
        <is>
          <t>DALARNAS LÄN</t>
        </is>
      </c>
      <c r="E186" t="inlineStr">
        <is>
          <t>MALUNG-SÄLEN</t>
        </is>
      </c>
      <c r="G186" t="n">
        <v>2.4</v>
      </c>
      <c r="H186" t="n">
        <v>0</v>
      </c>
      <c r="I186" t="n">
        <v>0</v>
      </c>
      <c r="J186" t="n">
        <v>0</v>
      </c>
      <c r="K186" t="n">
        <v>0</v>
      </c>
      <c r="L186" t="n">
        <v>0</v>
      </c>
      <c r="M186" t="n">
        <v>0</v>
      </c>
      <c r="N186" t="n">
        <v>0</v>
      </c>
      <c r="O186" t="n">
        <v>0</v>
      </c>
      <c r="P186" t="n">
        <v>0</v>
      </c>
      <c r="Q186" t="n">
        <v>0</v>
      </c>
      <c r="R186" s="2" t="inlineStr"/>
    </row>
    <row r="187" ht="15" customHeight="1">
      <c r="A187" t="inlineStr">
        <is>
          <t>A 28171-2020</t>
        </is>
      </c>
      <c r="B187" s="1" t="n">
        <v>43997</v>
      </c>
      <c r="C187" s="1" t="n">
        <v>45638</v>
      </c>
      <c r="D187" t="inlineStr">
        <is>
          <t>DALARNAS LÄN</t>
        </is>
      </c>
      <c r="E187" t="inlineStr">
        <is>
          <t>MALUNG-SÄLEN</t>
        </is>
      </c>
      <c r="G187" t="n">
        <v>7</v>
      </c>
      <c r="H187" t="n">
        <v>0</v>
      </c>
      <c r="I187" t="n">
        <v>0</v>
      </c>
      <c r="J187" t="n">
        <v>0</v>
      </c>
      <c r="K187" t="n">
        <v>0</v>
      </c>
      <c r="L187" t="n">
        <v>0</v>
      </c>
      <c r="M187" t="n">
        <v>0</v>
      </c>
      <c r="N187" t="n">
        <v>0</v>
      </c>
      <c r="O187" t="n">
        <v>0</v>
      </c>
      <c r="P187" t="n">
        <v>0</v>
      </c>
      <c r="Q187" t="n">
        <v>0</v>
      </c>
      <c r="R187" s="2" t="inlineStr"/>
    </row>
    <row r="188" ht="15" customHeight="1">
      <c r="A188" t="inlineStr">
        <is>
          <t>A 28377-2020</t>
        </is>
      </c>
      <c r="B188" s="1" t="n">
        <v>43998</v>
      </c>
      <c r="C188" s="1" t="n">
        <v>45638</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28515-2020</t>
        </is>
      </c>
      <c r="B189" s="1" t="n">
        <v>43999</v>
      </c>
      <c r="C189" s="1" t="n">
        <v>45638</v>
      </c>
      <c r="D189" t="inlineStr">
        <is>
          <t>DALARNAS LÄN</t>
        </is>
      </c>
      <c r="E189" t="inlineStr">
        <is>
          <t>MALUNG-SÄLEN</t>
        </is>
      </c>
      <c r="F189" t="inlineStr">
        <is>
          <t>Bergvik skog väst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28696-2020</t>
        </is>
      </c>
      <c r="B190" s="1" t="n">
        <v>43999</v>
      </c>
      <c r="C190" s="1" t="n">
        <v>45638</v>
      </c>
      <c r="D190" t="inlineStr">
        <is>
          <t>DALARNAS LÄN</t>
        </is>
      </c>
      <c r="E190" t="inlineStr">
        <is>
          <t>MALUNG-SÄLEN</t>
        </is>
      </c>
      <c r="G190" t="n">
        <v>4.1</v>
      </c>
      <c r="H190" t="n">
        <v>0</v>
      </c>
      <c r="I190" t="n">
        <v>0</v>
      </c>
      <c r="J190" t="n">
        <v>0</v>
      </c>
      <c r="K190" t="n">
        <v>0</v>
      </c>
      <c r="L190" t="n">
        <v>0</v>
      </c>
      <c r="M190" t="n">
        <v>0</v>
      </c>
      <c r="N190" t="n">
        <v>0</v>
      </c>
      <c r="O190" t="n">
        <v>0</v>
      </c>
      <c r="P190" t="n">
        <v>0</v>
      </c>
      <c r="Q190" t="n">
        <v>0</v>
      </c>
      <c r="R190" s="2" t="inlineStr"/>
    </row>
    <row r="191" ht="15" customHeight="1">
      <c r="A191" t="inlineStr">
        <is>
          <t>A 28836-2020</t>
        </is>
      </c>
      <c r="B191" s="1" t="n">
        <v>44000</v>
      </c>
      <c r="C191" s="1" t="n">
        <v>45638</v>
      </c>
      <c r="D191" t="inlineStr">
        <is>
          <t>DALARNAS LÄN</t>
        </is>
      </c>
      <c r="E191" t="inlineStr">
        <is>
          <t>MALUNG-SÄLEN</t>
        </is>
      </c>
      <c r="G191" t="n">
        <v>16.6</v>
      </c>
      <c r="H191" t="n">
        <v>0</v>
      </c>
      <c r="I191" t="n">
        <v>0</v>
      </c>
      <c r="J191" t="n">
        <v>0</v>
      </c>
      <c r="K191" t="n">
        <v>0</v>
      </c>
      <c r="L191" t="n">
        <v>0</v>
      </c>
      <c r="M191" t="n">
        <v>0</v>
      </c>
      <c r="N191" t="n">
        <v>0</v>
      </c>
      <c r="O191" t="n">
        <v>0</v>
      </c>
      <c r="P191" t="n">
        <v>0</v>
      </c>
      <c r="Q191" t="n">
        <v>0</v>
      </c>
      <c r="R191" s="2" t="inlineStr"/>
    </row>
    <row r="192" ht="15" customHeight="1">
      <c r="A192" t="inlineStr">
        <is>
          <t>A 29551-2020</t>
        </is>
      </c>
      <c r="B192" s="1" t="n">
        <v>44005</v>
      </c>
      <c r="C192" s="1" t="n">
        <v>45638</v>
      </c>
      <c r="D192" t="inlineStr">
        <is>
          <t>DALARNAS LÄN</t>
        </is>
      </c>
      <c r="E192" t="inlineStr">
        <is>
          <t>MALUNG-SÄLEN</t>
        </is>
      </c>
      <c r="F192" t="inlineStr">
        <is>
          <t>Bergvik skog väst AB</t>
        </is>
      </c>
      <c r="G192" t="n">
        <v>4.6</v>
      </c>
      <c r="H192" t="n">
        <v>0</v>
      </c>
      <c r="I192" t="n">
        <v>0</v>
      </c>
      <c r="J192" t="n">
        <v>0</v>
      </c>
      <c r="K192" t="n">
        <v>0</v>
      </c>
      <c r="L192" t="n">
        <v>0</v>
      </c>
      <c r="M192" t="n">
        <v>0</v>
      </c>
      <c r="N192" t="n">
        <v>0</v>
      </c>
      <c r="O192" t="n">
        <v>0</v>
      </c>
      <c r="P192" t="n">
        <v>0</v>
      </c>
      <c r="Q192" t="n">
        <v>0</v>
      </c>
      <c r="R192" s="2" t="inlineStr"/>
    </row>
    <row r="193" ht="15" customHeight="1">
      <c r="A193" t="inlineStr">
        <is>
          <t>A 30262-2020</t>
        </is>
      </c>
      <c r="B193" s="1" t="n">
        <v>44007</v>
      </c>
      <c r="C193" s="1" t="n">
        <v>45638</v>
      </c>
      <c r="D193" t="inlineStr">
        <is>
          <t>DALARNAS LÄN</t>
        </is>
      </c>
      <c r="E193" t="inlineStr">
        <is>
          <t>MALUNG-SÄLEN</t>
        </is>
      </c>
      <c r="G193" t="n">
        <v>7.1</v>
      </c>
      <c r="H193" t="n">
        <v>0</v>
      </c>
      <c r="I193" t="n">
        <v>0</v>
      </c>
      <c r="J193" t="n">
        <v>0</v>
      </c>
      <c r="K193" t="n">
        <v>0</v>
      </c>
      <c r="L193" t="n">
        <v>0</v>
      </c>
      <c r="M193" t="n">
        <v>0</v>
      </c>
      <c r="N193" t="n">
        <v>0</v>
      </c>
      <c r="O193" t="n">
        <v>0</v>
      </c>
      <c r="P193" t="n">
        <v>0</v>
      </c>
      <c r="Q193" t="n">
        <v>0</v>
      </c>
      <c r="R193" s="2" t="inlineStr"/>
    </row>
    <row r="194" ht="15" customHeight="1">
      <c r="A194" t="inlineStr">
        <is>
          <t>A 31075-2020</t>
        </is>
      </c>
      <c r="B194" s="1" t="n">
        <v>44012</v>
      </c>
      <c r="C194" s="1" t="n">
        <v>45638</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31161-2020</t>
        </is>
      </c>
      <c r="B195" s="1" t="n">
        <v>44012</v>
      </c>
      <c r="C195" s="1" t="n">
        <v>45638</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32815-2020</t>
        </is>
      </c>
      <c r="B196" s="1" t="n">
        <v>44020</v>
      </c>
      <c r="C196" s="1" t="n">
        <v>45638</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33065-2020</t>
        </is>
      </c>
      <c r="B197" s="1" t="n">
        <v>44021</v>
      </c>
      <c r="C197" s="1" t="n">
        <v>45638</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33071-2020</t>
        </is>
      </c>
      <c r="B198" s="1" t="n">
        <v>44021</v>
      </c>
      <c r="C198" s="1" t="n">
        <v>45638</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35536-2020</t>
        </is>
      </c>
      <c r="B199" s="1" t="n">
        <v>44043</v>
      </c>
      <c r="C199" s="1" t="n">
        <v>45638</v>
      </c>
      <c r="D199" t="inlineStr">
        <is>
          <t>DALARNAS LÄN</t>
        </is>
      </c>
      <c r="E199" t="inlineStr">
        <is>
          <t>MALUNG-SÄLEN</t>
        </is>
      </c>
      <c r="G199" t="n">
        <v>0.4</v>
      </c>
      <c r="H199" t="n">
        <v>0</v>
      </c>
      <c r="I199" t="n">
        <v>0</v>
      </c>
      <c r="J199" t="n">
        <v>0</v>
      </c>
      <c r="K199" t="n">
        <v>0</v>
      </c>
      <c r="L199" t="n">
        <v>0</v>
      </c>
      <c r="M199" t="n">
        <v>0</v>
      </c>
      <c r="N199" t="n">
        <v>0</v>
      </c>
      <c r="O199" t="n">
        <v>0</v>
      </c>
      <c r="P199" t="n">
        <v>0</v>
      </c>
      <c r="Q199" t="n">
        <v>0</v>
      </c>
      <c r="R199" s="2" t="inlineStr"/>
    </row>
    <row r="200" ht="15" customHeight="1">
      <c r="A200" t="inlineStr">
        <is>
          <t>A 36308-2020</t>
        </is>
      </c>
      <c r="B200" s="1" t="n">
        <v>44049</v>
      </c>
      <c r="C200" s="1" t="n">
        <v>45638</v>
      </c>
      <c r="D200" t="inlineStr">
        <is>
          <t>DALARNAS LÄN</t>
        </is>
      </c>
      <c r="E200" t="inlineStr">
        <is>
          <t>MALUNG-SÄLEN</t>
        </is>
      </c>
      <c r="G200" t="n">
        <v>1.2</v>
      </c>
      <c r="H200" t="n">
        <v>0</v>
      </c>
      <c r="I200" t="n">
        <v>0</v>
      </c>
      <c r="J200" t="n">
        <v>0</v>
      </c>
      <c r="K200" t="n">
        <v>0</v>
      </c>
      <c r="L200" t="n">
        <v>0</v>
      </c>
      <c r="M200" t="n">
        <v>0</v>
      </c>
      <c r="N200" t="n">
        <v>0</v>
      </c>
      <c r="O200" t="n">
        <v>0</v>
      </c>
      <c r="P200" t="n">
        <v>0</v>
      </c>
      <c r="Q200" t="n">
        <v>0</v>
      </c>
      <c r="R200" s="2" t="inlineStr"/>
    </row>
    <row r="201" ht="15" customHeight="1">
      <c r="A201" t="inlineStr">
        <is>
          <t>A 37574-2020</t>
        </is>
      </c>
      <c r="B201" s="1" t="n">
        <v>44056</v>
      </c>
      <c r="C201" s="1" t="n">
        <v>45638</v>
      </c>
      <c r="D201" t="inlineStr">
        <is>
          <t>DALARNAS LÄN</t>
        </is>
      </c>
      <c r="E201" t="inlineStr">
        <is>
          <t>MALUNG-SÄLEN</t>
        </is>
      </c>
      <c r="G201" t="n">
        <v>0.8</v>
      </c>
      <c r="H201" t="n">
        <v>0</v>
      </c>
      <c r="I201" t="n">
        <v>0</v>
      </c>
      <c r="J201" t="n">
        <v>0</v>
      </c>
      <c r="K201" t="n">
        <v>0</v>
      </c>
      <c r="L201" t="n">
        <v>0</v>
      </c>
      <c r="M201" t="n">
        <v>0</v>
      </c>
      <c r="N201" t="n">
        <v>0</v>
      </c>
      <c r="O201" t="n">
        <v>0</v>
      </c>
      <c r="P201" t="n">
        <v>0</v>
      </c>
      <c r="Q201" t="n">
        <v>0</v>
      </c>
      <c r="R201" s="2" t="inlineStr"/>
    </row>
    <row r="202" ht="15" customHeight="1">
      <c r="A202" t="inlineStr">
        <is>
          <t>A 37587-2020</t>
        </is>
      </c>
      <c r="B202" s="1" t="n">
        <v>44056</v>
      </c>
      <c r="C202" s="1" t="n">
        <v>45638</v>
      </c>
      <c r="D202" t="inlineStr">
        <is>
          <t>DALARNAS LÄN</t>
        </is>
      </c>
      <c r="E202" t="inlineStr">
        <is>
          <t>MALUNG-SÄLEN</t>
        </is>
      </c>
      <c r="G202" t="n">
        <v>0.3</v>
      </c>
      <c r="H202" t="n">
        <v>0</v>
      </c>
      <c r="I202" t="n">
        <v>0</v>
      </c>
      <c r="J202" t="n">
        <v>0</v>
      </c>
      <c r="K202" t="n">
        <v>0</v>
      </c>
      <c r="L202" t="n">
        <v>0</v>
      </c>
      <c r="M202" t="n">
        <v>0</v>
      </c>
      <c r="N202" t="n">
        <v>0</v>
      </c>
      <c r="O202" t="n">
        <v>0</v>
      </c>
      <c r="P202" t="n">
        <v>0</v>
      </c>
      <c r="Q202" t="n">
        <v>0</v>
      </c>
      <c r="R202" s="2" t="inlineStr"/>
    </row>
    <row r="203" ht="15" customHeight="1">
      <c r="A203" t="inlineStr">
        <is>
          <t>A 37740-2020</t>
        </is>
      </c>
      <c r="B203" s="1" t="n">
        <v>44056</v>
      </c>
      <c r="C203" s="1" t="n">
        <v>45638</v>
      </c>
      <c r="D203" t="inlineStr">
        <is>
          <t>DALARNAS LÄN</t>
        </is>
      </c>
      <c r="E203" t="inlineStr">
        <is>
          <t>MALUNG-SÄLEN</t>
        </is>
      </c>
      <c r="G203" t="n">
        <v>22.5</v>
      </c>
      <c r="H203" t="n">
        <v>0</v>
      </c>
      <c r="I203" t="n">
        <v>0</v>
      </c>
      <c r="J203" t="n">
        <v>0</v>
      </c>
      <c r="K203" t="n">
        <v>0</v>
      </c>
      <c r="L203" t="n">
        <v>0</v>
      </c>
      <c r="M203" t="n">
        <v>0</v>
      </c>
      <c r="N203" t="n">
        <v>0</v>
      </c>
      <c r="O203" t="n">
        <v>0</v>
      </c>
      <c r="P203" t="n">
        <v>0</v>
      </c>
      <c r="Q203" t="n">
        <v>0</v>
      </c>
      <c r="R203" s="2" t="inlineStr"/>
    </row>
    <row r="204" ht="15" customHeight="1">
      <c r="A204" t="inlineStr">
        <is>
          <t>A 38169-2020</t>
        </is>
      </c>
      <c r="B204" s="1" t="n">
        <v>44057</v>
      </c>
      <c r="C204" s="1" t="n">
        <v>45638</v>
      </c>
      <c r="D204" t="inlineStr">
        <is>
          <t>DALARNAS LÄN</t>
        </is>
      </c>
      <c r="E204" t="inlineStr">
        <is>
          <t>MALUNG-SÄLEN</t>
        </is>
      </c>
      <c r="F204" t="inlineStr">
        <is>
          <t>Allmännings- och besparingsskogar</t>
        </is>
      </c>
      <c r="G204" t="n">
        <v>32.1</v>
      </c>
      <c r="H204" t="n">
        <v>0</v>
      </c>
      <c r="I204" t="n">
        <v>0</v>
      </c>
      <c r="J204" t="n">
        <v>0</v>
      </c>
      <c r="K204" t="n">
        <v>0</v>
      </c>
      <c r="L204" t="n">
        <v>0</v>
      </c>
      <c r="M204" t="n">
        <v>0</v>
      </c>
      <c r="N204" t="n">
        <v>0</v>
      </c>
      <c r="O204" t="n">
        <v>0</v>
      </c>
      <c r="P204" t="n">
        <v>0</v>
      </c>
      <c r="Q204" t="n">
        <v>0</v>
      </c>
      <c r="R204" s="2" t="inlineStr"/>
    </row>
    <row r="205" ht="15" customHeight="1">
      <c r="A205" t="inlineStr">
        <is>
          <t>A 38604-2020</t>
        </is>
      </c>
      <c r="B205" s="1" t="n">
        <v>44061</v>
      </c>
      <c r="C205" s="1" t="n">
        <v>45638</v>
      </c>
      <c r="D205" t="inlineStr">
        <is>
          <t>DALARNAS LÄN</t>
        </is>
      </c>
      <c r="E205" t="inlineStr">
        <is>
          <t>MALUNG-SÄLEN</t>
        </is>
      </c>
      <c r="G205" t="n">
        <v>0.9</v>
      </c>
      <c r="H205" t="n">
        <v>0</v>
      </c>
      <c r="I205" t="n">
        <v>0</v>
      </c>
      <c r="J205" t="n">
        <v>0</v>
      </c>
      <c r="K205" t="n">
        <v>0</v>
      </c>
      <c r="L205" t="n">
        <v>0</v>
      </c>
      <c r="M205" t="n">
        <v>0</v>
      </c>
      <c r="N205" t="n">
        <v>0</v>
      </c>
      <c r="O205" t="n">
        <v>0</v>
      </c>
      <c r="P205" t="n">
        <v>0</v>
      </c>
      <c r="Q205" t="n">
        <v>0</v>
      </c>
      <c r="R205" s="2" t="inlineStr"/>
    </row>
    <row r="206" ht="15" customHeight="1">
      <c r="A206" t="inlineStr">
        <is>
          <t>A 40350-2020</t>
        </is>
      </c>
      <c r="B206" s="1" t="n">
        <v>44068</v>
      </c>
      <c r="C206" s="1" t="n">
        <v>45638</v>
      </c>
      <c r="D206" t="inlineStr">
        <is>
          <t>DALARNAS LÄN</t>
        </is>
      </c>
      <c r="E206" t="inlineStr">
        <is>
          <t>MALUNG-SÄLEN</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40354-2020</t>
        </is>
      </c>
      <c r="B207" s="1" t="n">
        <v>44068</v>
      </c>
      <c r="C207" s="1" t="n">
        <v>45638</v>
      </c>
      <c r="D207" t="inlineStr">
        <is>
          <t>DALARNAS LÄN</t>
        </is>
      </c>
      <c r="E207" t="inlineStr">
        <is>
          <t>MALUNG-SÄLEN</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42116-2020</t>
        </is>
      </c>
      <c r="B208" s="1" t="n">
        <v>44071</v>
      </c>
      <c r="C208" s="1" t="n">
        <v>45638</v>
      </c>
      <c r="D208" t="inlineStr">
        <is>
          <t>DALARNAS LÄN</t>
        </is>
      </c>
      <c r="E208" t="inlineStr">
        <is>
          <t>MALUNG-SÄLEN</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42985-2020</t>
        </is>
      </c>
      <c r="B209" s="1" t="n">
        <v>44078</v>
      </c>
      <c r="C209" s="1" t="n">
        <v>45638</v>
      </c>
      <c r="D209" t="inlineStr">
        <is>
          <t>DALARNAS LÄN</t>
        </is>
      </c>
      <c r="E209" t="inlineStr">
        <is>
          <t>MALUNG-SÄLEN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44448-2020</t>
        </is>
      </c>
      <c r="B210" s="1" t="n">
        <v>44084</v>
      </c>
      <c r="C210" s="1" t="n">
        <v>45638</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44935-2020</t>
        </is>
      </c>
      <c r="B211" s="1" t="n">
        <v>44088</v>
      </c>
      <c r="C211" s="1" t="n">
        <v>45638</v>
      </c>
      <c r="D211" t="inlineStr">
        <is>
          <t>DALARNAS LÄN</t>
        </is>
      </c>
      <c r="E211" t="inlineStr">
        <is>
          <t>MALUNG-SÄLEN</t>
        </is>
      </c>
      <c r="G211" t="n">
        <v>11.8</v>
      </c>
      <c r="H211" t="n">
        <v>0</v>
      </c>
      <c r="I211" t="n">
        <v>0</v>
      </c>
      <c r="J211" t="n">
        <v>0</v>
      </c>
      <c r="K211" t="n">
        <v>0</v>
      </c>
      <c r="L211" t="n">
        <v>0</v>
      </c>
      <c r="M211" t="n">
        <v>0</v>
      </c>
      <c r="N211" t="n">
        <v>0</v>
      </c>
      <c r="O211" t="n">
        <v>0</v>
      </c>
      <c r="P211" t="n">
        <v>0</v>
      </c>
      <c r="Q211" t="n">
        <v>0</v>
      </c>
      <c r="R211" s="2" t="inlineStr"/>
    </row>
    <row r="212" ht="15" customHeight="1">
      <c r="A212" t="inlineStr">
        <is>
          <t>A 45722-2020</t>
        </is>
      </c>
      <c r="B212" s="1" t="n">
        <v>44090</v>
      </c>
      <c r="C212" s="1" t="n">
        <v>45638</v>
      </c>
      <c r="D212" t="inlineStr">
        <is>
          <t>DALARNAS LÄN</t>
        </is>
      </c>
      <c r="E212" t="inlineStr">
        <is>
          <t>MALUNG-SÄLEN</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46832-2020</t>
        </is>
      </c>
      <c r="B213" s="1" t="n">
        <v>44090</v>
      </c>
      <c r="C213" s="1" t="n">
        <v>45638</v>
      </c>
      <c r="D213" t="inlineStr">
        <is>
          <t>DALARNAS LÄN</t>
        </is>
      </c>
      <c r="E213" t="inlineStr">
        <is>
          <t>MALUNG-SÄLEN</t>
        </is>
      </c>
      <c r="F213" t="inlineStr">
        <is>
          <t>Allmännings- och besparingsskogar</t>
        </is>
      </c>
      <c r="G213" t="n">
        <v>62.4</v>
      </c>
      <c r="H213" t="n">
        <v>0</v>
      </c>
      <c r="I213" t="n">
        <v>0</v>
      </c>
      <c r="J213" t="n">
        <v>0</v>
      </c>
      <c r="K213" t="n">
        <v>0</v>
      </c>
      <c r="L213" t="n">
        <v>0</v>
      </c>
      <c r="M213" t="n">
        <v>0</v>
      </c>
      <c r="N213" t="n">
        <v>0</v>
      </c>
      <c r="O213" t="n">
        <v>0</v>
      </c>
      <c r="P213" t="n">
        <v>0</v>
      </c>
      <c r="Q213" t="n">
        <v>0</v>
      </c>
      <c r="R213" s="2" t="inlineStr"/>
    </row>
    <row r="214" ht="15" customHeight="1">
      <c r="A214" t="inlineStr">
        <is>
          <t>A 47073-2020</t>
        </is>
      </c>
      <c r="B214" s="1" t="n">
        <v>44096</v>
      </c>
      <c r="C214" s="1" t="n">
        <v>45638</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47190-2020</t>
        </is>
      </c>
      <c r="B215" s="1" t="n">
        <v>44097</v>
      </c>
      <c r="C215" s="1" t="n">
        <v>45638</v>
      </c>
      <c r="D215" t="inlineStr">
        <is>
          <t>DALARNAS LÄN</t>
        </is>
      </c>
      <c r="E215" t="inlineStr">
        <is>
          <t>MALUNG-SÄLEN</t>
        </is>
      </c>
      <c r="G215" t="n">
        <v>6</v>
      </c>
      <c r="H215" t="n">
        <v>0</v>
      </c>
      <c r="I215" t="n">
        <v>0</v>
      </c>
      <c r="J215" t="n">
        <v>0</v>
      </c>
      <c r="K215" t="n">
        <v>0</v>
      </c>
      <c r="L215" t="n">
        <v>0</v>
      </c>
      <c r="M215" t="n">
        <v>0</v>
      </c>
      <c r="N215" t="n">
        <v>0</v>
      </c>
      <c r="O215" t="n">
        <v>0</v>
      </c>
      <c r="P215" t="n">
        <v>0</v>
      </c>
      <c r="Q215" t="n">
        <v>0</v>
      </c>
      <c r="R215" s="2" t="inlineStr"/>
    </row>
    <row r="216" ht="15" customHeight="1">
      <c r="A216" t="inlineStr">
        <is>
          <t>A 47254-2020</t>
        </is>
      </c>
      <c r="B216" s="1" t="n">
        <v>44097</v>
      </c>
      <c r="C216" s="1" t="n">
        <v>45638</v>
      </c>
      <c r="D216" t="inlineStr">
        <is>
          <t>DALARNAS LÄN</t>
        </is>
      </c>
      <c r="E216" t="inlineStr">
        <is>
          <t>MALUNG-SÄLEN</t>
        </is>
      </c>
      <c r="G216" t="n">
        <v>5.3</v>
      </c>
      <c r="H216" t="n">
        <v>0</v>
      </c>
      <c r="I216" t="n">
        <v>0</v>
      </c>
      <c r="J216" t="n">
        <v>0</v>
      </c>
      <c r="K216" t="n">
        <v>0</v>
      </c>
      <c r="L216" t="n">
        <v>0</v>
      </c>
      <c r="M216" t="n">
        <v>0</v>
      </c>
      <c r="N216" t="n">
        <v>0</v>
      </c>
      <c r="O216" t="n">
        <v>0</v>
      </c>
      <c r="P216" t="n">
        <v>0</v>
      </c>
      <c r="Q216" t="n">
        <v>0</v>
      </c>
      <c r="R216" s="2" t="inlineStr"/>
    </row>
    <row r="217" ht="15" customHeight="1">
      <c r="A217" t="inlineStr">
        <is>
          <t>A 47986-2020</t>
        </is>
      </c>
      <c r="B217" s="1" t="n">
        <v>44099</v>
      </c>
      <c r="C217" s="1" t="n">
        <v>45638</v>
      </c>
      <c r="D217" t="inlineStr">
        <is>
          <t>DALARNAS LÄN</t>
        </is>
      </c>
      <c r="E217" t="inlineStr">
        <is>
          <t>MALUNG-SÄLEN</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48525-2020</t>
        </is>
      </c>
      <c r="B218" s="1" t="n">
        <v>44103</v>
      </c>
      <c r="C218" s="1" t="n">
        <v>45638</v>
      </c>
      <c r="D218" t="inlineStr">
        <is>
          <t>DALARNAS LÄN</t>
        </is>
      </c>
      <c r="E218" t="inlineStr">
        <is>
          <t>MALUNG-SÄLEN</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49375-2020</t>
        </is>
      </c>
      <c r="B219" s="1" t="n">
        <v>44105</v>
      </c>
      <c r="C219" s="1" t="n">
        <v>45638</v>
      </c>
      <c r="D219" t="inlineStr">
        <is>
          <t>DALARNAS LÄN</t>
        </is>
      </c>
      <c r="E219" t="inlineStr">
        <is>
          <t>MALUNG-SÄLEN</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50436-2020</t>
        </is>
      </c>
      <c r="B220" s="1" t="n">
        <v>44110</v>
      </c>
      <c r="C220" s="1" t="n">
        <v>45638</v>
      </c>
      <c r="D220" t="inlineStr">
        <is>
          <t>DALARNAS LÄN</t>
        </is>
      </c>
      <c r="E220" t="inlineStr">
        <is>
          <t>MALUNG-SÄLEN</t>
        </is>
      </c>
      <c r="F220" t="inlineStr">
        <is>
          <t>Övriga statliga verk och myndigheter</t>
        </is>
      </c>
      <c r="G220" t="n">
        <v>2.9</v>
      </c>
      <c r="H220" t="n">
        <v>0</v>
      </c>
      <c r="I220" t="n">
        <v>0</v>
      </c>
      <c r="J220" t="n">
        <v>0</v>
      </c>
      <c r="K220" t="n">
        <v>0</v>
      </c>
      <c r="L220" t="n">
        <v>0</v>
      </c>
      <c r="M220" t="n">
        <v>0</v>
      </c>
      <c r="N220" t="n">
        <v>0</v>
      </c>
      <c r="O220" t="n">
        <v>0</v>
      </c>
      <c r="P220" t="n">
        <v>0</v>
      </c>
      <c r="Q220" t="n">
        <v>0</v>
      </c>
      <c r="R220" s="2" t="inlineStr"/>
    </row>
    <row r="221" ht="15" customHeight="1">
      <c r="A221" t="inlineStr">
        <is>
          <t>A 50397-2020</t>
        </is>
      </c>
      <c r="B221" s="1" t="n">
        <v>44110</v>
      </c>
      <c r="C221" s="1" t="n">
        <v>45638</v>
      </c>
      <c r="D221" t="inlineStr">
        <is>
          <t>DALARNAS LÄN</t>
        </is>
      </c>
      <c r="E221" t="inlineStr">
        <is>
          <t>MALUNG-SÄLEN</t>
        </is>
      </c>
      <c r="G221" t="n">
        <v>6.8</v>
      </c>
      <c r="H221" t="n">
        <v>0</v>
      </c>
      <c r="I221" t="n">
        <v>0</v>
      </c>
      <c r="J221" t="n">
        <v>0</v>
      </c>
      <c r="K221" t="n">
        <v>0</v>
      </c>
      <c r="L221" t="n">
        <v>0</v>
      </c>
      <c r="M221" t="n">
        <v>0</v>
      </c>
      <c r="N221" t="n">
        <v>0</v>
      </c>
      <c r="O221" t="n">
        <v>0</v>
      </c>
      <c r="P221" t="n">
        <v>0</v>
      </c>
      <c r="Q221" t="n">
        <v>0</v>
      </c>
      <c r="R221" s="2" t="inlineStr"/>
    </row>
    <row r="222" ht="15" customHeight="1">
      <c r="A222" t="inlineStr">
        <is>
          <t>A 52009-2020</t>
        </is>
      </c>
      <c r="B222" s="1" t="n">
        <v>44111</v>
      </c>
      <c r="C222" s="1" t="n">
        <v>45638</v>
      </c>
      <c r="D222" t="inlineStr">
        <is>
          <t>DALARNAS LÄN</t>
        </is>
      </c>
      <c r="E222" t="inlineStr">
        <is>
          <t>MALUNG-SÄLEN</t>
        </is>
      </c>
      <c r="G222" t="n">
        <v>2</v>
      </c>
      <c r="H222" t="n">
        <v>0</v>
      </c>
      <c r="I222" t="n">
        <v>0</v>
      </c>
      <c r="J222" t="n">
        <v>0</v>
      </c>
      <c r="K222" t="n">
        <v>0</v>
      </c>
      <c r="L222" t="n">
        <v>0</v>
      </c>
      <c r="M222" t="n">
        <v>0</v>
      </c>
      <c r="N222" t="n">
        <v>0</v>
      </c>
      <c r="O222" t="n">
        <v>0</v>
      </c>
      <c r="P222" t="n">
        <v>0</v>
      </c>
      <c r="Q222" t="n">
        <v>0</v>
      </c>
      <c r="R222" s="2" t="inlineStr"/>
    </row>
    <row r="223" ht="15" customHeight="1">
      <c r="A223" t="inlineStr">
        <is>
          <t>A 55488-2020</t>
        </is>
      </c>
      <c r="B223" s="1" t="n">
        <v>44131</v>
      </c>
      <c r="C223" s="1" t="n">
        <v>45638</v>
      </c>
      <c r="D223" t="inlineStr">
        <is>
          <t>DALARNAS LÄN</t>
        </is>
      </c>
      <c r="E223" t="inlineStr">
        <is>
          <t>MALUNG-SÄLEN</t>
        </is>
      </c>
      <c r="G223" t="n">
        <v>1.4</v>
      </c>
      <c r="H223" t="n">
        <v>0</v>
      </c>
      <c r="I223" t="n">
        <v>0</v>
      </c>
      <c r="J223" t="n">
        <v>0</v>
      </c>
      <c r="K223" t="n">
        <v>0</v>
      </c>
      <c r="L223" t="n">
        <v>0</v>
      </c>
      <c r="M223" t="n">
        <v>0</v>
      </c>
      <c r="N223" t="n">
        <v>0</v>
      </c>
      <c r="O223" t="n">
        <v>0</v>
      </c>
      <c r="P223" t="n">
        <v>0</v>
      </c>
      <c r="Q223" t="n">
        <v>0</v>
      </c>
      <c r="R223" s="2" t="inlineStr"/>
    </row>
    <row r="224" ht="15" customHeight="1">
      <c r="A224" t="inlineStr">
        <is>
          <t>A 55535-2020</t>
        </is>
      </c>
      <c r="B224" s="1" t="n">
        <v>44131</v>
      </c>
      <c r="C224" s="1" t="n">
        <v>45638</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56332-2020</t>
        </is>
      </c>
      <c r="B225" s="1" t="n">
        <v>44134</v>
      </c>
      <c r="C225" s="1" t="n">
        <v>45638</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56561-2020</t>
        </is>
      </c>
      <c r="B226" s="1" t="n">
        <v>44137</v>
      </c>
      <c r="C226" s="1" t="n">
        <v>45638</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56584-2020</t>
        </is>
      </c>
      <c r="B227" s="1" t="n">
        <v>44137</v>
      </c>
      <c r="C227" s="1" t="n">
        <v>45638</v>
      </c>
      <c r="D227" t="inlineStr">
        <is>
          <t>DALARNAS LÄN</t>
        </is>
      </c>
      <c r="E227" t="inlineStr">
        <is>
          <t>MALUNG-SÄLEN</t>
        </is>
      </c>
      <c r="G227" t="n">
        <v>4.1</v>
      </c>
      <c r="H227" t="n">
        <v>0</v>
      </c>
      <c r="I227" t="n">
        <v>0</v>
      </c>
      <c r="J227" t="n">
        <v>0</v>
      </c>
      <c r="K227" t="n">
        <v>0</v>
      </c>
      <c r="L227" t="n">
        <v>0</v>
      </c>
      <c r="M227" t="n">
        <v>0</v>
      </c>
      <c r="N227" t="n">
        <v>0</v>
      </c>
      <c r="O227" t="n">
        <v>0</v>
      </c>
      <c r="P227" t="n">
        <v>0</v>
      </c>
      <c r="Q227" t="n">
        <v>0</v>
      </c>
      <c r="R227" s="2" t="inlineStr"/>
    </row>
    <row r="228" ht="15" customHeight="1">
      <c r="A228" t="inlineStr">
        <is>
          <t>A 56590-2020</t>
        </is>
      </c>
      <c r="B228" s="1" t="n">
        <v>44137</v>
      </c>
      <c r="C228" s="1" t="n">
        <v>45638</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58169-2020</t>
        </is>
      </c>
      <c r="B229" s="1" t="n">
        <v>44144</v>
      </c>
      <c r="C229" s="1" t="n">
        <v>45638</v>
      </c>
      <c r="D229" t="inlineStr">
        <is>
          <t>DALARNAS LÄN</t>
        </is>
      </c>
      <c r="E229" t="inlineStr">
        <is>
          <t>MALUNG-SÄLEN</t>
        </is>
      </c>
      <c r="G229" t="n">
        <v>0.7</v>
      </c>
      <c r="H229" t="n">
        <v>0</v>
      </c>
      <c r="I229" t="n">
        <v>0</v>
      </c>
      <c r="J229" t="n">
        <v>0</v>
      </c>
      <c r="K229" t="n">
        <v>0</v>
      </c>
      <c r="L229" t="n">
        <v>0</v>
      </c>
      <c r="M229" t="n">
        <v>0</v>
      </c>
      <c r="N229" t="n">
        <v>0</v>
      </c>
      <c r="O229" t="n">
        <v>0</v>
      </c>
      <c r="P229" t="n">
        <v>0</v>
      </c>
      <c r="Q229" t="n">
        <v>0</v>
      </c>
      <c r="R229" s="2" t="inlineStr"/>
    </row>
    <row r="230" ht="15" customHeight="1">
      <c r="A230" t="inlineStr">
        <is>
          <t>A 58462-2020</t>
        </is>
      </c>
      <c r="B230" s="1" t="n">
        <v>44144</v>
      </c>
      <c r="C230" s="1" t="n">
        <v>45638</v>
      </c>
      <c r="D230" t="inlineStr">
        <is>
          <t>DALARNAS LÄN</t>
        </is>
      </c>
      <c r="E230" t="inlineStr">
        <is>
          <t>MALUNG-SÄLEN</t>
        </is>
      </c>
      <c r="F230" t="inlineStr">
        <is>
          <t>Allmännings- och besparingsskogar</t>
        </is>
      </c>
      <c r="G230" t="n">
        <v>25.2</v>
      </c>
      <c r="H230" t="n">
        <v>0</v>
      </c>
      <c r="I230" t="n">
        <v>0</v>
      </c>
      <c r="J230" t="n">
        <v>0</v>
      </c>
      <c r="K230" t="n">
        <v>0</v>
      </c>
      <c r="L230" t="n">
        <v>0</v>
      </c>
      <c r="M230" t="n">
        <v>0</v>
      </c>
      <c r="N230" t="n">
        <v>0</v>
      </c>
      <c r="O230" t="n">
        <v>0</v>
      </c>
      <c r="P230" t="n">
        <v>0</v>
      </c>
      <c r="Q230" t="n">
        <v>0</v>
      </c>
      <c r="R230" s="2" t="inlineStr"/>
    </row>
    <row r="231" ht="15" customHeight="1">
      <c r="A231" t="inlineStr">
        <is>
          <t>A 58821-2020</t>
        </is>
      </c>
      <c r="B231" s="1" t="n">
        <v>44146</v>
      </c>
      <c r="C231" s="1" t="n">
        <v>45638</v>
      </c>
      <c r="D231" t="inlineStr">
        <is>
          <t>DALARNAS LÄN</t>
        </is>
      </c>
      <c r="E231" t="inlineStr">
        <is>
          <t>MALUNG-SÄLEN</t>
        </is>
      </c>
      <c r="G231" t="n">
        <v>0.3</v>
      </c>
      <c r="H231" t="n">
        <v>0</v>
      </c>
      <c r="I231" t="n">
        <v>0</v>
      </c>
      <c r="J231" t="n">
        <v>0</v>
      </c>
      <c r="K231" t="n">
        <v>0</v>
      </c>
      <c r="L231" t="n">
        <v>0</v>
      </c>
      <c r="M231" t="n">
        <v>0</v>
      </c>
      <c r="N231" t="n">
        <v>0</v>
      </c>
      <c r="O231" t="n">
        <v>0</v>
      </c>
      <c r="P231" t="n">
        <v>0</v>
      </c>
      <c r="Q231" t="n">
        <v>0</v>
      </c>
      <c r="R231" s="2" t="inlineStr"/>
    </row>
    <row r="232" ht="15" customHeight="1">
      <c r="A232" t="inlineStr">
        <is>
          <t>A 59345-2020</t>
        </is>
      </c>
      <c r="B232" s="1" t="n">
        <v>44148</v>
      </c>
      <c r="C232" s="1" t="n">
        <v>45638</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59612-2020</t>
        </is>
      </c>
      <c r="B233" s="1" t="n">
        <v>44149</v>
      </c>
      <c r="C233" s="1" t="n">
        <v>45638</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60903-2020</t>
        </is>
      </c>
      <c r="B234" s="1" t="n">
        <v>44153</v>
      </c>
      <c r="C234" s="1" t="n">
        <v>45638</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60818-2020</t>
        </is>
      </c>
      <c r="B235" s="1" t="n">
        <v>44154</v>
      </c>
      <c r="C235" s="1" t="n">
        <v>45638</v>
      </c>
      <c r="D235" t="inlineStr">
        <is>
          <t>DALARNAS LÄN</t>
        </is>
      </c>
      <c r="E235" t="inlineStr">
        <is>
          <t>MALUNG-SÄLEN</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63352-2020</t>
        </is>
      </c>
      <c r="B236" s="1" t="n">
        <v>44165</v>
      </c>
      <c r="C236" s="1" t="n">
        <v>45638</v>
      </c>
      <c r="D236" t="inlineStr">
        <is>
          <t>DALARNAS LÄN</t>
        </is>
      </c>
      <c r="E236" t="inlineStr">
        <is>
          <t>MALUNG-SÄLEN</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63508-2020</t>
        </is>
      </c>
      <c r="B237" s="1" t="n">
        <v>44165</v>
      </c>
      <c r="C237" s="1" t="n">
        <v>45638</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63903-2020</t>
        </is>
      </c>
      <c r="B238" s="1" t="n">
        <v>44166</v>
      </c>
      <c r="C238" s="1" t="n">
        <v>45638</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63896-2020</t>
        </is>
      </c>
      <c r="B239" s="1" t="n">
        <v>44166</v>
      </c>
      <c r="C239" s="1" t="n">
        <v>45638</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63890-2020</t>
        </is>
      </c>
      <c r="B240" s="1" t="n">
        <v>44166</v>
      </c>
      <c r="C240" s="1" t="n">
        <v>45638</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66163-2020</t>
        </is>
      </c>
      <c r="B241" s="1" t="n">
        <v>44175</v>
      </c>
      <c r="C241" s="1" t="n">
        <v>45638</v>
      </c>
      <c r="D241" t="inlineStr">
        <is>
          <t>DALARNAS LÄN</t>
        </is>
      </c>
      <c r="E241" t="inlineStr">
        <is>
          <t>MALUNG-SÄLEN</t>
        </is>
      </c>
      <c r="G241" t="n">
        <v>3.3</v>
      </c>
      <c r="H241" t="n">
        <v>0</v>
      </c>
      <c r="I241" t="n">
        <v>0</v>
      </c>
      <c r="J241" t="n">
        <v>0</v>
      </c>
      <c r="K241" t="n">
        <v>0</v>
      </c>
      <c r="L241" t="n">
        <v>0</v>
      </c>
      <c r="M241" t="n">
        <v>0</v>
      </c>
      <c r="N241" t="n">
        <v>0</v>
      </c>
      <c r="O241" t="n">
        <v>0</v>
      </c>
      <c r="P241" t="n">
        <v>0</v>
      </c>
      <c r="Q241" t="n">
        <v>0</v>
      </c>
      <c r="R241" s="2" t="inlineStr"/>
    </row>
    <row r="242" ht="15" customHeight="1">
      <c r="A242" t="inlineStr">
        <is>
          <t>A 67774-2020</t>
        </is>
      </c>
      <c r="B242" s="1" t="n">
        <v>44182</v>
      </c>
      <c r="C242" s="1" t="n">
        <v>45638</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68150-2020</t>
        </is>
      </c>
      <c r="B243" s="1" t="n">
        <v>44183</v>
      </c>
      <c r="C243" s="1" t="n">
        <v>45638</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68326-2020</t>
        </is>
      </c>
      <c r="B244" s="1" t="n">
        <v>44185</v>
      </c>
      <c r="C244" s="1" t="n">
        <v>45638</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68323-2020</t>
        </is>
      </c>
      <c r="B245" s="1" t="n">
        <v>44185</v>
      </c>
      <c r="C245" s="1" t="n">
        <v>45638</v>
      </c>
      <c r="D245" t="inlineStr">
        <is>
          <t>DALARNAS LÄN</t>
        </is>
      </c>
      <c r="E245" t="inlineStr">
        <is>
          <t>MALUNG-SÄLEN</t>
        </is>
      </c>
      <c r="G245" t="n">
        <v>2.6</v>
      </c>
      <c r="H245" t="n">
        <v>0</v>
      </c>
      <c r="I245" t="n">
        <v>0</v>
      </c>
      <c r="J245" t="n">
        <v>0</v>
      </c>
      <c r="K245" t="n">
        <v>0</v>
      </c>
      <c r="L245" t="n">
        <v>0</v>
      </c>
      <c r="M245" t="n">
        <v>0</v>
      </c>
      <c r="N245" t="n">
        <v>0</v>
      </c>
      <c r="O245" t="n">
        <v>0</v>
      </c>
      <c r="P245" t="n">
        <v>0</v>
      </c>
      <c r="Q245" t="n">
        <v>0</v>
      </c>
      <c r="R245" s="2" t="inlineStr"/>
    </row>
    <row r="246" ht="15" customHeight="1">
      <c r="A246" t="inlineStr">
        <is>
          <t>A 68325-2020</t>
        </is>
      </c>
      <c r="B246" s="1" t="n">
        <v>44185</v>
      </c>
      <c r="C246" s="1" t="n">
        <v>45638</v>
      </c>
      <c r="D246" t="inlineStr">
        <is>
          <t>DALARNAS LÄN</t>
        </is>
      </c>
      <c r="E246" t="inlineStr">
        <is>
          <t>MALUNG-SÄLEN</t>
        </is>
      </c>
      <c r="G246" t="n">
        <v>1.4</v>
      </c>
      <c r="H246" t="n">
        <v>0</v>
      </c>
      <c r="I246" t="n">
        <v>0</v>
      </c>
      <c r="J246" t="n">
        <v>0</v>
      </c>
      <c r="K246" t="n">
        <v>0</v>
      </c>
      <c r="L246" t="n">
        <v>0</v>
      </c>
      <c r="M246" t="n">
        <v>0</v>
      </c>
      <c r="N246" t="n">
        <v>0</v>
      </c>
      <c r="O246" t="n">
        <v>0</v>
      </c>
      <c r="P246" t="n">
        <v>0</v>
      </c>
      <c r="Q246" t="n">
        <v>0</v>
      </c>
      <c r="R246" s="2" t="inlineStr"/>
    </row>
    <row r="247" ht="15" customHeight="1">
      <c r="A247" t="inlineStr">
        <is>
          <t>A 68324-2020</t>
        </is>
      </c>
      <c r="B247" s="1" t="n">
        <v>44185</v>
      </c>
      <c r="C247" s="1" t="n">
        <v>45638</v>
      </c>
      <c r="D247" t="inlineStr">
        <is>
          <t>DALARNAS LÄN</t>
        </is>
      </c>
      <c r="E247" t="inlineStr">
        <is>
          <t>MALUNG-SÄLEN</t>
        </is>
      </c>
      <c r="G247" t="n">
        <v>3.2</v>
      </c>
      <c r="H247" t="n">
        <v>0</v>
      </c>
      <c r="I247" t="n">
        <v>0</v>
      </c>
      <c r="J247" t="n">
        <v>0</v>
      </c>
      <c r="K247" t="n">
        <v>0</v>
      </c>
      <c r="L247" t="n">
        <v>0</v>
      </c>
      <c r="M247" t="n">
        <v>0</v>
      </c>
      <c r="N247" t="n">
        <v>0</v>
      </c>
      <c r="O247" t="n">
        <v>0</v>
      </c>
      <c r="P247" t="n">
        <v>0</v>
      </c>
      <c r="Q247" t="n">
        <v>0</v>
      </c>
      <c r="R247" s="2" t="inlineStr"/>
    </row>
    <row r="248" ht="15" customHeight="1">
      <c r="A248" t="inlineStr">
        <is>
          <t>A 69555-2020</t>
        </is>
      </c>
      <c r="B248" s="1" t="n">
        <v>44194</v>
      </c>
      <c r="C248" s="1" t="n">
        <v>45638</v>
      </c>
      <c r="D248" t="inlineStr">
        <is>
          <t>DALARNAS LÄN</t>
        </is>
      </c>
      <c r="E248" t="inlineStr">
        <is>
          <t>MALUNG-SÄLEN</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185-2021</t>
        </is>
      </c>
      <c r="B249" s="1" t="n">
        <v>44200</v>
      </c>
      <c r="C249" s="1" t="n">
        <v>45638</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283-2021</t>
        </is>
      </c>
      <c r="B250" s="1" t="n">
        <v>44201</v>
      </c>
      <c r="C250" s="1" t="n">
        <v>45638</v>
      </c>
      <c r="D250" t="inlineStr">
        <is>
          <t>DALARNAS LÄN</t>
        </is>
      </c>
      <c r="E250" t="inlineStr">
        <is>
          <t>MALUNG-SÄLEN</t>
        </is>
      </c>
      <c r="G250" t="n">
        <v>4.8</v>
      </c>
      <c r="H250" t="n">
        <v>0</v>
      </c>
      <c r="I250" t="n">
        <v>0</v>
      </c>
      <c r="J250" t="n">
        <v>0</v>
      </c>
      <c r="K250" t="n">
        <v>0</v>
      </c>
      <c r="L250" t="n">
        <v>0</v>
      </c>
      <c r="M250" t="n">
        <v>0</v>
      </c>
      <c r="N250" t="n">
        <v>0</v>
      </c>
      <c r="O250" t="n">
        <v>0</v>
      </c>
      <c r="P250" t="n">
        <v>0</v>
      </c>
      <c r="Q250" t="n">
        <v>0</v>
      </c>
      <c r="R250" s="2" t="inlineStr"/>
    </row>
    <row r="251" ht="15" customHeight="1">
      <c r="A251" t="inlineStr">
        <is>
          <t>A 560-2021</t>
        </is>
      </c>
      <c r="B251" s="1" t="n">
        <v>44203</v>
      </c>
      <c r="C251" s="1" t="n">
        <v>45638</v>
      </c>
      <c r="D251" t="inlineStr">
        <is>
          <t>DALARNAS LÄN</t>
        </is>
      </c>
      <c r="E251" t="inlineStr">
        <is>
          <t>MALUNG-SÄLEN</t>
        </is>
      </c>
      <c r="G251" t="n">
        <v>5.8</v>
      </c>
      <c r="H251" t="n">
        <v>0</v>
      </c>
      <c r="I251" t="n">
        <v>0</v>
      </c>
      <c r="J251" t="n">
        <v>0</v>
      </c>
      <c r="K251" t="n">
        <v>0</v>
      </c>
      <c r="L251" t="n">
        <v>0</v>
      </c>
      <c r="M251" t="n">
        <v>0</v>
      </c>
      <c r="N251" t="n">
        <v>0</v>
      </c>
      <c r="O251" t="n">
        <v>0</v>
      </c>
      <c r="P251" t="n">
        <v>0</v>
      </c>
      <c r="Q251" t="n">
        <v>0</v>
      </c>
      <c r="R251" s="2" t="inlineStr"/>
    </row>
    <row r="252" ht="15" customHeight="1">
      <c r="A252" t="inlineStr">
        <is>
          <t>A 1286-2021</t>
        </is>
      </c>
      <c r="B252" s="1" t="n">
        <v>44208</v>
      </c>
      <c r="C252" s="1" t="n">
        <v>45638</v>
      </c>
      <c r="D252" t="inlineStr">
        <is>
          <t>DALARNAS LÄN</t>
        </is>
      </c>
      <c r="E252" t="inlineStr">
        <is>
          <t>MALUNG-SÄLEN</t>
        </is>
      </c>
      <c r="G252" t="n">
        <v>7.7</v>
      </c>
      <c r="H252" t="n">
        <v>0</v>
      </c>
      <c r="I252" t="n">
        <v>0</v>
      </c>
      <c r="J252" t="n">
        <v>0</v>
      </c>
      <c r="K252" t="n">
        <v>0</v>
      </c>
      <c r="L252" t="n">
        <v>0</v>
      </c>
      <c r="M252" t="n">
        <v>0</v>
      </c>
      <c r="N252" t="n">
        <v>0</v>
      </c>
      <c r="O252" t="n">
        <v>0</v>
      </c>
      <c r="P252" t="n">
        <v>0</v>
      </c>
      <c r="Q252" t="n">
        <v>0</v>
      </c>
      <c r="R252" s="2" t="inlineStr"/>
    </row>
    <row r="253" ht="15" customHeight="1">
      <c r="A253" t="inlineStr">
        <is>
          <t>A 1837-2021</t>
        </is>
      </c>
      <c r="B253" s="1" t="n">
        <v>44210</v>
      </c>
      <c r="C253" s="1" t="n">
        <v>45638</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2208-2021</t>
        </is>
      </c>
      <c r="B254" s="1" t="n">
        <v>44211</v>
      </c>
      <c r="C254" s="1" t="n">
        <v>45638</v>
      </c>
      <c r="D254" t="inlineStr">
        <is>
          <t>DALARNAS LÄN</t>
        </is>
      </c>
      <c r="E254" t="inlineStr">
        <is>
          <t>MALUNG-SÄLEN</t>
        </is>
      </c>
      <c r="G254" t="n">
        <v>1.7</v>
      </c>
      <c r="H254" t="n">
        <v>0</v>
      </c>
      <c r="I254" t="n">
        <v>0</v>
      </c>
      <c r="J254" t="n">
        <v>0</v>
      </c>
      <c r="K254" t="n">
        <v>0</v>
      </c>
      <c r="L254" t="n">
        <v>0</v>
      </c>
      <c r="M254" t="n">
        <v>0</v>
      </c>
      <c r="N254" t="n">
        <v>0</v>
      </c>
      <c r="O254" t="n">
        <v>0</v>
      </c>
      <c r="P254" t="n">
        <v>0</v>
      </c>
      <c r="Q254" t="n">
        <v>0</v>
      </c>
      <c r="R254" s="2" t="inlineStr"/>
    </row>
    <row r="255" ht="15" customHeight="1">
      <c r="A255" t="inlineStr">
        <is>
          <t>A 2390-2021</t>
        </is>
      </c>
      <c r="B255" s="1" t="n">
        <v>44214</v>
      </c>
      <c r="C255" s="1" t="n">
        <v>45638</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2406-2021</t>
        </is>
      </c>
      <c r="B256" s="1" t="n">
        <v>44214</v>
      </c>
      <c r="C256" s="1" t="n">
        <v>45638</v>
      </c>
      <c r="D256" t="inlineStr">
        <is>
          <t>DALARNAS LÄN</t>
        </is>
      </c>
      <c r="E256" t="inlineStr">
        <is>
          <t>MALUNG-SÄLEN</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2391-2021</t>
        </is>
      </c>
      <c r="B257" s="1" t="n">
        <v>44214</v>
      </c>
      <c r="C257" s="1" t="n">
        <v>45638</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3132-2021</t>
        </is>
      </c>
      <c r="B258" s="1" t="n">
        <v>44217</v>
      </c>
      <c r="C258" s="1" t="n">
        <v>45638</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3941-2021</t>
        </is>
      </c>
      <c r="B259" s="1" t="n">
        <v>44222</v>
      </c>
      <c r="C259" s="1" t="n">
        <v>45638</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4030-2021</t>
        </is>
      </c>
      <c r="B260" s="1" t="n">
        <v>44222</v>
      </c>
      <c r="C260" s="1" t="n">
        <v>45638</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4525-2021</t>
        </is>
      </c>
      <c r="B261" s="1" t="n">
        <v>44224</v>
      </c>
      <c r="C261" s="1" t="n">
        <v>45638</v>
      </c>
      <c r="D261" t="inlineStr">
        <is>
          <t>DALARNAS LÄN</t>
        </is>
      </c>
      <c r="E261" t="inlineStr">
        <is>
          <t>MALUNG-SÄLEN</t>
        </is>
      </c>
      <c r="G261" t="n">
        <v>5.3</v>
      </c>
      <c r="H261" t="n">
        <v>0</v>
      </c>
      <c r="I261" t="n">
        <v>0</v>
      </c>
      <c r="J261" t="n">
        <v>0</v>
      </c>
      <c r="K261" t="n">
        <v>0</v>
      </c>
      <c r="L261" t="n">
        <v>0</v>
      </c>
      <c r="M261" t="n">
        <v>0</v>
      </c>
      <c r="N261" t="n">
        <v>0</v>
      </c>
      <c r="O261" t="n">
        <v>0</v>
      </c>
      <c r="P261" t="n">
        <v>0</v>
      </c>
      <c r="Q261" t="n">
        <v>0</v>
      </c>
      <c r="R261" s="2" t="inlineStr"/>
    </row>
    <row r="262" ht="15" customHeight="1">
      <c r="A262" t="inlineStr">
        <is>
          <t>A 5215-2021</t>
        </is>
      </c>
      <c r="B262" s="1" t="n">
        <v>44229</v>
      </c>
      <c r="C262" s="1" t="n">
        <v>45638</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6254-2021</t>
        </is>
      </c>
      <c r="B263" s="1" t="n">
        <v>44235</v>
      </c>
      <c r="C263" s="1" t="n">
        <v>45638</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7859-2021</t>
        </is>
      </c>
      <c r="B264" s="1" t="n">
        <v>44242</v>
      </c>
      <c r="C264" s="1" t="n">
        <v>45638</v>
      </c>
      <c r="D264" t="inlineStr">
        <is>
          <t>DALARNAS LÄN</t>
        </is>
      </c>
      <c r="E264" t="inlineStr">
        <is>
          <t>MALUNG-SÄLEN</t>
        </is>
      </c>
      <c r="G264" t="n">
        <v>2</v>
      </c>
      <c r="H264" t="n">
        <v>0</v>
      </c>
      <c r="I264" t="n">
        <v>0</v>
      </c>
      <c r="J264" t="n">
        <v>0</v>
      </c>
      <c r="K264" t="n">
        <v>0</v>
      </c>
      <c r="L264" t="n">
        <v>0</v>
      </c>
      <c r="M264" t="n">
        <v>0</v>
      </c>
      <c r="N264" t="n">
        <v>0</v>
      </c>
      <c r="O264" t="n">
        <v>0</v>
      </c>
      <c r="P264" t="n">
        <v>0</v>
      </c>
      <c r="Q264" t="n">
        <v>0</v>
      </c>
      <c r="R264" s="2" t="inlineStr"/>
    </row>
    <row r="265" ht="15" customHeight="1">
      <c r="A265" t="inlineStr">
        <is>
          <t>A 12376-2021</t>
        </is>
      </c>
      <c r="B265" s="1" t="n">
        <v>44267</v>
      </c>
      <c r="C265" s="1" t="n">
        <v>45638</v>
      </c>
      <c r="D265" t="inlineStr">
        <is>
          <t>DALARNAS LÄN</t>
        </is>
      </c>
      <c r="E265" t="inlineStr">
        <is>
          <t>MALUNG-SÄLEN</t>
        </is>
      </c>
      <c r="G265" t="n">
        <v>0.7</v>
      </c>
      <c r="H265" t="n">
        <v>0</v>
      </c>
      <c r="I265" t="n">
        <v>0</v>
      </c>
      <c r="J265" t="n">
        <v>0</v>
      </c>
      <c r="K265" t="n">
        <v>0</v>
      </c>
      <c r="L265" t="n">
        <v>0</v>
      </c>
      <c r="M265" t="n">
        <v>0</v>
      </c>
      <c r="N265" t="n">
        <v>0</v>
      </c>
      <c r="O265" t="n">
        <v>0</v>
      </c>
      <c r="P265" t="n">
        <v>0</v>
      </c>
      <c r="Q265" t="n">
        <v>0</v>
      </c>
      <c r="R265" s="2" t="inlineStr"/>
    </row>
    <row r="266" ht="15" customHeight="1">
      <c r="A266" t="inlineStr">
        <is>
          <t>A 12375-2021</t>
        </is>
      </c>
      <c r="B266" s="1" t="n">
        <v>44267</v>
      </c>
      <c r="C266" s="1" t="n">
        <v>45638</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12985-2021</t>
        </is>
      </c>
      <c r="B267" s="1" t="n">
        <v>44271</v>
      </c>
      <c r="C267" s="1" t="n">
        <v>45638</v>
      </c>
      <c r="D267" t="inlineStr">
        <is>
          <t>DALARNAS LÄN</t>
        </is>
      </c>
      <c r="E267" t="inlineStr">
        <is>
          <t>MALUNG-SÄLEN</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13934-2021</t>
        </is>
      </c>
      <c r="B268" s="1" t="n">
        <v>44277</v>
      </c>
      <c r="C268" s="1" t="n">
        <v>45638</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14035-2021</t>
        </is>
      </c>
      <c r="B269" s="1" t="n">
        <v>44277</v>
      </c>
      <c r="C269" s="1" t="n">
        <v>45638</v>
      </c>
      <c r="D269" t="inlineStr">
        <is>
          <t>DALARNAS LÄN</t>
        </is>
      </c>
      <c r="E269" t="inlineStr">
        <is>
          <t>MALUNG-SÄLEN</t>
        </is>
      </c>
      <c r="G269" t="n">
        <v>6.9</v>
      </c>
      <c r="H269" t="n">
        <v>0</v>
      </c>
      <c r="I269" t="n">
        <v>0</v>
      </c>
      <c r="J269" t="n">
        <v>0</v>
      </c>
      <c r="K269" t="n">
        <v>0</v>
      </c>
      <c r="L269" t="n">
        <v>0</v>
      </c>
      <c r="M269" t="n">
        <v>0</v>
      </c>
      <c r="N269" t="n">
        <v>0</v>
      </c>
      <c r="O269" t="n">
        <v>0</v>
      </c>
      <c r="P269" t="n">
        <v>0</v>
      </c>
      <c r="Q269" t="n">
        <v>0</v>
      </c>
      <c r="R269" s="2" t="inlineStr"/>
    </row>
    <row r="270" ht="15" customHeight="1">
      <c r="A270" t="inlineStr">
        <is>
          <t>A 15734-2021</t>
        </is>
      </c>
      <c r="B270" s="1" t="n">
        <v>44286</v>
      </c>
      <c r="C270" s="1" t="n">
        <v>45638</v>
      </c>
      <c r="D270" t="inlineStr">
        <is>
          <t>DALARNAS LÄN</t>
        </is>
      </c>
      <c r="E270" t="inlineStr">
        <is>
          <t>MALUNG-SÄLEN</t>
        </is>
      </c>
      <c r="G270" t="n">
        <v>5.2</v>
      </c>
      <c r="H270" t="n">
        <v>0</v>
      </c>
      <c r="I270" t="n">
        <v>0</v>
      </c>
      <c r="J270" t="n">
        <v>0</v>
      </c>
      <c r="K270" t="n">
        <v>0</v>
      </c>
      <c r="L270" t="n">
        <v>0</v>
      </c>
      <c r="M270" t="n">
        <v>0</v>
      </c>
      <c r="N270" t="n">
        <v>0</v>
      </c>
      <c r="O270" t="n">
        <v>0</v>
      </c>
      <c r="P270" t="n">
        <v>0</v>
      </c>
      <c r="Q270" t="n">
        <v>0</v>
      </c>
      <c r="R270" s="2" t="inlineStr"/>
    </row>
    <row r="271" ht="15" customHeight="1">
      <c r="A271" t="inlineStr">
        <is>
          <t>A 17502-2021</t>
        </is>
      </c>
      <c r="B271" s="1" t="n">
        <v>44299</v>
      </c>
      <c r="C271" s="1" t="n">
        <v>45638</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17763-2021</t>
        </is>
      </c>
      <c r="B272" s="1" t="n">
        <v>44300</v>
      </c>
      <c r="C272" s="1" t="n">
        <v>45638</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18637-2021</t>
        </is>
      </c>
      <c r="B273" s="1" t="n">
        <v>44306</v>
      </c>
      <c r="C273" s="1" t="n">
        <v>45638</v>
      </c>
      <c r="D273" t="inlineStr">
        <is>
          <t>DALARNAS LÄN</t>
        </is>
      </c>
      <c r="E273" t="inlineStr">
        <is>
          <t>MALUNG-SÄLEN</t>
        </is>
      </c>
      <c r="G273" t="n">
        <v>1.9</v>
      </c>
      <c r="H273" t="n">
        <v>0</v>
      </c>
      <c r="I273" t="n">
        <v>0</v>
      </c>
      <c r="J273" t="n">
        <v>0</v>
      </c>
      <c r="K273" t="n">
        <v>0</v>
      </c>
      <c r="L273" t="n">
        <v>0</v>
      </c>
      <c r="M273" t="n">
        <v>0</v>
      </c>
      <c r="N273" t="n">
        <v>0</v>
      </c>
      <c r="O273" t="n">
        <v>0</v>
      </c>
      <c r="P273" t="n">
        <v>0</v>
      </c>
      <c r="Q273" t="n">
        <v>0</v>
      </c>
      <c r="R273" s="2" t="inlineStr"/>
    </row>
    <row r="274" ht="15" customHeight="1">
      <c r="A274" t="inlineStr">
        <is>
          <t>A 19768-2021</t>
        </is>
      </c>
      <c r="B274" s="1" t="n">
        <v>44312</v>
      </c>
      <c r="C274" s="1" t="n">
        <v>45638</v>
      </c>
      <c r="D274" t="inlineStr">
        <is>
          <t>DALARNAS LÄN</t>
        </is>
      </c>
      <c r="E274" t="inlineStr">
        <is>
          <t>MALUNG-SÄLEN</t>
        </is>
      </c>
      <c r="G274" t="n">
        <v>0.2</v>
      </c>
      <c r="H274" t="n">
        <v>0</v>
      </c>
      <c r="I274" t="n">
        <v>0</v>
      </c>
      <c r="J274" t="n">
        <v>0</v>
      </c>
      <c r="K274" t="n">
        <v>0</v>
      </c>
      <c r="L274" t="n">
        <v>0</v>
      </c>
      <c r="M274" t="n">
        <v>0</v>
      </c>
      <c r="N274" t="n">
        <v>0</v>
      </c>
      <c r="O274" t="n">
        <v>0</v>
      </c>
      <c r="P274" t="n">
        <v>0</v>
      </c>
      <c r="Q274" t="n">
        <v>0</v>
      </c>
      <c r="R274" s="2" t="inlineStr"/>
    </row>
    <row r="275" ht="15" customHeight="1">
      <c r="A275" t="inlineStr">
        <is>
          <t>A 19764-2021</t>
        </is>
      </c>
      <c r="B275" s="1" t="n">
        <v>44313</v>
      </c>
      <c r="C275" s="1" t="n">
        <v>45638</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19944-2021</t>
        </is>
      </c>
      <c r="B276" s="1" t="n">
        <v>44313</v>
      </c>
      <c r="C276" s="1" t="n">
        <v>45638</v>
      </c>
      <c r="D276" t="inlineStr">
        <is>
          <t>DALARNAS LÄN</t>
        </is>
      </c>
      <c r="E276" t="inlineStr">
        <is>
          <t>MALUNG-SÄLEN</t>
        </is>
      </c>
      <c r="G276" t="n">
        <v>10.7</v>
      </c>
      <c r="H276" t="n">
        <v>0</v>
      </c>
      <c r="I276" t="n">
        <v>0</v>
      </c>
      <c r="J276" t="n">
        <v>0</v>
      </c>
      <c r="K276" t="n">
        <v>0</v>
      </c>
      <c r="L276" t="n">
        <v>0</v>
      </c>
      <c r="M276" t="n">
        <v>0</v>
      </c>
      <c r="N276" t="n">
        <v>0</v>
      </c>
      <c r="O276" t="n">
        <v>0</v>
      </c>
      <c r="P276" t="n">
        <v>0</v>
      </c>
      <c r="Q276" t="n">
        <v>0</v>
      </c>
      <c r="R276" s="2" t="inlineStr"/>
    </row>
    <row r="277" ht="15" customHeight="1">
      <c r="A277" t="inlineStr">
        <is>
          <t>A 19924-2021</t>
        </is>
      </c>
      <c r="B277" s="1" t="n">
        <v>44313</v>
      </c>
      <c r="C277" s="1" t="n">
        <v>45638</v>
      </c>
      <c r="D277" t="inlineStr">
        <is>
          <t>DALARNAS LÄN</t>
        </is>
      </c>
      <c r="E277" t="inlineStr">
        <is>
          <t>MALUNG-SÄLEN</t>
        </is>
      </c>
      <c r="G277" t="n">
        <v>17.3</v>
      </c>
      <c r="H277" t="n">
        <v>0</v>
      </c>
      <c r="I277" t="n">
        <v>0</v>
      </c>
      <c r="J277" t="n">
        <v>0</v>
      </c>
      <c r="K277" t="n">
        <v>0</v>
      </c>
      <c r="L277" t="n">
        <v>0</v>
      </c>
      <c r="M277" t="n">
        <v>0</v>
      </c>
      <c r="N277" t="n">
        <v>0</v>
      </c>
      <c r="O277" t="n">
        <v>0</v>
      </c>
      <c r="P277" t="n">
        <v>0</v>
      </c>
      <c r="Q277" t="n">
        <v>0</v>
      </c>
      <c r="R277" s="2" t="inlineStr"/>
    </row>
    <row r="278" ht="15" customHeight="1">
      <c r="A278" t="inlineStr">
        <is>
          <t>A 20228-2021</t>
        </is>
      </c>
      <c r="B278" s="1" t="n">
        <v>44314</v>
      </c>
      <c r="C278" s="1" t="n">
        <v>45638</v>
      </c>
      <c r="D278" t="inlineStr">
        <is>
          <t>DALARNAS LÄN</t>
        </is>
      </c>
      <c r="E278" t="inlineStr">
        <is>
          <t>MALUNG-SÄLEN</t>
        </is>
      </c>
      <c r="G278" t="n">
        <v>2</v>
      </c>
      <c r="H278" t="n">
        <v>0</v>
      </c>
      <c r="I278" t="n">
        <v>0</v>
      </c>
      <c r="J278" t="n">
        <v>0</v>
      </c>
      <c r="K278" t="n">
        <v>0</v>
      </c>
      <c r="L278" t="n">
        <v>0</v>
      </c>
      <c r="M278" t="n">
        <v>0</v>
      </c>
      <c r="N278" t="n">
        <v>0</v>
      </c>
      <c r="O278" t="n">
        <v>0</v>
      </c>
      <c r="P278" t="n">
        <v>0</v>
      </c>
      <c r="Q278" t="n">
        <v>0</v>
      </c>
      <c r="R278" s="2" t="inlineStr"/>
    </row>
    <row r="279" ht="15" customHeight="1">
      <c r="A279" t="inlineStr">
        <is>
          <t>A 20427-2021</t>
        </is>
      </c>
      <c r="B279" s="1" t="n">
        <v>44315</v>
      </c>
      <c r="C279" s="1" t="n">
        <v>45638</v>
      </c>
      <c r="D279" t="inlineStr">
        <is>
          <t>DALARNAS LÄN</t>
        </is>
      </c>
      <c r="E279" t="inlineStr">
        <is>
          <t>MALUNG-SÄLEN</t>
        </is>
      </c>
      <c r="F279" t="inlineStr">
        <is>
          <t>Bergvik skog väst AB</t>
        </is>
      </c>
      <c r="G279" t="n">
        <v>13.1</v>
      </c>
      <c r="H279" t="n">
        <v>0</v>
      </c>
      <c r="I279" t="n">
        <v>0</v>
      </c>
      <c r="J279" t="n">
        <v>0</v>
      </c>
      <c r="K279" t="n">
        <v>0</v>
      </c>
      <c r="L279" t="n">
        <v>0</v>
      </c>
      <c r="M279" t="n">
        <v>0</v>
      </c>
      <c r="N279" t="n">
        <v>0</v>
      </c>
      <c r="O279" t="n">
        <v>0</v>
      </c>
      <c r="P279" t="n">
        <v>0</v>
      </c>
      <c r="Q279" t="n">
        <v>0</v>
      </c>
      <c r="R279" s="2" t="inlineStr"/>
    </row>
    <row r="280" ht="15" customHeight="1">
      <c r="A280" t="inlineStr">
        <is>
          <t>A 21011-2021</t>
        </is>
      </c>
      <c r="B280" s="1" t="n">
        <v>44319</v>
      </c>
      <c r="C280" s="1" t="n">
        <v>45638</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21018-2021</t>
        </is>
      </c>
      <c r="B281" s="1" t="n">
        <v>44319</v>
      </c>
      <c r="C281" s="1" t="n">
        <v>45638</v>
      </c>
      <c r="D281" t="inlineStr">
        <is>
          <t>DALARNAS LÄN</t>
        </is>
      </c>
      <c r="E281" t="inlineStr">
        <is>
          <t>MALUNG-SÄLEN</t>
        </is>
      </c>
      <c r="G281" t="n">
        <v>1.4</v>
      </c>
      <c r="H281" t="n">
        <v>0</v>
      </c>
      <c r="I281" t="n">
        <v>0</v>
      </c>
      <c r="J281" t="n">
        <v>0</v>
      </c>
      <c r="K281" t="n">
        <v>0</v>
      </c>
      <c r="L281" t="n">
        <v>0</v>
      </c>
      <c r="M281" t="n">
        <v>0</v>
      </c>
      <c r="N281" t="n">
        <v>0</v>
      </c>
      <c r="O281" t="n">
        <v>0</v>
      </c>
      <c r="P281" t="n">
        <v>0</v>
      </c>
      <c r="Q281" t="n">
        <v>0</v>
      </c>
      <c r="R281" s="2" t="inlineStr"/>
    </row>
    <row r="282" ht="15" customHeight="1">
      <c r="A282" t="inlineStr">
        <is>
          <t>A 21368-2021</t>
        </is>
      </c>
      <c r="B282" s="1" t="n">
        <v>44321</v>
      </c>
      <c r="C282" s="1" t="n">
        <v>45638</v>
      </c>
      <c r="D282" t="inlineStr">
        <is>
          <t>DALARNAS LÄN</t>
        </is>
      </c>
      <c r="E282" t="inlineStr">
        <is>
          <t>MALUNG-SÄLEN</t>
        </is>
      </c>
      <c r="G282" t="n">
        <v>6.2</v>
      </c>
      <c r="H282" t="n">
        <v>0</v>
      </c>
      <c r="I282" t="n">
        <v>0</v>
      </c>
      <c r="J282" t="n">
        <v>0</v>
      </c>
      <c r="K282" t="n">
        <v>0</v>
      </c>
      <c r="L282" t="n">
        <v>0</v>
      </c>
      <c r="M282" t="n">
        <v>0</v>
      </c>
      <c r="N282" t="n">
        <v>0</v>
      </c>
      <c r="O282" t="n">
        <v>0</v>
      </c>
      <c r="P282" t="n">
        <v>0</v>
      </c>
      <c r="Q282" t="n">
        <v>0</v>
      </c>
      <c r="R282" s="2" t="inlineStr"/>
    </row>
    <row r="283" ht="15" customHeight="1">
      <c r="A283" t="inlineStr">
        <is>
          <t>A 21566-2021</t>
        </is>
      </c>
      <c r="B283" s="1" t="n">
        <v>44321</v>
      </c>
      <c r="C283" s="1" t="n">
        <v>45638</v>
      </c>
      <c r="D283" t="inlineStr">
        <is>
          <t>DALARNAS LÄN</t>
        </is>
      </c>
      <c r="E283" t="inlineStr">
        <is>
          <t>MALUNG-SÄLEN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22455-2021</t>
        </is>
      </c>
      <c r="B284" s="1" t="n">
        <v>44321</v>
      </c>
      <c r="C284" s="1" t="n">
        <v>45638</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22721-2021</t>
        </is>
      </c>
      <c r="B285" s="1" t="n">
        <v>44325</v>
      </c>
      <c r="C285" s="1" t="n">
        <v>45638</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22329-2021</t>
        </is>
      </c>
      <c r="B286" s="1" t="n">
        <v>44326</v>
      </c>
      <c r="C286" s="1" t="n">
        <v>45638</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22258-2021</t>
        </is>
      </c>
      <c r="B287" s="1" t="n">
        <v>44326</v>
      </c>
      <c r="C287" s="1" t="n">
        <v>45638</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22855-2021</t>
        </is>
      </c>
      <c r="B288" s="1" t="n">
        <v>44328</v>
      </c>
      <c r="C288" s="1" t="n">
        <v>45638</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23161-2021</t>
        </is>
      </c>
      <c r="B289" s="1" t="n">
        <v>44332</v>
      </c>
      <c r="C289" s="1" t="n">
        <v>45638</v>
      </c>
      <c r="D289" t="inlineStr">
        <is>
          <t>DALARNAS LÄN</t>
        </is>
      </c>
      <c r="E289" t="inlineStr">
        <is>
          <t>MALUNG-SÄLEN</t>
        </is>
      </c>
      <c r="G289" t="n">
        <v>1.6</v>
      </c>
      <c r="H289" t="n">
        <v>0</v>
      </c>
      <c r="I289" t="n">
        <v>0</v>
      </c>
      <c r="J289" t="n">
        <v>0</v>
      </c>
      <c r="K289" t="n">
        <v>0</v>
      </c>
      <c r="L289" t="n">
        <v>0</v>
      </c>
      <c r="M289" t="n">
        <v>0</v>
      </c>
      <c r="N289" t="n">
        <v>0</v>
      </c>
      <c r="O289" t="n">
        <v>0</v>
      </c>
      <c r="P289" t="n">
        <v>0</v>
      </c>
      <c r="Q289" t="n">
        <v>0</v>
      </c>
      <c r="R289" s="2" t="inlineStr"/>
    </row>
    <row r="290" ht="15" customHeight="1">
      <c r="A290" t="inlineStr">
        <is>
          <t>A 23162-2021</t>
        </is>
      </c>
      <c r="B290" s="1" t="n">
        <v>44332</v>
      </c>
      <c r="C290" s="1" t="n">
        <v>45638</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23281-2021</t>
        </is>
      </c>
      <c r="B291" s="1" t="n">
        <v>44333</v>
      </c>
      <c r="C291" s="1" t="n">
        <v>45638</v>
      </c>
      <c r="D291" t="inlineStr">
        <is>
          <t>DALARNAS LÄN</t>
        </is>
      </c>
      <c r="E291" t="inlineStr">
        <is>
          <t>MALUNG-SÄLEN</t>
        </is>
      </c>
      <c r="G291" t="n">
        <v>2.9</v>
      </c>
      <c r="H291" t="n">
        <v>0</v>
      </c>
      <c r="I291" t="n">
        <v>0</v>
      </c>
      <c r="J291" t="n">
        <v>0</v>
      </c>
      <c r="K291" t="n">
        <v>0</v>
      </c>
      <c r="L291" t="n">
        <v>0</v>
      </c>
      <c r="M291" t="n">
        <v>0</v>
      </c>
      <c r="N291" t="n">
        <v>0</v>
      </c>
      <c r="O291" t="n">
        <v>0</v>
      </c>
      <c r="P291" t="n">
        <v>0</v>
      </c>
      <c r="Q291" t="n">
        <v>0</v>
      </c>
      <c r="R291" s="2" t="inlineStr"/>
    </row>
    <row r="292" ht="15" customHeight="1">
      <c r="A292" t="inlineStr">
        <is>
          <t>A 23953-2021</t>
        </is>
      </c>
      <c r="B292" s="1" t="n">
        <v>44335</v>
      </c>
      <c r="C292" s="1" t="n">
        <v>45638</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25285-2021</t>
        </is>
      </c>
      <c r="B293" s="1" t="n">
        <v>44342</v>
      </c>
      <c r="C293" s="1" t="n">
        <v>45638</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26341-2021</t>
        </is>
      </c>
      <c r="B294" s="1" t="n">
        <v>44347</v>
      </c>
      <c r="C294" s="1" t="n">
        <v>45638</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26568-2021</t>
        </is>
      </c>
      <c r="B295" s="1" t="n">
        <v>44348</v>
      </c>
      <c r="C295" s="1" t="n">
        <v>45638</v>
      </c>
      <c r="D295" t="inlineStr">
        <is>
          <t>DALARNAS LÄN</t>
        </is>
      </c>
      <c r="E295" t="inlineStr">
        <is>
          <t>MALUNG-SÄLEN</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26693-2021</t>
        </is>
      </c>
      <c r="B296" s="1" t="n">
        <v>44349</v>
      </c>
      <c r="C296" s="1" t="n">
        <v>45638</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27047-2021</t>
        </is>
      </c>
      <c r="B297" s="1" t="n">
        <v>44350</v>
      </c>
      <c r="C297" s="1" t="n">
        <v>45638</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27470-2021</t>
        </is>
      </c>
      <c r="B298" s="1" t="n">
        <v>44351</v>
      </c>
      <c r="C298" s="1" t="n">
        <v>45638</v>
      </c>
      <c r="D298" t="inlineStr">
        <is>
          <t>DALARNAS LÄN</t>
        </is>
      </c>
      <c r="E298" t="inlineStr">
        <is>
          <t>MALUNG-SÄLEN</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27302-2021</t>
        </is>
      </c>
      <c r="B299" s="1" t="n">
        <v>44351</v>
      </c>
      <c r="C299" s="1" t="n">
        <v>45638</v>
      </c>
      <c r="D299" t="inlineStr">
        <is>
          <t>DALARNAS LÄN</t>
        </is>
      </c>
      <c r="E299" t="inlineStr">
        <is>
          <t>MALUNG-SÄLEN</t>
        </is>
      </c>
      <c r="F299" t="inlineStr">
        <is>
          <t>Allmännings- och besparingsskogar</t>
        </is>
      </c>
      <c r="G299" t="n">
        <v>5.7</v>
      </c>
      <c r="H299" t="n">
        <v>0</v>
      </c>
      <c r="I299" t="n">
        <v>0</v>
      </c>
      <c r="J299" t="n">
        <v>0</v>
      </c>
      <c r="K299" t="n">
        <v>0</v>
      </c>
      <c r="L299" t="n">
        <v>0</v>
      </c>
      <c r="M299" t="n">
        <v>0</v>
      </c>
      <c r="N299" t="n">
        <v>0</v>
      </c>
      <c r="O299" t="n">
        <v>0</v>
      </c>
      <c r="P299" t="n">
        <v>0</v>
      </c>
      <c r="Q299" t="n">
        <v>0</v>
      </c>
      <c r="R299" s="2" t="inlineStr"/>
    </row>
    <row r="300" ht="15" customHeight="1">
      <c r="A300" t="inlineStr">
        <is>
          <t>A 27466-2021</t>
        </is>
      </c>
      <c r="B300" s="1" t="n">
        <v>44351</v>
      </c>
      <c r="C300" s="1" t="n">
        <v>45638</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27656-2021</t>
        </is>
      </c>
      <c r="B301" s="1" t="n">
        <v>44354</v>
      </c>
      <c r="C301" s="1" t="n">
        <v>45638</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28204-2021</t>
        </is>
      </c>
      <c r="B302" s="1" t="n">
        <v>44355</v>
      </c>
      <c r="C302" s="1" t="n">
        <v>45638</v>
      </c>
      <c r="D302" t="inlineStr">
        <is>
          <t>DALARNAS LÄN</t>
        </is>
      </c>
      <c r="E302" t="inlineStr">
        <is>
          <t>MALUNG-SÄLEN</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28396-2021</t>
        </is>
      </c>
      <c r="B303" s="1" t="n">
        <v>44356</v>
      </c>
      <c r="C303" s="1" t="n">
        <v>45638</v>
      </c>
      <c r="D303" t="inlineStr">
        <is>
          <t>DALARNAS LÄN</t>
        </is>
      </c>
      <c r="E303" t="inlineStr">
        <is>
          <t>MALUNG-SÄLEN</t>
        </is>
      </c>
      <c r="G303" t="n">
        <v>0.6</v>
      </c>
      <c r="H303" t="n">
        <v>0</v>
      </c>
      <c r="I303" t="n">
        <v>0</v>
      </c>
      <c r="J303" t="n">
        <v>0</v>
      </c>
      <c r="K303" t="n">
        <v>0</v>
      </c>
      <c r="L303" t="n">
        <v>0</v>
      </c>
      <c r="M303" t="n">
        <v>0</v>
      </c>
      <c r="N303" t="n">
        <v>0</v>
      </c>
      <c r="O303" t="n">
        <v>0</v>
      </c>
      <c r="P303" t="n">
        <v>0</v>
      </c>
      <c r="Q303" t="n">
        <v>0</v>
      </c>
      <c r="R303" s="2" t="inlineStr"/>
    </row>
    <row r="304" ht="15" customHeight="1">
      <c r="A304" t="inlineStr">
        <is>
          <t>A 28415-2021</t>
        </is>
      </c>
      <c r="B304" s="1" t="n">
        <v>44356</v>
      </c>
      <c r="C304" s="1" t="n">
        <v>45638</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30006-2021</t>
        </is>
      </c>
      <c r="B305" s="1" t="n">
        <v>44363</v>
      </c>
      <c r="C305" s="1" t="n">
        <v>45638</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30140-2021</t>
        </is>
      </c>
      <c r="B306" s="1" t="n">
        <v>44363</v>
      </c>
      <c r="C306" s="1" t="n">
        <v>45638</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30079-2021</t>
        </is>
      </c>
      <c r="B307" s="1" t="n">
        <v>44363</v>
      </c>
      <c r="C307" s="1" t="n">
        <v>45638</v>
      </c>
      <c r="D307" t="inlineStr">
        <is>
          <t>DALARNAS LÄN</t>
        </is>
      </c>
      <c r="E307" t="inlineStr">
        <is>
          <t>MALUNG-SÄLEN</t>
        </is>
      </c>
      <c r="G307" t="n">
        <v>4.9</v>
      </c>
      <c r="H307" t="n">
        <v>0</v>
      </c>
      <c r="I307" t="n">
        <v>0</v>
      </c>
      <c r="J307" t="n">
        <v>0</v>
      </c>
      <c r="K307" t="n">
        <v>0</v>
      </c>
      <c r="L307" t="n">
        <v>0</v>
      </c>
      <c r="M307" t="n">
        <v>0</v>
      </c>
      <c r="N307" t="n">
        <v>0</v>
      </c>
      <c r="O307" t="n">
        <v>0</v>
      </c>
      <c r="P307" t="n">
        <v>0</v>
      </c>
      <c r="Q307" t="n">
        <v>0</v>
      </c>
      <c r="R307" s="2" t="inlineStr"/>
    </row>
    <row r="308" ht="15" customHeight="1">
      <c r="A308" t="inlineStr">
        <is>
          <t>A 30405-2021</t>
        </is>
      </c>
      <c r="B308" s="1" t="n">
        <v>44364</v>
      </c>
      <c r="C308" s="1" t="n">
        <v>45638</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32548-2021</t>
        </is>
      </c>
      <c r="B309" s="1" t="n">
        <v>44375</v>
      </c>
      <c r="C309" s="1" t="n">
        <v>45638</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32869-2021</t>
        </is>
      </c>
      <c r="B310" s="1" t="n">
        <v>44375</v>
      </c>
      <c r="C310" s="1" t="n">
        <v>45638</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32863-2021</t>
        </is>
      </c>
      <c r="B311" s="1" t="n">
        <v>44375</v>
      </c>
      <c r="C311" s="1" t="n">
        <v>45638</v>
      </c>
      <c r="D311" t="inlineStr">
        <is>
          <t>DALARNAS LÄN</t>
        </is>
      </c>
      <c r="E311" t="inlineStr">
        <is>
          <t>MALUNG-SÄLEN</t>
        </is>
      </c>
      <c r="G311" t="n">
        <v>3.5</v>
      </c>
      <c r="H311" t="n">
        <v>0</v>
      </c>
      <c r="I311" t="n">
        <v>0</v>
      </c>
      <c r="J311" t="n">
        <v>0</v>
      </c>
      <c r="K311" t="n">
        <v>0</v>
      </c>
      <c r="L311" t="n">
        <v>0</v>
      </c>
      <c r="M311" t="n">
        <v>0</v>
      </c>
      <c r="N311" t="n">
        <v>0</v>
      </c>
      <c r="O311" t="n">
        <v>0</v>
      </c>
      <c r="P311" t="n">
        <v>0</v>
      </c>
      <c r="Q311" t="n">
        <v>0</v>
      </c>
      <c r="R311" s="2" t="inlineStr"/>
    </row>
    <row r="312" ht="15" customHeight="1">
      <c r="A312" t="inlineStr">
        <is>
          <t>A 34091-2021</t>
        </is>
      </c>
      <c r="B312" s="1" t="n">
        <v>44379</v>
      </c>
      <c r="C312" s="1" t="n">
        <v>45638</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35217-2021</t>
        </is>
      </c>
      <c r="B313" s="1" t="n">
        <v>44384</v>
      </c>
      <c r="C313" s="1" t="n">
        <v>45638</v>
      </c>
      <c r="D313" t="inlineStr">
        <is>
          <t>DALARNAS LÄN</t>
        </is>
      </c>
      <c r="E313" t="inlineStr">
        <is>
          <t>MALUNG-SÄLEN</t>
        </is>
      </c>
      <c r="G313" t="n">
        <v>0.8</v>
      </c>
      <c r="H313" t="n">
        <v>0</v>
      </c>
      <c r="I313" t="n">
        <v>0</v>
      </c>
      <c r="J313" t="n">
        <v>0</v>
      </c>
      <c r="K313" t="n">
        <v>0</v>
      </c>
      <c r="L313" t="n">
        <v>0</v>
      </c>
      <c r="M313" t="n">
        <v>0</v>
      </c>
      <c r="N313" t="n">
        <v>0</v>
      </c>
      <c r="O313" t="n">
        <v>0</v>
      </c>
      <c r="P313" t="n">
        <v>0</v>
      </c>
      <c r="Q313" t="n">
        <v>0</v>
      </c>
      <c r="R313" s="2" t="inlineStr"/>
    </row>
    <row r="314" ht="15" customHeight="1">
      <c r="A314" t="inlineStr">
        <is>
          <t>A 35378-2021</t>
        </is>
      </c>
      <c r="B314" s="1" t="n">
        <v>44385</v>
      </c>
      <c r="C314" s="1" t="n">
        <v>45638</v>
      </c>
      <c r="D314" t="inlineStr">
        <is>
          <t>DALARNAS LÄN</t>
        </is>
      </c>
      <c r="E314" t="inlineStr">
        <is>
          <t>MALUNG-SÄLEN</t>
        </is>
      </c>
      <c r="F314" t="inlineStr">
        <is>
          <t>Övriga statliga verk och myndigheter</t>
        </is>
      </c>
      <c r="G314" t="n">
        <v>5.8</v>
      </c>
      <c r="H314" t="n">
        <v>0</v>
      </c>
      <c r="I314" t="n">
        <v>0</v>
      </c>
      <c r="J314" t="n">
        <v>0</v>
      </c>
      <c r="K314" t="n">
        <v>0</v>
      </c>
      <c r="L314" t="n">
        <v>0</v>
      </c>
      <c r="M314" t="n">
        <v>0</v>
      </c>
      <c r="N314" t="n">
        <v>0</v>
      </c>
      <c r="O314" t="n">
        <v>0</v>
      </c>
      <c r="P314" t="n">
        <v>0</v>
      </c>
      <c r="Q314" t="n">
        <v>0</v>
      </c>
      <c r="R314" s="2" t="inlineStr"/>
    </row>
    <row r="315" ht="15" customHeight="1">
      <c r="A315" t="inlineStr">
        <is>
          <t>A 36340-2021</t>
        </is>
      </c>
      <c r="B315" s="1" t="n">
        <v>44390</v>
      </c>
      <c r="C315" s="1" t="n">
        <v>45638</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36411-2021</t>
        </is>
      </c>
      <c r="B316" s="1" t="n">
        <v>44390</v>
      </c>
      <c r="C316" s="1" t="n">
        <v>45638</v>
      </c>
      <c r="D316" t="inlineStr">
        <is>
          <t>DALARNAS LÄN</t>
        </is>
      </c>
      <c r="E316" t="inlineStr">
        <is>
          <t>MALUNG-SÄLEN</t>
        </is>
      </c>
      <c r="G316" t="n">
        <v>0.4</v>
      </c>
      <c r="H316" t="n">
        <v>0</v>
      </c>
      <c r="I316" t="n">
        <v>0</v>
      </c>
      <c r="J316" t="n">
        <v>0</v>
      </c>
      <c r="K316" t="n">
        <v>0</v>
      </c>
      <c r="L316" t="n">
        <v>0</v>
      </c>
      <c r="M316" t="n">
        <v>0</v>
      </c>
      <c r="N316" t="n">
        <v>0</v>
      </c>
      <c r="O316" t="n">
        <v>0</v>
      </c>
      <c r="P316" t="n">
        <v>0</v>
      </c>
      <c r="Q316" t="n">
        <v>0</v>
      </c>
      <c r="R316" s="2" t="inlineStr"/>
    </row>
    <row r="317" ht="15" customHeight="1">
      <c r="A317" t="inlineStr">
        <is>
          <t>A 38193-2021</t>
        </is>
      </c>
      <c r="B317" s="1" t="n">
        <v>44405</v>
      </c>
      <c r="C317" s="1" t="n">
        <v>45638</v>
      </c>
      <c r="D317" t="inlineStr">
        <is>
          <t>DALARNAS LÄN</t>
        </is>
      </c>
      <c r="E317" t="inlineStr">
        <is>
          <t>MALUNG-SÄLEN</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38204-2021</t>
        </is>
      </c>
      <c r="B318" s="1" t="n">
        <v>44405</v>
      </c>
      <c r="C318" s="1" t="n">
        <v>45638</v>
      </c>
      <c r="D318" t="inlineStr">
        <is>
          <t>DALARNAS LÄN</t>
        </is>
      </c>
      <c r="E318" t="inlineStr">
        <is>
          <t>MALUNG-SÄLEN</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38492-2021</t>
        </is>
      </c>
      <c r="B319" s="1" t="n">
        <v>44405</v>
      </c>
      <c r="C319" s="1" t="n">
        <v>45638</v>
      </c>
      <c r="D319" t="inlineStr">
        <is>
          <t>DALARNAS LÄN</t>
        </is>
      </c>
      <c r="E319" t="inlineStr">
        <is>
          <t>MALUNG-SÄLEN</t>
        </is>
      </c>
      <c r="F319" t="inlineStr">
        <is>
          <t>Naturvårdsverket</t>
        </is>
      </c>
      <c r="G319" t="n">
        <v>5.2</v>
      </c>
      <c r="H319" t="n">
        <v>0</v>
      </c>
      <c r="I319" t="n">
        <v>0</v>
      </c>
      <c r="J319" t="n">
        <v>0</v>
      </c>
      <c r="K319" t="n">
        <v>0</v>
      </c>
      <c r="L319" t="n">
        <v>0</v>
      </c>
      <c r="M319" t="n">
        <v>0</v>
      </c>
      <c r="N319" t="n">
        <v>0</v>
      </c>
      <c r="O319" t="n">
        <v>0</v>
      </c>
      <c r="P319" t="n">
        <v>0</v>
      </c>
      <c r="Q319" t="n">
        <v>0</v>
      </c>
      <c r="R319" s="2" t="inlineStr"/>
    </row>
    <row r="320" ht="15" customHeight="1">
      <c r="A320" t="inlineStr">
        <is>
          <t>A 38833-2021</t>
        </is>
      </c>
      <c r="B320" s="1" t="n">
        <v>44411</v>
      </c>
      <c r="C320" s="1" t="n">
        <v>45638</v>
      </c>
      <c r="D320" t="inlineStr">
        <is>
          <t>DALARNAS LÄN</t>
        </is>
      </c>
      <c r="E320" t="inlineStr">
        <is>
          <t>MALUNG-SÄLEN</t>
        </is>
      </c>
      <c r="G320" t="n">
        <v>7.5</v>
      </c>
      <c r="H320" t="n">
        <v>0</v>
      </c>
      <c r="I320" t="n">
        <v>0</v>
      </c>
      <c r="J320" t="n">
        <v>0</v>
      </c>
      <c r="K320" t="n">
        <v>0</v>
      </c>
      <c r="L320" t="n">
        <v>0</v>
      </c>
      <c r="M320" t="n">
        <v>0</v>
      </c>
      <c r="N320" t="n">
        <v>0</v>
      </c>
      <c r="O320" t="n">
        <v>0</v>
      </c>
      <c r="P320" t="n">
        <v>0</v>
      </c>
      <c r="Q320" t="n">
        <v>0</v>
      </c>
      <c r="R320" s="2" t="inlineStr"/>
    </row>
    <row r="321" ht="15" customHeight="1">
      <c r="A321" t="inlineStr">
        <is>
          <t>A 40320-2021</t>
        </is>
      </c>
      <c r="B321" s="1" t="n">
        <v>44419</v>
      </c>
      <c r="C321" s="1" t="n">
        <v>45638</v>
      </c>
      <c r="D321" t="inlineStr">
        <is>
          <t>DALARNAS LÄN</t>
        </is>
      </c>
      <c r="E321" t="inlineStr">
        <is>
          <t>MALUNG-SÄLEN</t>
        </is>
      </c>
      <c r="G321" t="n">
        <v>0.1</v>
      </c>
      <c r="H321" t="n">
        <v>0</v>
      </c>
      <c r="I321" t="n">
        <v>0</v>
      </c>
      <c r="J321" t="n">
        <v>0</v>
      </c>
      <c r="K321" t="n">
        <v>0</v>
      </c>
      <c r="L321" t="n">
        <v>0</v>
      </c>
      <c r="M321" t="n">
        <v>0</v>
      </c>
      <c r="N321" t="n">
        <v>0</v>
      </c>
      <c r="O321" t="n">
        <v>0</v>
      </c>
      <c r="P321" t="n">
        <v>0</v>
      </c>
      <c r="Q321" t="n">
        <v>0</v>
      </c>
      <c r="R321" s="2" t="inlineStr"/>
    </row>
    <row r="322" ht="15" customHeight="1">
      <c r="A322" t="inlineStr">
        <is>
          <t>A 41194-2021</t>
        </is>
      </c>
      <c r="B322" s="1" t="n">
        <v>44424</v>
      </c>
      <c r="C322" s="1" t="n">
        <v>45638</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41200-2021</t>
        </is>
      </c>
      <c r="B323" s="1" t="n">
        <v>44424</v>
      </c>
      <c r="C323" s="1" t="n">
        <v>45638</v>
      </c>
      <c r="D323" t="inlineStr">
        <is>
          <t>DALARNAS LÄN</t>
        </is>
      </c>
      <c r="E323" t="inlineStr">
        <is>
          <t>MALUNG-SÄLEN</t>
        </is>
      </c>
      <c r="F323" t="inlineStr">
        <is>
          <t>Bergvik skog öst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41238-2021</t>
        </is>
      </c>
      <c r="B324" s="1" t="n">
        <v>44424</v>
      </c>
      <c r="C324" s="1" t="n">
        <v>45638</v>
      </c>
      <c r="D324" t="inlineStr">
        <is>
          <t>DALARNAS LÄN</t>
        </is>
      </c>
      <c r="E324" t="inlineStr">
        <is>
          <t>MALUNG-SÄLEN</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41950-2021</t>
        </is>
      </c>
      <c r="B325" s="1" t="n">
        <v>44426</v>
      </c>
      <c r="C325" s="1" t="n">
        <v>45638</v>
      </c>
      <c r="D325" t="inlineStr">
        <is>
          <t>DALARNAS LÄN</t>
        </is>
      </c>
      <c r="E325" t="inlineStr">
        <is>
          <t>MALUNG-SÄLEN</t>
        </is>
      </c>
      <c r="G325" t="n">
        <v>0.5</v>
      </c>
      <c r="H325" t="n">
        <v>0</v>
      </c>
      <c r="I325" t="n">
        <v>0</v>
      </c>
      <c r="J325" t="n">
        <v>0</v>
      </c>
      <c r="K325" t="n">
        <v>0</v>
      </c>
      <c r="L325" t="n">
        <v>0</v>
      </c>
      <c r="M325" t="n">
        <v>0</v>
      </c>
      <c r="N325" t="n">
        <v>0</v>
      </c>
      <c r="O325" t="n">
        <v>0</v>
      </c>
      <c r="P325" t="n">
        <v>0</v>
      </c>
      <c r="Q325" t="n">
        <v>0</v>
      </c>
      <c r="R325" s="2" t="inlineStr"/>
    </row>
    <row r="326" ht="15" customHeight="1">
      <c r="A326" t="inlineStr">
        <is>
          <t>A 43672-2021</t>
        </is>
      </c>
      <c r="B326" s="1" t="n">
        <v>44433</v>
      </c>
      <c r="C326" s="1" t="n">
        <v>45638</v>
      </c>
      <c r="D326" t="inlineStr">
        <is>
          <t>DALARNAS LÄN</t>
        </is>
      </c>
      <c r="E326" t="inlineStr">
        <is>
          <t>MALUNG-SÄLEN</t>
        </is>
      </c>
      <c r="F326" t="inlineStr">
        <is>
          <t>Övriga statliga verk och myndigheter</t>
        </is>
      </c>
      <c r="G326" t="n">
        <v>1.1</v>
      </c>
      <c r="H326" t="n">
        <v>0</v>
      </c>
      <c r="I326" t="n">
        <v>0</v>
      </c>
      <c r="J326" t="n">
        <v>0</v>
      </c>
      <c r="K326" t="n">
        <v>0</v>
      </c>
      <c r="L326" t="n">
        <v>0</v>
      </c>
      <c r="M326" t="n">
        <v>0</v>
      </c>
      <c r="N326" t="n">
        <v>0</v>
      </c>
      <c r="O326" t="n">
        <v>0</v>
      </c>
      <c r="P326" t="n">
        <v>0</v>
      </c>
      <c r="Q326" t="n">
        <v>0</v>
      </c>
      <c r="R326" s="2" t="inlineStr"/>
    </row>
    <row r="327" ht="15" customHeight="1">
      <c r="A327" t="inlineStr">
        <is>
          <t>A 44505-2021</t>
        </is>
      </c>
      <c r="B327" s="1" t="n">
        <v>44435</v>
      </c>
      <c r="C327" s="1" t="n">
        <v>45638</v>
      </c>
      <c r="D327" t="inlineStr">
        <is>
          <t>DALARNAS LÄN</t>
        </is>
      </c>
      <c r="E327" t="inlineStr">
        <is>
          <t>MALUNG-SÄLEN</t>
        </is>
      </c>
      <c r="G327" t="n">
        <v>0.3</v>
      </c>
      <c r="H327" t="n">
        <v>0</v>
      </c>
      <c r="I327" t="n">
        <v>0</v>
      </c>
      <c r="J327" t="n">
        <v>0</v>
      </c>
      <c r="K327" t="n">
        <v>0</v>
      </c>
      <c r="L327" t="n">
        <v>0</v>
      </c>
      <c r="M327" t="n">
        <v>0</v>
      </c>
      <c r="N327" t="n">
        <v>0</v>
      </c>
      <c r="O327" t="n">
        <v>0</v>
      </c>
      <c r="P327" t="n">
        <v>0</v>
      </c>
      <c r="Q327" t="n">
        <v>0</v>
      </c>
      <c r="R327" s="2" t="inlineStr"/>
    </row>
    <row r="328" ht="15" customHeight="1">
      <c r="A328" t="inlineStr">
        <is>
          <t>A 44860-2021</t>
        </is>
      </c>
      <c r="B328" s="1" t="n">
        <v>44438</v>
      </c>
      <c r="C328" s="1" t="n">
        <v>45638</v>
      </c>
      <c r="D328" t="inlineStr">
        <is>
          <t>DALARNAS LÄN</t>
        </is>
      </c>
      <c r="E328" t="inlineStr">
        <is>
          <t>MALUNG-SÄLEN</t>
        </is>
      </c>
      <c r="G328" t="n">
        <v>14.9</v>
      </c>
      <c r="H328" t="n">
        <v>0</v>
      </c>
      <c r="I328" t="n">
        <v>0</v>
      </c>
      <c r="J328" t="n">
        <v>0</v>
      </c>
      <c r="K328" t="n">
        <v>0</v>
      </c>
      <c r="L328" t="n">
        <v>0</v>
      </c>
      <c r="M328" t="n">
        <v>0</v>
      </c>
      <c r="N328" t="n">
        <v>0</v>
      </c>
      <c r="O328" t="n">
        <v>0</v>
      </c>
      <c r="P328" t="n">
        <v>0</v>
      </c>
      <c r="Q328" t="n">
        <v>0</v>
      </c>
      <c r="R328" s="2" t="inlineStr"/>
    </row>
    <row r="329" ht="15" customHeight="1">
      <c r="A329" t="inlineStr">
        <is>
          <t>A 44946-2021</t>
        </is>
      </c>
      <c r="B329" s="1" t="n">
        <v>44438</v>
      </c>
      <c r="C329" s="1" t="n">
        <v>45638</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44867-2021</t>
        </is>
      </c>
      <c r="B330" s="1" t="n">
        <v>44438</v>
      </c>
      <c r="C330" s="1" t="n">
        <v>45638</v>
      </c>
      <c r="D330" t="inlineStr">
        <is>
          <t>DALARNAS LÄN</t>
        </is>
      </c>
      <c r="E330" t="inlineStr">
        <is>
          <t>MALUNG-SÄLEN</t>
        </is>
      </c>
      <c r="G330" t="n">
        <v>12.6</v>
      </c>
      <c r="H330" t="n">
        <v>0</v>
      </c>
      <c r="I330" t="n">
        <v>0</v>
      </c>
      <c r="J330" t="n">
        <v>0</v>
      </c>
      <c r="K330" t="n">
        <v>0</v>
      </c>
      <c r="L330" t="n">
        <v>0</v>
      </c>
      <c r="M330" t="n">
        <v>0</v>
      </c>
      <c r="N330" t="n">
        <v>0</v>
      </c>
      <c r="O330" t="n">
        <v>0</v>
      </c>
      <c r="P330" t="n">
        <v>0</v>
      </c>
      <c r="Q330" t="n">
        <v>0</v>
      </c>
      <c r="R330" s="2" t="inlineStr"/>
    </row>
    <row r="331" ht="15" customHeight="1">
      <c r="A331" t="inlineStr">
        <is>
          <t>A 45195-2021</t>
        </is>
      </c>
      <c r="B331" s="1" t="n">
        <v>44439</v>
      </c>
      <c r="C331" s="1" t="n">
        <v>45638</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45586-2021</t>
        </is>
      </c>
      <c r="B332" s="1" t="n">
        <v>44440</v>
      </c>
      <c r="C332" s="1" t="n">
        <v>45638</v>
      </c>
      <c r="D332" t="inlineStr">
        <is>
          <t>DALARNAS LÄN</t>
        </is>
      </c>
      <c r="E332" t="inlineStr">
        <is>
          <t>MALUNG-SÄLEN</t>
        </is>
      </c>
      <c r="F332" t="inlineStr">
        <is>
          <t>Bergvik skog öst AB</t>
        </is>
      </c>
      <c r="G332" t="n">
        <v>6.6</v>
      </c>
      <c r="H332" t="n">
        <v>0</v>
      </c>
      <c r="I332" t="n">
        <v>0</v>
      </c>
      <c r="J332" t="n">
        <v>0</v>
      </c>
      <c r="K332" t="n">
        <v>0</v>
      </c>
      <c r="L332" t="n">
        <v>0</v>
      </c>
      <c r="M332" t="n">
        <v>0</v>
      </c>
      <c r="N332" t="n">
        <v>0</v>
      </c>
      <c r="O332" t="n">
        <v>0</v>
      </c>
      <c r="P332" t="n">
        <v>0</v>
      </c>
      <c r="Q332" t="n">
        <v>0</v>
      </c>
      <c r="R332" s="2" t="inlineStr"/>
    </row>
    <row r="333" ht="15" customHeight="1">
      <c r="A333" t="inlineStr">
        <is>
          <t>A 45440-2021</t>
        </is>
      </c>
      <c r="B333" s="1" t="n">
        <v>44440</v>
      </c>
      <c r="C333" s="1" t="n">
        <v>45638</v>
      </c>
      <c r="D333" t="inlineStr">
        <is>
          <t>DALARNAS LÄN</t>
        </is>
      </c>
      <c r="E333" t="inlineStr">
        <is>
          <t>MALUNG-SÄLEN</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47386-2021</t>
        </is>
      </c>
      <c r="B334" s="1" t="n">
        <v>44442</v>
      </c>
      <c r="C334" s="1" t="n">
        <v>45638</v>
      </c>
      <c r="D334" t="inlineStr">
        <is>
          <t>DALARNAS LÄN</t>
        </is>
      </c>
      <c r="E334" t="inlineStr">
        <is>
          <t>MALUNG-SÄLEN</t>
        </is>
      </c>
      <c r="G334" t="n">
        <v>4.3</v>
      </c>
      <c r="H334" t="n">
        <v>0</v>
      </c>
      <c r="I334" t="n">
        <v>0</v>
      </c>
      <c r="J334" t="n">
        <v>0</v>
      </c>
      <c r="K334" t="n">
        <v>0</v>
      </c>
      <c r="L334" t="n">
        <v>0</v>
      </c>
      <c r="M334" t="n">
        <v>0</v>
      </c>
      <c r="N334" t="n">
        <v>0</v>
      </c>
      <c r="O334" t="n">
        <v>0</v>
      </c>
      <c r="P334" t="n">
        <v>0</v>
      </c>
      <c r="Q334" t="n">
        <v>0</v>
      </c>
      <c r="R334" s="2" t="inlineStr"/>
    </row>
    <row r="335" ht="15" customHeight="1">
      <c r="A335" t="inlineStr">
        <is>
          <t>A 46604-2021</t>
        </is>
      </c>
      <c r="B335" s="1" t="n">
        <v>44445</v>
      </c>
      <c r="C335" s="1" t="n">
        <v>45638</v>
      </c>
      <c r="D335" t="inlineStr">
        <is>
          <t>DALARNAS LÄN</t>
        </is>
      </c>
      <c r="E335" t="inlineStr">
        <is>
          <t>MALUNG-SÄLEN</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46820-2021</t>
        </is>
      </c>
      <c r="B336" s="1" t="n">
        <v>44445</v>
      </c>
      <c r="C336" s="1" t="n">
        <v>45638</v>
      </c>
      <c r="D336" t="inlineStr">
        <is>
          <t>DALARNAS LÄN</t>
        </is>
      </c>
      <c r="E336" t="inlineStr">
        <is>
          <t>MALUNG-SÄLEN</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46850-2021</t>
        </is>
      </c>
      <c r="B337" s="1" t="n">
        <v>44445</v>
      </c>
      <c r="C337" s="1" t="n">
        <v>45638</v>
      </c>
      <c r="D337" t="inlineStr">
        <is>
          <t>DALARNAS LÄN</t>
        </is>
      </c>
      <c r="E337" t="inlineStr">
        <is>
          <t>MALUNG-SÄLEN</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46809-2021</t>
        </is>
      </c>
      <c r="B338" s="1" t="n">
        <v>44445</v>
      </c>
      <c r="C338" s="1" t="n">
        <v>45638</v>
      </c>
      <c r="D338" t="inlineStr">
        <is>
          <t>DALARNAS LÄN</t>
        </is>
      </c>
      <c r="E338" t="inlineStr">
        <is>
          <t>MALUNG-SÄLEN</t>
        </is>
      </c>
      <c r="F338" t="inlineStr">
        <is>
          <t>Allmännings- och besparingsskogar</t>
        </is>
      </c>
      <c r="G338" t="n">
        <v>18.7</v>
      </c>
      <c r="H338" t="n">
        <v>0</v>
      </c>
      <c r="I338" t="n">
        <v>0</v>
      </c>
      <c r="J338" t="n">
        <v>0</v>
      </c>
      <c r="K338" t="n">
        <v>0</v>
      </c>
      <c r="L338" t="n">
        <v>0</v>
      </c>
      <c r="M338" t="n">
        <v>0</v>
      </c>
      <c r="N338" t="n">
        <v>0</v>
      </c>
      <c r="O338" t="n">
        <v>0</v>
      </c>
      <c r="P338" t="n">
        <v>0</v>
      </c>
      <c r="Q338" t="n">
        <v>0</v>
      </c>
      <c r="R338" s="2" t="inlineStr"/>
    </row>
    <row r="339" ht="15" customHeight="1">
      <c r="A339" t="inlineStr">
        <is>
          <t>A 46823-2021</t>
        </is>
      </c>
      <c r="B339" s="1" t="n">
        <v>44445</v>
      </c>
      <c r="C339" s="1" t="n">
        <v>45638</v>
      </c>
      <c r="D339" t="inlineStr">
        <is>
          <t>DALARNAS LÄN</t>
        </is>
      </c>
      <c r="E339" t="inlineStr">
        <is>
          <t>MALUNG-SÄLEN</t>
        </is>
      </c>
      <c r="F339" t="inlineStr">
        <is>
          <t>Allmännings- och besparingsskogar</t>
        </is>
      </c>
      <c r="G339" t="n">
        <v>26.2</v>
      </c>
      <c r="H339" t="n">
        <v>0</v>
      </c>
      <c r="I339" t="n">
        <v>0</v>
      </c>
      <c r="J339" t="n">
        <v>0</v>
      </c>
      <c r="K339" t="n">
        <v>0</v>
      </c>
      <c r="L339" t="n">
        <v>0</v>
      </c>
      <c r="M339" t="n">
        <v>0</v>
      </c>
      <c r="N339" t="n">
        <v>0</v>
      </c>
      <c r="O339" t="n">
        <v>0</v>
      </c>
      <c r="P339" t="n">
        <v>0</v>
      </c>
      <c r="Q339" t="n">
        <v>0</v>
      </c>
      <c r="R339" s="2" t="inlineStr"/>
    </row>
    <row r="340" ht="15" customHeight="1">
      <c r="A340" t="inlineStr">
        <is>
          <t>A 46845-2021</t>
        </is>
      </c>
      <c r="B340" s="1" t="n">
        <v>44445</v>
      </c>
      <c r="C340" s="1" t="n">
        <v>45638</v>
      </c>
      <c r="D340" t="inlineStr">
        <is>
          <t>DALARNAS LÄN</t>
        </is>
      </c>
      <c r="E340" t="inlineStr">
        <is>
          <t>MALUNG-SÄLEN</t>
        </is>
      </c>
      <c r="F340" t="inlineStr">
        <is>
          <t>Allmännings- och besparingsskogar</t>
        </is>
      </c>
      <c r="G340" t="n">
        <v>15.4</v>
      </c>
      <c r="H340" t="n">
        <v>0</v>
      </c>
      <c r="I340" t="n">
        <v>0</v>
      </c>
      <c r="J340" t="n">
        <v>0</v>
      </c>
      <c r="K340" t="n">
        <v>0</v>
      </c>
      <c r="L340" t="n">
        <v>0</v>
      </c>
      <c r="M340" t="n">
        <v>0</v>
      </c>
      <c r="N340" t="n">
        <v>0</v>
      </c>
      <c r="O340" t="n">
        <v>0</v>
      </c>
      <c r="P340" t="n">
        <v>0</v>
      </c>
      <c r="Q340" t="n">
        <v>0</v>
      </c>
      <c r="R340" s="2" t="inlineStr"/>
    </row>
    <row r="341" ht="15" customHeight="1">
      <c r="A341" t="inlineStr">
        <is>
          <t>A 47412-2021</t>
        </is>
      </c>
      <c r="B341" s="1" t="n">
        <v>44447</v>
      </c>
      <c r="C341" s="1" t="n">
        <v>45638</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47423-2021</t>
        </is>
      </c>
      <c r="B342" s="1" t="n">
        <v>44447</v>
      </c>
      <c r="C342" s="1" t="n">
        <v>45638</v>
      </c>
      <c r="D342" t="inlineStr">
        <is>
          <t>DALARNAS LÄN</t>
        </is>
      </c>
      <c r="E342" t="inlineStr">
        <is>
          <t>MALUNG-SÄLEN</t>
        </is>
      </c>
      <c r="G342" t="n">
        <v>0.5</v>
      </c>
      <c r="H342" t="n">
        <v>0</v>
      </c>
      <c r="I342" t="n">
        <v>0</v>
      </c>
      <c r="J342" t="n">
        <v>0</v>
      </c>
      <c r="K342" t="n">
        <v>0</v>
      </c>
      <c r="L342" t="n">
        <v>0</v>
      </c>
      <c r="M342" t="n">
        <v>0</v>
      </c>
      <c r="N342" t="n">
        <v>0</v>
      </c>
      <c r="O342" t="n">
        <v>0</v>
      </c>
      <c r="P342" t="n">
        <v>0</v>
      </c>
      <c r="Q342" t="n">
        <v>0</v>
      </c>
      <c r="R342" s="2" t="inlineStr"/>
    </row>
    <row r="343" ht="15" customHeight="1">
      <c r="A343" t="inlineStr">
        <is>
          <t>A 47419-2021</t>
        </is>
      </c>
      <c r="B343" s="1" t="n">
        <v>44447</v>
      </c>
      <c r="C343" s="1" t="n">
        <v>45638</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49798-2021</t>
        </is>
      </c>
      <c r="B344" s="1" t="n">
        <v>44455</v>
      </c>
      <c r="C344" s="1" t="n">
        <v>45638</v>
      </c>
      <c r="D344" t="inlineStr">
        <is>
          <t>DALARNAS LÄN</t>
        </is>
      </c>
      <c r="E344" t="inlineStr">
        <is>
          <t>MALUNG-SÄLEN</t>
        </is>
      </c>
      <c r="G344" t="n">
        <v>6</v>
      </c>
      <c r="H344" t="n">
        <v>0</v>
      </c>
      <c r="I344" t="n">
        <v>0</v>
      </c>
      <c r="J344" t="n">
        <v>0</v>
      </c>
      <c r="K344" t="n">
        <v>0</v>
      </c>
      <c r="L344" t="n">
        <v>0</v>
      </c>
      <c r="M344" t="n">
        <v>0</v>
      </c>
      <c r="N344" t="n">
        <v>0</v>
      </c>
      <c r="O344" t="n">
        <v>0</v>
      </c>
      <c r="P344" t="n">
        <v>0</v>
      </c>
      <c r="Q344" t="n">
        <v>0</v>
      </c>
      <c r="R344" s="2" t="inlineStr"/>
    </row>
    <row r="345" ht="15" customHeight="1">
      <c r="A345" t="inlineStr">
        <is>
          <t>A 50881-2021</t>
        </is>
      </c>
      <c r="B345" s="1" t="n">
        <v>44460</v>
      </c>
      <c r="C345" s="1" t="n">
        <v>45638</v>
      </c>
      <c r="D345" t="inlineStr">
        <is>
          <t>DALARNAS LÄN</t>
        </is>
      </c>
      <c r="E345" t="inlineStr">
        <is>
          <t>MALUNG-SÄLEN</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51533-2021</t>
        </is>
      </c>
      <c r="B346" s="1" t="n">
        <v>44462</v>
      </c>
      <c r="C346" s="1" t="n">
        <v>45638</v>
      </c>
      <c r="D346" t="inlineStr">
        <is>
          <t>DALARNAS LÄN</t>
        </is>
      </c>
      <c r="E346" t="inlineStr">
        <is>
          <t>MALUNG-SÄLEN</t>
        </is>
      </c>
      <c r="G346" t="n">
        <v>6.6</v>
      </c>
      <c r="H346" t="n">
        <v>0</v>
      </c>
      <c r="I346" t="n">
        <v>0</v>
      </c>
      <c r="J346" t="n">
        <v>0</v>
      </c>
      <c r="K346" t="n">
        <v>0</v>
      </c>
      <c r="L346" t="n">
        <v>0</v>
      </c>
      <c r="M346" t="n">
        <v>0</v>
      </c>
      <c r="N346" t="n">
        <v>0</v>
      </c>
      <c r="O346" t="n">
        <v>0</v>
      </c>
      <c r="P346" t="n">
        <v>0</v>
      </c>
      <c r="Q346" t="n">
        <v>0</v>
      </c>
      <c r="R346" s="2" t="inlineStr"/>
    </row>
    <row r="347" ht="15" customHeight="1">
      <c r="A347" t="inlineStr">
        <is>
          <t>A 52071-2021</t>
        </is>
      </c>
      <c r="B347" s="1" t="n">
        <v>44462</v>
      </c>
      <c r="C347" s="1" t="n">
        <v>45638</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52100-2021</t>
        </is>
      </c>
      <c r="B348" s="1" t="n">
        <v>44462</v>
      </c>
      <c r="C348" s="1" t="n">
        <v>45638</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53210-2021</t>
        </is>
      </c>
      <c r="B349" s="1" t="n">
        <v>44468</v>
      </c>
      <c r="C349" s="1" t="n">
        <v>45638</v>
      </c>
      <c r="D349" t="inlineStr">
        <is>
          <t>DALARNAS LÄN</t>
        </is>
      </c>
      <c r="E349" t="inlineStr">
        <is>
          <t>MALUNG-SÄLEN</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54219-2021</t>
        </is>
      </c>
      <c r="B350" s="1" t="n">
        <v>44469</v>
      </c>
      <c r="C350" s="1" t="n">
        <v>45638</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54551-2021</t>
        </is>
      </c>
      <c r="B351" s="1" t="n">
        <v>44473</v>
      </c>
      <c r="C351" s="1" t="n">
        <v>45638</v>
      </c>
      <c r="D351" t="inlineStr">
        <is>
          <t>DALARNAS LÄN</t>
        </is>
      </c>
      <c r="E351" t="inlineStr">
        <is>
          <t>MALUNG-SÄLEN</t>
        </is>
      </c>
      <c r="G351" t="n">
        <v>0.3</v>
      </c>
      <c r="H351" t="n">
        <v>0</v>
      </c>
      <c r="I351" t="n">
        <v>0</v>
      </c>
      <c r="J351" t="n">
        <v>0</v>
      </c>
      <c r="K351" t="n">
        <v>0</v>
      </c>
      <c r="L351" t="n">
        <v>0</v>
      </c>
      <c r="M351" t="n">
        <v>0</v>
      </c>
      <c r="N351" t="n">
        <v>0</v>
      </c>
      <c r="O351" t="n">
        <v>0</v>
      </c>
      <c r="P351" t="n">
        <v>0</v>
      </c>
      <c r="Q351" t="n">
        <v>0</v>
      </c>
      <c r="R351" s="2" t="inlineStr"/>
    </row>
    <row r="352" ht="15" customHeight="1">
      <c r="A352" t="inlineStr">
        <is>
          <t>A 55514-2021</t>
        </is>
      </c>
      <c r="B352" s="1" t="n">
        <v>44475</v>
      </c>
      <c r="C352" s="1" t="n">
        <v>45638</v>
      </c>
      <c r="D352" t="inlineStr">
        <is>
          <t>DALARNAS LÄN</t>
        </is>
      </c>
      <c r="E352" t="inlineStr">
        <is>
          <t>MALUNG-SÄLEN</t>
        </is>
      </c>
      <c r="G352" t="n">
        <v>4</v>
      </c>
      <c r="H352" t="n">
        <v>0</v>
      </c>
      <c r="I352" t="n">
        <v>0</v>
      </c>
      <c r="J352" t="n">
        <v>0</v>
      </c>
      <c r="K352" t="n">
        <v>0</v>
      </c>
      <c r="L352" t="n">
        <v>0</v>
      </c>
      <c r="M352" t="n">
        <v>0</v>
      </c>
      <c r="N352" t="n">
        <v>0</v>
      </c>
      <c r="O352" t="n">
        <v>0</v>
      </c>
      <c r="P352" t="n">
        <v>0</v>
      </c>
      <c r="Q352" t="n">
        <v>0</v>
      </c>
      <c r="R352" s="2" t="inlineStr"/>
    </row>
    <row r="353" ht="15" customHeight="1">
      <c r="A353" t="inlineStr">
        <is>
          <t>A 55971-2021</t>
        </is>
      </c>
      <c r="B353" s="1" t="n">
        <v>44477</v>
      </c>
      <c r="C353" s="1" t="n">
        <v>45638</v>
      </c>
      <c r="D353" t="inlineStr">
        <is>
          <t>DALARNAS LÄN</t>
        </is>
      </c>
      <c r="E353" t="inlineStr">
        <is>
          <t>MALUNG-SÄLEN</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58899-2021</t>
        </is>
      </c>
      <c r="B354" s="1" t="n">
        <v>44489</v>
      </c>
      <c r="C354" s="1" t="n">
        <v>45638</v>
      </c>
      <c r="D354" t="inlineStr">
        <is>
          <t>DALARNAS LÄN</t>
        </is>
      </c>
      <c r="E354" t="inlineStr">
        <is>
          <t>MALUNG-SÄLEN</t>
        </is>
      </c>
      <c r="G354" t="n">
        <v>3.2</v>
      </c>
      <c r="H354" t="n">
        <v>0</v>
      </c>
      <c r="I354" t="n">
        <v>0</v>
      </c>
      <c r="J354" t="n">
        <v>0</v>
      </c>
      <c r="K354" t="n">
        <v>0</v>
      </c>
      <c r="L354" t="n">
        <v>0</v>
      </c>
      <c r="M354" t="n">
        <v>0</v>
      </c>
      <c r="N354" t="n">
        <v>0</v>
      </c>
      <c r="O354" t="n">
        <v>0</v>
      </c>
      <c r="P354" t="n">
        <v>0</v>
      </c>
      <c r="Q354" t="n">
        <v>0</v>
      </c>
      <c r="R354" s="2" t="inlineStr"/>
    </row>
    <row r="355" ht="15" customHeight="1">
      <c r="A355" t="inlineStr">
        <is>
          <t>A 59424-2021</t>
        </is>
      </c>
      <c r="B355" s="1" t="n">
        <v>44491</v>
      </c>
      <c r="C355" s="1" t="n">
        <v>45638</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59725-2021</t>
        </is>
      </c>
      <c r="B356" s="1" t="n">
        <v>44494</v>
      </c>
      <c r="C356" s="1" t="n">
        <v>45638</v>
      </c>
      <c r="D356" t="inlineStr">
        <is>
          <t>DALARNAS LÄN</t>
        </is>
      </c>
      <c r="E356" t="inlineStr">
        <is>
          <t>MALUNG-SÄLEN</t>
        </is>
      </c>
      <c r="F356" t="inlineStr">
        <is>
          <t>Kommuner</t>
        </is>
      </c>
      <c r="G356" t="n">
        <v>3.5</v>
      </c>
      <c r="H356" t="n">
        <v>0</v>
      </c>
      <c r="I356" t="n">
        <v>0</v>
      </c>
      <c r="J356" t="n">
        <v>0</v>
      </c>
      <c r="K356" t="n">
        <v>0</v>
      </c>
      <c r="L356" t="n">
        <v>0</v>
      </c>
      <c r="M356" t="n">
        <v>0</v>
      </c>
      <c r="N356" t="n">
        <v>0</v>
      </c>
      <c r="O356" t="n">
        <v>0</v>
      </c>
      <c r="P356" t="n">
        <v>0</v>
      </c>
      <c r="Q356" t="n">
        <v>0</v>
      </c>
      <c r="R356" s="2" t="inlineStr"/>
    </row>
    <row r="357" ht="15" customHeight="1">
      <c r="A357" t="inlineStr">
        <is>
          <t>A 60230-2021</t>
        </is>
      </c>
      <c r="B357" s="1" t="n">
        <v>44495</v>
      </c>
      <c r="C357" s="1" t="n">
        <v>45638</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60962-2021</t>
        </is>
      </c>
      <c r="B358" s="1" t="n">
        <v>44497</v>
      </c>
      <c r="C358" s="1" t="n">
        <v>45638</v>
      </c>
      <c r="D358" t="inlineStr">
        <is>
          <t>DALARNAS LÄN</t>
        </is>
      </c>
      <c r="E358" t="inlineStr">
        <is>
          <t>MALUNG-SÄLEN</t>
        </is>
      </c>
      <c r="F358" t="inlineStr">
        <is>
          <t>Bergvik skog öst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61978-2021</t>
        </is>
      </c>
      <c r="B359" s="1" t="n">
        <v>44501</v>
      </c>
      <c r="C359" s="1" t="n">
        <v>45638</v>
      </c>
      <c r="D359" t="inlineStr">
        <is>
          <t>DALARNAS LÄN</t>
        </is>
      </c>
      <c r="E359" t="inlineStr">
        <is>
          <t>MALUNG-SÄLEN</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61974-2021</t>
        </is>
      </c>
      <c r="B360" s="1" t="n">
        <v>44501</v>
      </c>
      <c r="C360" s="1" t="n">
        <v>45638</v>
      </c>
      <c r="D360" t="inlineStr">
        <is>
          <t>DALARNAS LÄN</t>
        </is>
      </c>
      <c r="E360" t="inlineStr">
        <is>
          <t>MALUNG-SÄLEN</t>
        </is>
      </c>
      <c r="F360" t="inlineStr">
        <is>
          <t>Allmännings- och besparingsskogar</t>
        </is>
      </c>
      <c r="G360" t="n">
        <v>12.5</v>
      </c>
      <c r="H360" t="n">
        <v>0</v>
      </c>
      <c r="I360" t="n">
        <v>0</v>
      </c>
      <c r="J360" t="n">
        <v>0</v>
      </c>
      <c r="K360" t="n">
        <v>0</v>
      </c>
      <c r="L360" t="n">
        <v>0</v>
      </c>
      <c r="M360" t="n">
        <v>0</v>
      </c>
      <c r="N360" t="n">
        <v>0</v>
      </c>
      <c r="O360" t="n">
        <v>0</v>
      </c>
      <c r="P360" t="n">
        <v>0</v>
      </c>
      <c r="Q360" t="n">
        <v>0</v>
      </c>
      <c r="R360" s="2" t="inlineStr"/>
    </row>
    <row r="361" ht="15" customHeight="1">
      <c r="A361" t="inlineStr">
        <is>
          <t>A 61969-2021</t>
        </is>
      </c>
      <c r="B361" s="1" t="n">
        <v>44501</v>
      </c>
      <c r="C361" s="1" t="n">
        <v>45638</v>
      </c>
      <c r="D361" t="inlineStr">
        <is>
          <t>DALARNAS LÄN</t>
        </is>
      </c>
      <c r="E361" t="inlineStr">
        <is>
          <t>MALUNG-SÄLEN</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61993-2021</t>
        </is>
      </c>
      <c r="B362" s="1" t="n">
        <v>44501</v>
      </c>
      <c r="C362" s="1" t="n">
        <v>45638</v>
      </c>
      <c r="D362" t="inlineStr">
        <is>
          <t>DALARNAS LÄN</t>
        </is>
      </c>
      <c r="E362" t="inlineStr">
        <is>
          <t>MALUNG-SÄLEN</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61962-2021</t>
        </is>
      </c>
      <c r="B363" s="1" t="n">
        <v>44501</v>
      </c>
      <c r="C363" s="1" t="n">
        <v>45638</v>
      </c>
      <c r="D363" t="inlineStr">
        <is>
          <t>DALARNAS LÄN</t>
        </is>
      </c>
      <c r="E363" t="inlineStr">
        <is>
          <t>MALUNG-SÄLEN</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61990-2021</t>
        </is>
      </c>
      <c r="B364" s="1" t="n">
        <v>44501</v>
      </c>
      <c r="C364" s="1" t="n">
        <v>45638</v>
      </c>
      <c r="D364" t="inlineStr">
        <is>
          <t>DALARNAS LÄN</t>
        </is>
      </c>
      <c r="E364" t="inlineStr">
        <is>
          <t>MALUNG-SÄLEN</t>
        </is>
      </c>
      <c r="F364" t="inlineStr">
        <is>
          <t>Allmännings- och besparingsskogar</t>
        </is>
      </c>
      <c r="G364" t="n">
        <v>33</v>
      </c>
      <c r="H364" t="n">
        <v>0</v>
      </c>
      <c r="I364" t="n">
        <v>0</v>
      </c>
      <c r="J364" t="n">
        <v>0</v>
      </c>
      <c r="K364" t="n">
        <v>0</v>
      </c>
      <c r="L364" t="n">
        <v>0</v>
      </c>
      <c r="M364" t="n">
        <v>0</v>
      </c>
      <c r="N364" t="n">
        <v>0</v>
      </c>
      <c r="O364" t="n">
        <v>0</v>
      </c>
      <c r="P364" t="n">
        <v>0</v>
      </c>
      <c r="Q364" t="n">
        <v>0</v>
      </c>
      <c r="R364" s="2" t="inlineStr"/>
    </row>
    <row r="365" ht="15" customHeight="1">
      <c r="A365" t="inlineStr">
        <is>
          <t>A 62253-2021</t>
        </is>
      </c>
      <c r="B365" s="1" t="n">
        <v>44503</v>
      </c>
      <c r="C365" s="1" t="n">
        <v>45638</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62830-2021</t>
        </is>
      </c>
      <c r="B366" s="1" t="n">
        <v>44504</v>
      </c>
      <c r="C366" s="1" t="n">
        <v>45638</v>
      </c>
      <c r="D366" t="inlineStr">
        <is>
          <t>DALARNAS LÄN</t>
        </is>
      </c>
      <c r="E366" t="inlineStr">
        <is>
          <t>MALUNG-SÄLEN</t>
        </is>
      </c>
      <c r="F366" t="inlineStr">
        <is>
          <t>Bergvik skog öst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63270-2021</t>
        </is>
      </c>
      <c r="B367" s="1" t="n">
        <v>44508</v>
      </c>
      <c r="C367" s="1" t="n">
        <v>45638</v>
      </c>
      <c r="D367" t="inlineStr">
        <is>
          <t>DALARNAS LÄN</t>
        </is>
      </c>
      <c r="E367" t="inlineStr">
        <is>
          <t>MALUNG-SÄLEN</t>
        </is>
      </c>
      <c r="G367" t="n">
        <v>4.8</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v>
      </c>
      <c r="C368" s="1" t="n">
        <v>45638</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64481-2021</t>
        </is>
      </c>
      <c r="B369" s="1" t="n">
        <v>44511</v>
      </c>
      <c r="C369" s="1" t="n">
        <v>45638</v>
      </c>
      <c r="D369" t="inlineStr">
        <is>
          <t>DALARNAS LÄN</t>
        </is>
      </c>
      <c r="E369" t="inlineStr">
        <is>
          <t>MALUNG-SÄLEN</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64577-2021</t>
        </is>
      </c>
      <c r="B370" s="1" t="n">
        <v>44511</v>
      </c>
      <c r="C370" s="1" t="n">
        <v>45638</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64581-2021</t>
        </is>
      </c>
      <c r="B371" s="1" t="n">
        <v>44511</v>
      </c>
      <c r="C371" s="1" t="n">
        <v>45638</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64739-2021</t>
        </is>
      </c>
      <c r="B372" s="1" t="n">
        <v>44512</v>
      </c>
      <c r="C372" s="1" t="n">
        <v>45638</v>
      </c>
      <c r="D372" t="inlineStr">
        <is>
          <t>DALARNAS LÄN</t>
        </is>
      </c>
      <c r="E372" t="inlineStr">
        <is>
          <t>MALUNG-SÄLEN</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64787-2021</t>
        </is>
      </c>
      <c r="B373" s="1" t="n">
        <v>44512</v>
      </c>
      <c r="C373" s="1" t="n">
        <v>45638</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64781-2021</t>
        </is>
      </c>
      <c r="B374" s="1" t="n">
        <v>44512</v>
      </c>
      <c r="C374" s="1" t="n">
        <v>45638</v>
      </c>
      <c r="D374" t="inlineStr">
        <is>
          <t>DALARNAS LÄN</t>
        </is>
      </c>
      <c r="E374" t="inlineStr">
        <is>
          <t>MALUNG-SÄLEN</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64863-2021</t>
        </is>
      </c>
      <c r="B375" s="1" t="n">
        <v>44512</v>
      </c>
      <c r="C375" s="1" t="n">
        <v>45638</v>
      </c>
      <c r="D375" t="inlineStr">
        <is>
          <t>DALARNAS LÄN</t>
        </is>
      </c>
      <c r="E375" t="inlineStr">
        <is>
          <t>MALUNG-SÄLEN</t>
        </is>
      </c>
      <c r="F375" t="inlineStr">
        <is>
          <t>Allmännings- och besparingsskogar</t>
        </is>
      </c>
      <c r="G375" t="n">
        <v>0.3</v>
      </c>
      <c r="H375" t="n">
        <v>0</v>
      </c>
      <c r="I375" t="n">
        <v>0</v>
      </c>
      <c r="J375" t="n">
        <v>0</v>
      </c>
      <c r="K375" t="n">
        <v>0</v>
      </c>
      <c r="L375" t="n">
        <v>0</v>
      </c>
      <c r="M375" t="n">
        <v>0</v>
      </c>
      <c r="N375" t="n">
        <v>0</v>
      </c>
      <c r="O375" t="n">
        <v>0</v>
      </c>
      <c r="P375" t="n">
        <v>0</v>
      </c>
      <c r="Q375" t="n">
        <v>0</v>
      </c>
      <c r="R375" s="2" t="inlineStr"/>
    </row>
    <row r="376" ht="15" customHeight="1">
      <c r="A376" t="inlineStr">
        <is>
          <t>A 64896-2021</t>
        </is>
      </c>
      <c r="B376" s="1" t="n">
        <v>44512</v>
      </c>
      <c r="C376" s="1" t="n">
        <v>45638</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65252-2021</t>
        </is>
      </c>
      <c r="B377" s="1" t="n">
        <v>44515</v>
      </c>
      <c r="C377" s="1" t="n">
        <v>45638</v>
      </c>
      <c r="D377" t="inlineStr">
        <is>
          <t>DALARNAS LÄN</t>
        </is>
      </c>
      <c r="E377" t="inlineStr">
        <is>
          <t>MALUNG-SÄLEN</t>
        </is>
      </c>
      <c r="F377" t="inlineStr">
        <is>
          <t>Allmännings- och besparingsskogar</t>
        </is>
      </c>
      <c r="G377" t="n">
        <v>0.7</v>
      </c>
      <c r="H377" t="n">
        <v>0</v>
      </c>
      <c r="I377" t="n">
        <v>0</v>
      </c>
      <c r="J377" t="n">
        <v>0</v>
      </c>
      <c r="K377" t="n">
        <v>0</v>
      </c>
      <c r="L377" t="n">
        <v>0</v>
      </c>
      <c r="M377" t="n">
        <v>0</v>
      </c>
      <c r="N377" t="n">
        <v>0</v>
      </c>
      <c r="O377" t="n">
        <v>0</v>
      </c>
      <c r="P377" t="n">
        <v>0</v>
      </c>
      <c r="Q377" t="n">
        <v>0</v>
      </c>
      <c r="R377" s="2" t="inlineStr"/>
    </row>
    <row r="378" ht="15" customHeight="1">
      <c r="A378" t="inlineStr">
        <is>
          <t>A 65260-2021</t>
        </is>
      </c>
      <c r="B378" s="1" t="n">
        <v>44515</v>
      </c>
      <c r="C378" s="1" t="n">
        <v>45638</v>
      </c>
      <c r="D378" t="inlineStr">
        <is>
          <t>DALARNAS LÄN</t>
        </is>
      </c>
      <c r="E378" t="inlineStr">
        <is>
          <t>MALUNG-SÄLEN</t>
        </is>
      </c>
      <c r="F378" t="inlineStr">
        <is>
          <t>Allmännings- och besparingsskogar</t>
        </is>
      </c>
      <c r="G378" t="n">
        <v>19.1</v>
      </c>
      <c r="H378" t="n">
        <v>0</v>
      </c>
      <c r="I378" t="n">
        <v>0</v>
      </c>
      <c r="J378" t="n">
        <v>0</v>
      </c>
      <c r="K378" t="n">
        <v>0</v>
      </c>
      <c r="L378" t="n">
        <v>0</v>
      </c>
      <c r="M378" t="n">
        <v>0</v>
      </c>
      <c r="N378" t="n">
        <v>0</v>
      </c>
      <c r="O378" t="n">
        <v>0</v>
      </c>
      <c r="P378" t="n">
        <v>0</v>
      </c>
      <c r="Q378" t="n">
        <v>0</v>
      </c>
      <c r="R378" s="2" t="inlineStr"/>
    </row>
    <row r="379" ht="15" customHeight="1">
      <c r="A379" t="inlineStr">
        <is>
          <t>A 65266-2021</t>
        </is>
      </c>
      <c r="B379" s="1" t="n">
        <v>44515</v>
      </c>
      <c r="C379" s="1" t="n">
        <v>45638</v>
      </c>
      <c r="D379" t="inlineStr">
        <is>
          <t>DALARNAS LÄN</t>
        </is>
      </c>
      <c r="E379" t="inlineStr">
        <is>
          <t>MALUNG-SÄLEN</t>
        </is>
      </c>
      <c r="F379" t="inlineStr">
        <is>
          <t>Allmännings- och besparingsskogar</t>
        </is>
      </c>
      <c r="G379" t="n">
        <v>33.6</v>
      </c>
      <c r="H379" t="n">
        <v>0</v>
      </c>
      <c r="I379" t="n">
        <v>0</v>
      </c>
      <c r="J379" t="n">
        <v>0</v>
      </c>
      <c r="K379" t="n">
        <v>0</v>
      </c>
      <c r="L379" t="n">
        <v>0</v>
      </c>
      <c r="M379" t="n">
        <v>0</v>
      </c>
      <c r="N379" t="n">
        <v>0</v>
      </c>
      <c r="O379" t="n">
        <v>0</v>
      </c>
      <c r="P379" t="n">
        <v>0</v>
      </c>
      <c r="Q379" t="n">
        <v>0</v>
      </c>
      <c r="R379" s="2" t="inlineStr"/>
    </row>
    <row r="380" ht="15" customHeight="1">
      <c r="A380" t="inlineStr">
        <is>
          <t>A 65275-2021</t>
        </is>
      </c>
      <c r="B380" s="1" t="n">
        <v>44515</v>
      </c>
      <c r="C380" s="1" t="n">
        <v>45638</v>
      </c>
      <c r="D380" t="inlineStr">
        <is>
          <t>DALARNAS LÄN</t>
        </is>
      </c>
      <c r="E380" t="inlineStr">
        <is>
          <t>MALUNG-SÄLEN</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65465-2021</t>
        </is>
      </c>
      <c r="B381" s="1" t="n">
        <v>44516</v>
      </c>
      <c r="C381" s="1" t="n">
        <v>45638</v>
      </c>
      <c r="D381" t="inlineStr">
        <is>
          <t>DALARNAS LÄN</t>
        </is>
      </c>
      <c r="E381" t="inlineStr">
        <is>
          <t>MALUNG-SÄLEN</t>
        </is>
      </c>
      <c r="G381" t="n">
        <v>3.1</v>
      </c>
      <c r="H381" t="n">
        <v>0</v>
      </c>
      <c r="I381" t="n">
        <v>0</v>
      </c>
      <c r="J381" t="n">
        <v>0</v>
      </c>
      <c r="K381" t="n">
        <v>0</v>
      </c>
      <c r="L381" t="n">
        <v>0</v>
      </c>
      <c r="M381" t="n">
        <v>0</v>
      </c>
      <c r="N381" t="n">
        <v>0</v>
      </c>
      <c r="O381" t="n">
        <v>0</v>
      </c>
      <c r="P381" t="n">
        <v>0</v>
      </c>
      <c r="Q381" t="n">
        <v>0</v>
      </c>
      <c r="R381" s="2" t="inlineStr"/>
    </row>
    <row r="382" ht="15" customHeight="1">
      <c r="A382" t="inlineStr">
        <is>
          <t>A 67310-2021</t>
        </is>
      </c>
      <c r="B382" s="1" t="n">
        <v>44523</v>
      </c>
      <c r="C382" s="1" t="n">
        <v>45638</v>
      </c>
      <c r="D382" t="inlineStr">
        <is>
          <t>DALARNAS LÄN</t>
        </is>
      </c>
      <c r="E382" t="inlineStr">
        <is>
          <t>MALUNG-SÄLEN</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67320-2021</t>
        </is>
      </c>
      <c r="B383" s="1" t="n">
        <v>44523</v>
      </c>
      <c r="C383" s="1" t="n">
        <v>45638</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68141-2021</t>
        </is>
      </c>
      <c r="B384" s="1" t="n">
        <v>44526</v>
      </c>
      <c r="C384" s="1" t="n">
        <v>45638</v>
      </c>
      <c r="D384" t="inlineStr">
        <is>
          <t>DALARNAS LÄN</t>
        </is>
      </c>
      <c r="E384" t="inlineStr">
        <is>
          <t>MALUNG-SÄLEN</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68430-2021</t>
        </is>
      </c>
      <c r="B385" s="1" t="n">
        <v>44529</v>
      </c>
      <c r="C385" s="1" t="n">
        <v>45638</v>
      </c>
      <c r="D385" t="inlineStr">
        <is>
          <t>DALARNAS LÄN</t>
        </is>
      </c>
      <c r="E385" t="inlineStr">
        <is>
          <t>MALUNG-SÄLEN</t>
        </is>
      </c>
      <c r="G385" t="n">
        <v>4.9</v>
      </c>
      <c r="H385" t="n">
        <v>0</v>
      </c>
      <c r="I385" t="n">
        <v>0</v>
      </c>
      <c r="J385" t="n">
        <v>0</v>
      </c>
      <c r="K385" t="n">
        <v>0</v>
      </c>
      <c r="L385" t="n">
        <v>0</v>
      </c>
      <c r="M385" t="n">
        <v>0</v>
      </c>
      <c r="N385" t="n">
        <v>0</v>
      </c>
      <c r="O385" t="n">
        <v>0</v>
      </c>
      <c r="P385" t="n">
        <v>0</v>
      </c>
      <c r="Q385" t="n">
        <v>0</v>
      </c>
      <c r="R385" s="2" t="inlineStr"/>
    </row>
    <row r="386" ht="15" customHeight="1">
      <c r="A386" t="inlineStr">
        <is>
          <t>A 69381-2021</t>
        </is>
      </c>
      <c r="B386" s="1" t="n">
        <v>44531</v>
      </c>
      <c r="C386" s="1" t="n">
        <v>45638</v>
      </c>
      <c r="D386" t="inlineStr">
        <is>
          <t>DALARNAS LÄN</t>
        </is>
      </c>
      <c r="E386" t="inlineStr">
        <is>
          <t>MALUNG-SÄLEN</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70052-2021</t>
        </is>
      </c>
      <c r="B387" s="1" t="n">
        <v>44533</v>
      </c>
      <c r="C387" s="1" t="n">
        <v>45638</v>
      </c>
      <c r="D387" t="inlineStr">
        <is>
          <t>DALARNAS LÄN</t>
        </is>
      </c>
      <c r="E387" t="inlineStr">
        <is>
          <t>MALUNG-SÄLEN</t>
        </is>
      </c>
      <c r="G387" t="n">
        <v>1.6</v>
      </c>
      <c r="H387" t="n">
        <v>0</v>
      </c>
      <c r="I387" t="n">
        <v>0</v>
      </c>
      <c r="J387" t="n">
        <v>0</v>
      </c>
      <c r="K387" t="n">
        <v>0</v>
      </c>
      <c r="L387" t="n">
        <v>0</v>
      </c>
      <c r="M387" t="n">
        <v>0</v>
      </c>
      <c r="N387" t="n">
        <v>0</v>
      </c>
      <c r="O387" t="n">
        <v>0</v>
      </c>
      <c r="P387" t="n">
        <v>0</v>
      </c>
      <c r="Q387" t="n">
        <v>0</v>
      </c>
      <c r="R387" s="2" t="inlineStr"/>
    </row>
    <row r="388" ht="15" customHeight="1">
      <c r="A388" t="inlineStr">
        <is>
          <t>A 70647-2021</t>
        </is>
      </c>
      <c r="B388" s="1" t="n">
        <v>44537</v>
      </c>
      <c r="C388" s="1" t="n">
        <v>45638</v>
      </c>
      <c r="D388" t="inlineStr">
        <is>
          <t>DALARNAS LÄN</t>
        </is>
      </c>
      <c r="E388" t="inlineStr">
        <is>
          <t>MALUNG-SÄLEN</t>
        </is>
      </c>
      <c r="G388" t="n">
        <v>8.1</v>
      </c>
      <c r="H388" t="n">
        <v>0</v>
      </c>
      <c r="I388" t="n">
        <v>0</v>
      </c>
      <c r="J388" t="n">
        <v>0</v>
      </c>
      <c r="K388" t="n">
        <v>0</v>
      </c>
      <c r="L388" t="n">
        <v>0</v>
      </c>
      <c r="M388" t="n">
        <v>0</v>
      </c>
      <c r="N388" t="n">
        <v>0</v>
      </c>
      <c r="O388" t="n">
        <v>0</v>
      </c>
      <c r="P388" t="n">
        <v>0</v>
      </c>
      <c r="Q388" t="n">
        <v>0</v>
      </c>
      <c r="R388" s="2" t="inlineStr"/>
    </row>
    <row r="389" ht="15" customHeight="1">
      <c r="A389" t="inlineStr">
        <is>
          <t>A 71859-2021</t>
        </is>
      </c>
      <c r="B389" s="1" t="n">
        <v>44540</v>
      </c>
      <c r="C389" s="1" t="n">
        <v>45638</v>
      </c>
      <c r="D389" t="inlineStr">
        <is>
          <t>DALARNAS LÄN</t>
        </is>
      </c>
      <c r="E389" t="inlineStr">
        <is>
          <t>MALUNG-SÄLEN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72039-2021</t>
        </is>
      </c>
      <c r="B390" s="1" t="n">
        <v>44540</v>
      </c>
      <c r="C390" s="1" t="n">
        <v>45638</v>
      </c>
      <c r="D390" t="inlineStr">
        <is>
          <t>DALARNAS LÄN</t>
        </is>
      </c>
      <c r="E390" t="inlineStr">
        <is>
          <t>MALUNG-SÄLEN</t>
        </is>
      </c>
      <c r="F390" t="inlineStr">
        <is>
          <t>Allmännings- och besparingsskogar</t>
        </is>
      </c>
      <c r="G390" t="n">
        <v>10.2</v>
      </c>
      <c r="H390" t="n">
        <v>0</v>
      </c>
      <c r="I390" t="n">
        <v>0</v>
      </c>
      <c r="J390" t="n">
        <v>0</v>
      </c>
      <c r="K390" t="n">
        <v>0</v>
      </c>
      <c r="L390" t="n">
        <v>0</v>
      </c>
      <c r="M390" t="n">
        <v>0</v>
      </c>
      <c r="N390" t="n">
        <v>0</v>
      </c>
      <c r="O390" t="n">
        <v>0</v>
      </c>
      <c r="P390" t="n">
        <v>0</v>
      </c>
      <c r="Q390" t="n">
        <v>0</v>
      </c>
      <c r="R390" s="2" t="inlineStr"/>
    </row>
    <row r="391" ht="15" customHeight="1">
      <c r="A391" t="inlineStr">
        <is>
          <t>A 72154-2021</t>
        </is>
      </c>
      <c r="B391" s="1" t="n">
        <v>44544</v>
      </c>
      <c r="C391" s="1" t="n">
        <v>45638</v>
      </c>
      <c r="D391" t="inlineStr">
        <is>
          <t>DALARNAS LÄN</t>
        </is>
      </c>
      <c r="E391" t="inlineStr">
        <is>
          <t>MALUNG-SÄLEN</t>
        </is>
      </c>
      <c r="G391" t="n">
        <v>0.3</v>
      </c>
      <c r="H391" t="n">
        <v>0</v>
      </c>
      <c r="I391" t="n">
        <v>0</v>
      </c>
      <c r="J391" t="n">
        <v>0</v>
      </c>
      <c r="K391" t="n">
        <v>0</v>
      </c>
      <c r="L391" t="n">
        <v>0</v>
      </c>
      <c r="M391" t="n">
        <v>0</v>
      </c>
      <c r="N391" t="n">
        <v>0</v>
      </c>
      <c r="O391" t="n">
        <v>0</v>
      </c>
      <c r="P391" t="n">
        <v>0</v>
      </c>
      <c r="Q391" t="n">
        <v>0</v>
      </c>
      <c r="R391" s="2" t="inlineStr"/>
    </row>
    <row r="392" ht="15" customHeight="1">
      <c r="A392" t="inlineStr">
        <is>
          <t>A 72643-2021</t>
        </is>
      </c>
      <c r="B392" s="1" t="n">
        <v>44546</v>
      </c>
      <c r="C392" s="1" t="n">
        <v>45638</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72828-2021</t>
        </is>
      </c>
      <c r="B393" s="1" t="n">
        <v>44547</v>
      </c>
      <c r="C393" s="1" t="n">
        <v>45638</v>
      </c>
      <c r="D393" t="inlineStr">
        <is>
          <t>DALARNAS LÄN</t>
        </is>
      </c>
      <c r="E393" t="inlineStr">
        <is>
          <t>MALUNG-SÄLEN</t>
        </is>
      </c>
      <c r="G393" t="n">
        <v>12.3</v>
      </c>
      <c r="H393" t="n">
        <v>0</v>
      </c>
      <c r="I393" t="n">
        <v>0</v>
      </c>
      <c r="J393" t="n">
        <v>0</v>
      </c>
      <c r="K393" t="n">
        <v>0</v>
      </c>
      <c r="L393" t="n">
        <v>0</v>
      </c>
      <c r="M393" t="n">
        <v>0</v>
      </c>
      <c r="N393" t="n">
        <v>0</v>
      </c>
      <c r="O393" t="n">
        <v>0</v>
      </c>
      <c r="P393" t="n">
        <v>0</v>
      </c>
      <c r="Q393" t="n">
        <v>0</v>
      </c>
      <c r="R393" s="2" t="inlineStr"/>
    </row>
    <row r="394" ht="15" customHeight="1">
      <c r="A394" t="inlineStr">
        <is>
          <t>A 73175-2021</t>
        </is>
      </c>
      <c r="B394" s="1" t="n">
        <v>44550</v>
      </c>
      <c r="C394" s="1" t="n">
        <v>45638</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73681-2021</t>
        </is>
      </c>
      <c r="B395" s="1" t="n">
        <v>44552</v>
      </c>
      <c r="C395" s="1" t="n">
        <v>45638</v>
      </c>
      <c r="D395" t="inlineStr">
        <is>
          <t>DALARNAS LÄN</t>
        </is>
      </c>
      <c r="E395" t="inlineStr">
        <is>
          <t>MALUNG-SÄLEN</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74092-2021</t>
        </is>
      </c>
      <c r="B396" s="1" t="n">
        <v>44557</v>
      </c>
      <c r="C396" s="1" t="n">
        <v>45638</v>
      </c>
      <c r="D396" t="inlineStr">
        <is>
          <t>DALARNAS LÄN</t>
        </is>
      </c>
      <c r="E396" t="inlineStr">
        <is>
          <t>MALUNG-SÄLEN</t>
        </is>
      </c>
      <c r="G396" t="n">
        <v>0.5</v>
      </c>
      <c r="H396" t="n">
        <v>0</v>
      </c>
      <c r="I396" t="n">
        <v>0</v>
      </c>
      <c r="J396" t="n">
        <v>0</v>
      </c>
      <c r="K396" t="n">
        <v>0</v>
      </c>
      <c r="L396" t="n">
        <v>0</v>
      </c>
      <c r="M396" t="n">
        <v>0</v>
      </c>
      <c r="N396" t="n">
        <v>0</v>
      </c>
      <c r="O396" t="n">
        <v>0</v>
      </c>
      <c r="P396" t="n">
        <v>0</v>
      </c>
      <c r="Q396" t="n">
        <v>0</v>
      </c>
      <c r="R396" s="2" t="inlineStr"/>
    </row>
    <row r="397" ht="15" customHeight="1">
      <c r="A397" t="inlineStr">
        <is>
          <t>A 3110-2022</t>
        </is>
      </c>
      <c r="B397" s="1" t="n">
        <v>44582</v>
      </c>
      <c r="C397" s="1" t="n">
        <v>45638</v>
      </c>
      <c r="D397" t="inlineStr">
        <is>
          <t>DALARNAS LÄN</t>
        </is>
      </c>
      <c r="E397" t="inlineStr">
        <is>
          <t>MALUNG-SÄLEN</t>
        </is>
      </c>
      <c r="G397" t="n">
        <v>2.9</v>
      </c>
      <c r="H397" t="n">
        <v>0</v>
      </c>
      <c r="I397" t="n">
        <v>0</v>
      </c>
      <c r="J397" t="n">
        <v>0</v>
      </c>
      <c r="K397" t="n">
        <v>0</v>
      </c>
      <c r="L397" t="n">
        <v>0</v>
      </c>
      <c r="M397" t="n">
        <v>0</v>
      </c>
      <c r="N397" t="n">
        <v>0</v>
      </c>
      <c r="O397" t="n">
        <v>0</v>
      </c>
      <c r="P397" t="n">
        <v>0</v>
      </c>
      <c r="Q397" t="n">
        <v>0</v>
      </c>
      <c r="R397" s="2" t="inlineStr"/>
    </row>
    <row r="398" ht="15" customHeight="1">
      <c r="A398" t="inlineStr">
        <is>
          <t>A 4070-2022</t>
        </is>
      </c>
      <c r="B398" s="1" t="n">
        <v>44588</v>
      </c>
      <c r="C398" s="1" t="n">
        <v>45638</v>
      </c>
      <c r="D398" t="inlineStr">
        <is>
          <t>DALARNAS LÄN</t>
        </is>
      </c>
      <c r="E398" t="inlineStr">
        <is>
          <t>MALUNG-SÄLEN</t>
        </is>
      </c>
      <c r="G398" t="n">
        <v>4.3</v>
      </c>
      <c r="H398" t="n">
        <v>0</v>
      </c>
      <c r="I398" t="n">
        <v>0</v>
      </c>
      <c r="J398" t="n">
        <v>0</v>
      </c>
      <c r="K398" t="n">
        <v>0</v>
      </c>
      <c r="L398" t="n">
        <v>0</v>
      </c>
      <c r="M398" t="n">
        <v>0</v>
      </c>
      <c r="N398" t="n">
        <v>0</v>
      </c>
      <c r="O398" t="n">
        <v>0</v>
      </c>
      <c r="P398" t="n">
        <v>0</v>
      </c>
      <c r="Q398" t="n">
        <v>0</v>
      </c>
      <c r="R398" s="2" t="inlineStr"/>
    </row>
    <row r="399" ht="15" customHeight="1">
      <c r="A399" t="inlineStr">
        <is>
          <t>A 4420-2022</t>
        </is>
      </c>
      <c r="B399" s="1" t="n">
        <v>44589</v>
      </c>
      <c r="C399" s="1" t="n">
        <v>45638</v>
      </c>
      <c r="D399" t="inlineStr">
        <is>
          <t>DALARNAS LÄN</t>
        </is>
      </c>
      <c r="E399" t="inlineStr">
        <is>
          <t>MALUNG-SÄLEN</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6106-2022</t>
        </is>
      </c>
      <c r="B400" s="1" t="n">
        <v>44599</v>
      </c>
      <c r="C400" s="1" t="n">
        <v>45638</v>
      </c>
      <c r="D400" t="inlineStr">
        <is>
          <t>DALARNAS LÄN</t>
        </is>
      </c>
      <c r="E400" t="inlineStr">
        <is>
          <t>MALUNG-SÄLEN</t>
        </is>
      </c>
      <c r="G400" t="n">
        <v>9</v>
      </c>
      <c r="H400" t="n">
        <v>0</v>
      </c>
      <c r="I400" t="n">
        <v>0</v>
      </c>
      <c r="J400" t="n">
        <v>0</v>
      </c>
      <c r="K400" t="n">
        <v>0</v>
      </c>
      <c r="L400" t="n">
        <v>0</v>
      </c>
      <c r="M400" t="n">
        <v>0</v>
      </c>
      <c r="N400" t="n">
        <v>0</v>
      </c>
      <c r="O400" t="n">
        <v>0</v>
      </c>
      <c r="P400" t="n">
        <v>0</v>
      </c>
      <c r="Q400" t="n">
        <v>0</v>
      </c>
      <c r="R400" s="2" t="inlineStr"/>
    </row>
    <row r="401" ht="15" customHeight="1">
      <c r="A401" t="inlineStr">
        <is>
          <t>A 6362-2022</t>
        </is>
      </c>
      <c r="B401" s="1" t="n">
        <v>44600</v>
      </c>
      <c r="C401" s="1" t="n">
        <v>45638</v>
      </c>
      <c r="D401" t="inlineStr">
        <is>
          <t>DALARNAS LÄN</t>
        </is>
      </c>
      <c r="E401" t="inlineStr">
        <is>
          <t>MALUNG-SÄLEN</t>
        </is>
      </c>
      <c r="G401" t="n">
        <v>2.5</v>
      </c>
      <c r="H401" t="n">
        <v>0</v>
      </c>
      <c r="I401" t="n">
        <v>0</v>
      </c>
      <c r="J401" t="n">
        <v>0</v>
      </c>
      <c r="K401" t="n">
        <v>0</v>
      </c>
      <c r="L401" t="n">
        <v>0</v>
      </c>
      <c r="M401" t="n">
        <v>0</v>
      </c>
      <c r="N401" t="n">
        <v>0</v>
      </c>
      <c r="O401" t="n">
        <v>0</v>
      </c>
      <c r="P401" t="n">
        <v>0</v>
      </c>
      <c r="Q401" t="n">
        <v>0</v>
      </c>
      <c r="R401" s="2" t="inlineStr"/>
    </row>
    <row r="402" ht="15" customHeight="1">
      <c r="A402" t="inlineStr">
        <is>
          <t>A 6712-2022</t>
        </is>
      </c>
      <c r="B402" s="1" t="n">
        <v>44602</v>
      </c>
      <c r="C402" s="1" t="n">
        <v>45638</v>
      </c>
      <c r="D402" t="inlineStr">
        <is>
          <t>DALARNAS LÄN</t>
        </is>
      </c>
      <c r="E402" t="inlineStr">
        <is>
          <t>MALUNG-SÄLEN</t>
        </is>
      </c>
      <c r="G402" t="n">
        <v>1.1</v>
      </c>
      <c r="H402" t="n">
        <v>0</v>
      </c>
      <c r="I402" t="n">
        <v>0</v>
      </c>
      <c r="J402" t="n">
        <v>0</v>
      </c>
      <c r="K402" t="n">
        <v>0</v>
      </c>
      <c r="L402" t="n">
        <v>0</v>
      </c>
      <c r="M402" t="n">
        <v>0</v>
      </c>
      <c r="N402" t="n">
        <v>0</v>
      </c>
      <c r="O402" t="n">
        <v>0</v>
      </c>
      <c r="P402" t="n">
        <v>0</v>
      </c>
      <c r="Q402" t="n">
        <v>0</v>
      </c>
      <c r="R402" s="2" t="inlineStr"/>
    </row>
    <row r="403" ht="15" customHeight="1">
      <c r="A403" t="inlineStr">
        <is>
          <t>A 6945-2022</t>
        </is>
      </c>
      <c r="B403" s="1" t="n">
        <v>44603</v>
      </c>
      <c r="C403" s="1" t="n">
        <v>45638</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7081-2022</t>
        </is>
      </c>
      <c r="B404" s="1" t="n">
        <v>44603</v>
      </c>
      <c r="C404" s="1" t="n">
        <v>45638</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8474-2022</t>
        </is>
      </c>
      <c r="B405" s="1" t="n">
        <v>44613</v>
      </c>
      <c r="C405" s="1" t="n">
        <v>45638</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9299-2022</t>
        </is>
      </c>
      <c r="B406" s="1" t="n">
        <v>44616</v>
      </c>
      <c r="C406" s="1" t="n">
        <v>45638</v>
      </c>
      <c r="D406" t="inlineStr">
        <is>
          <t>DALARNAS LÄN</t>
        </is>
      </c>
      <c r="E406" t="inlineStr">
        <is>
          <t>MALUNG-SÄLEN</t>
        </is>
      </c>
      <c r="G406" t="n">
        <v>4.7</v>
      </c>
      <c r="H406" t="n">
        <v>0</v>
      </c>
      <c r="I406" t="n">
        <v>0</v>
      </c>
      <c r="J406" t="n">
        <v>0</v>
      </c>
      <c r="K406" t="n">
        <v>0</v>
      </c>
      <c r="L406" t="n">
        <v>0</v>
      </c>
      <c r="M406" t="n">
        <v>0</v>
      </c>
      <c r="N406" t="n">
        <v>0</v>
      </c>
      <c r="O406" t="n">
        <v>0</v>
      </c>
      <c r="P406" t="n">
        <v>0</v>
      </c>
      <c r="Q406" t="n">
        <v>0</v>
      </c>
      <c r="R406" s="2" t="inlineStr"/>
    </row>
    <row r="407" ht="15" customHeight="1">
      <c r="A407" t="inlineStr">
        <is>
          <t>A 9304-2022</t>
        </is>
      </c>
      <c r="B407" s="1" t="n">
        <v>44616</v>
      </c>
      <c r="C407" s="1" t="n">
        <v>45638</v>
      </c>
      <c r="D407" t="inlineStr">
        <is>
          <t>DALARNAS LÄN</t>
        </is>
      </c>
      <c r="E407" t="inlineStr">
        <is>
          <t>MALUNG-SÄLEN</t>
        </is>
      </c>
      <c r="G407" t="n">
        <v>2.6</v>
      </c>
      <c r="H407" t="n">
        <v>0</v>
      </c>
      <c r="I407" t="n">
        <v>0</v>
      </c>
      <c r="J407" t="n">
        <v>0</v>
      </c>
      <c r="K407" t="n">
        <v>0</v>
      </c>
      <c r="L407" t="n">
        <v>0</v>
      </c>
      <c r="M407" t="n">
        <v>0</v>
      </c>
      <c r="N407" t="n">
        <v>0</v>
      </c>
      <c r="O407" t="n">
        <v>0</v>
      </c>
      <c r="P407" t="n">
        <v>0</v>
      </c>
      <c r="Q407" t="n">
        <v>0</v>
      </c>
      <c r="R407" s="2" t="inlineStr"/>
    </row>
    <row r="408" ht="15" customHeight="1">
      <c r="A408" t="inlineStr">
        <is>
          <t>A 10386-2022</t>
        </is>
      </c>
      <c r="B408" s="1" t="n">
        <v>44623</v>
      </c>
      <c r="C408" s="1" t="n">
        <v>45638</v>
      </c>
      <c r="D408" t="inlineStr">
        <is>
          <t>DALARNAS LÄN</t>
        </is>
      </c>
      <c r="E408" t="inlineStr">
        <is>
          <t>MALUNG-SÄLEN</t>
        </is>
      </c>
      <c r="G408" t="n">
        <v>3.5</v>
      </c>
      <c r="H408" t="n">
        <v>0</v>
      </c>
      <c r="I408" t="n">
        <v>0</v>
      </c>
      <c r="J408" t="n">
        <v>0</v>
      </c>
      <c r="K408" t="n">
        <v>0</v>
      </c>
      <c r="L408" t="n">
        <v>0</v>
      </c>
      <c r="M408" t="n">
        <v>0</v>
      </c>
      <c r="N408" t="n">
        <v>0</v>
      </c>
      <c r="O408" t="n">
        <v>0</v>
      </c>
      <c r="P408" t="n">
        <v>0</v>
      </c>
      <c r="Q408" t="n">
        <v>0</v>
      </c>
      <c r="R408" s="2" t="inlineStr"/>
    </row>
    <row r="409" ht="15" customHeight="1">
      <c r="A409" t="inlineStr">
        <is>
          <t>A 10457-2022</t>
        </is>
      </c>
      <c r="B409" s="1" t="n">
        <v>44623</v>
      </c>
      <c r="C409" s="1" t="n">
        <v>45638</v>
      </c>
      <c r="D409" t="inlineStr">
        <is>
          <t>DALARNAS LÄN</t>
        </is>
      </c>
      <c r="E409" t="inlineStr">
        <is>
          <t>MALUNG-SÄLEN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11542-2022</t>
        </is>
      </c>
      <c r="B410" s="1" t="n">
        <v>44631</v>
      </c>
      <c r="C410" s="1" t="n">
        <v>45638</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12345-2022</t>
        </is>
      </c>
      <c r="B411" s="1" t="n">
        <v>44637</v>
      </c>
      <c r="C411" s="1" t="n">
        <v>45638</v>
      </c>
      <c r="D411" t="inlineStr">
        <is>
          <t>DALARNAS LÄN</t>
        </is>
      </c>
      <c r="E411" t="inlineStr">
        <is>
          <t>MALUNG-SÄLEN</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12842-2022</t>
        </is>
      </c>
      <c r="B412" s="1" t="n">
        <v>44641</v>
      </c>
      <c r="C412" s="1" t="n">
        <v>45638</v>
      </c>
      <c r="D412" t="inlineStr">
        <is>
          <t>DALARNAS LÄN</t>
        </is>
      </c>
      <c r="E412" t="inlineStr">
        <is>
          <t>MALUNG-SÄLEN</t>
        </is>
      </c>
      <c r="F412" t="inlineStr">
        <is>
          <t>Allmännings- och besparingsskogar</t>
        </is>
      </c>
      <c r="G412" t="n">
        <v>35.1</v>
      </c>
      <c r="H412" t="n">
        <v>0</v>
      </c>
      <c r="I412" t="n">
        <v>0</v>
      </c>
      <c r="J412" t="n">
        <v>0</v>
      </c>
      <c r="K412" t="n">
        <v>0</v>
      </c>
      <c r="L412" t="n">
        <v>0</v>
      </c>
      <c r="M412" t="n">
        <v>0</v>
      </c>
      <c r="N412" t="n">
        <v>0</v>
      </c>
      <c r="O412" t="n">
        <v>0</v>
      </c>
      <c r="P412" t="n">
        <v>0</v>
      </c>
      <c r="Q412" t="n">
        <v>0</v>
      </c>
      <c r="R412" s="2" t="inlineStr"/>
    </row>
    <row r="413" ht="15" customHeight="1">
      <c r="A413" t="inlineStr">
        <is>
          <t>A 12966-2022</t>
        </is>
      </c>
      <c r="B413" s="1" t="n">
        <v>44643</v>
      </c>
      <c r="C413" s="1" t="n">
        <v>45638</v>
      </c>
      <c r="D413" t="inlineStr">
        <is>
          <t>DALARNAS LÄN</t>
        </is>
      </c>
      <c r="E413" t="inlineStr">
        <is>
          <t>MALUNG-SÄLEN</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13230-2022</t>
        </is>
      </c>
      <c r="B414" s="1" t="n">
        <v>44644</v>
      </c>
      <c r="C414" s="1" t="n">
        <v>45638</v>
      </c>
      <c r="D414" t="inlineStr">
        <is>
          <t>DALARNAS LÄN</t>
        </is>
      </c>
      <c r="E414" t="inlineStr">
        <is>
          <t>MALUNG-SÄLEN</t>
        </is>
      </c>
      <c r="G414" t="n">
        <v>22.5</v>
      </c>
      <c r="H414" t="n">
        <v>0</v>
      </c>
      <c r="I414" t="n">
        <v>0</v>
      </c>
      <c r="J414" t="n">
        <v>0</v>
      </c>
      <c r="K414" t="n">
        <v>0</v>
      </c>
      <c r="L414" t="n">
        <v>0</v>
      </c>
      <c r="M414" t="n">
        <v>0</v>
      </c>
      <c r="N414" t="n">
        <v>0</v>
      </c>
      <c r="O414" t="n">
        <v>0</v>
      </c>
      <c r="P414" t="n">
        <v>0</v>
      </c>
      <c r="Q414" t="n">
        <v>0</v>
      </c>
      <c r="R414" s="2" t="inlineStr"/>
    </row>
    <row r="415" ht="15" customHeight="1">
      <c r="A415" t="inlineStr">
        <is>
          <t>A 13247-2022</t>
        </is>
      </c>
      <c r="B415" s="1" t="n">
        <v>44644</v>
      </c>
      <c r="C415" s="1" t="n">
        <v>45638</v>
      </c>
      <c r="D415" t="inlineStr">
        <is>
          <t>DALARNAS LÄN</t>
        </is>
      </c>
      <c r="E415" t="inlineStr">
        <is>
          <t>MALUNG-SÄLEN</t>
        </is>
      </c>
      <c r="G415" t="n">
        <v>10</v>
      </c>
      <c r="H415" t="n">
        <v>0</v>
      </c>
      <c r="I415" t="n">
        <v>0</v>
      </c>
      <c r="J415" t="n">
        <v>0</v>
      </c>
      <c r="K415" t="n">
        <v>0</v>
      </c>
      <c r="L415" t="n">
        <v>0</v>
      </c>
      <c r="M415" t="n">
        <v>0</v>
      </c>
      <c r="N415" t="n">
        <v>0</v>
      </c>
      <c r="O415" t="n">
        <v>0</v>
      </c>
      <c r="P415" t="n">
        <v>0</v>
      </c>
      <c r="Q415" t="n">
        <v>0</v>
      </c>
      <c r="R415" s="2" t="inlineStr"/>
    </row>
    <row r="416" ht="15" customHeight="1">
      <c r="A416" t="inlineStr">
        <is>
          <t>A 16380-2022</t>
        </is>
      </c>
      <c r="B416" s="1" t="n">
        <v>44671</v>
      </c>
      <c r="C416" s="1" t="n">
        <v>45638</v>
      </c>
      <c r="D416" t="inlineStr">
        <is>
          <t>DALARNAS LÄN</t>
        </is>
      </c>
      <c r="E416" t="inlineStr">
        <is>
          <t>MALUNG-SÄLEN</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17002-2022</t>
        </is>
      </c>
      <c r="B417" s="1" t="n">
        <v>44676</v>
      </c>
      <c r="C417" s="1" t="n">
        <v>45638</v>
      </c>
      <c r="D417" t="inlineStr">
        <is>
          <t>DALARNAS LÄN</t>
        </is>
      </c>
      <c r="E417" t="inlineStr">
        <is>
          <t>MALUNG-SÄLEN</t>
        </is>
      </c>
      <c r="G417" t="n">
        <v>3.6</v>
      </c>
      <c r="H417" t="n">
        <v>0</v>
      </c>
      <c r="I417" t="n">
        <v>0</v>
      </c>
      <c r="J417" t="n">
        <v>0</v>
      </c>
      <c r="K417" t="n">
        <v>0</v>
      </c>
      <c r="L417" t="n">
        <v>0</v>
      </c>
      <c r="M417" t="n">
        <v>0</v>
      </c>
      <c r="N417" t="n">
        <v>0</v>
      </c>
      <c r="O417" t="n">
        <v>0</v>
      </c>
      <c r="P417" t="n">
        <v>0</v>
      </c>
      <c r="Q417" t="n">
        <v>0</v>
      </c>
      <c r="R417" s="2" t="inlineStr"/>
    </row>
    <row r="418" ht="15" customHeight="1">
      <c r="A418" t="inlineStr">
        <is>
          <t>A 17161-2022</t>
        </is>
      </c>
      <c r="B418" s="1" t="n">
        <v>44677</v>
      </c>
      <c r="C418" s="1" t="n">
        <v>45638</v>
      </c>
      <c r="D418" t="inlineStr">
        <is>
          <t>DALARNAS LÄN</t>
        </is>
      </c>
      <c r="E418" t="inlineStr">
        <is>
          <t>MALUNG-SÄLEN</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17353-2022</t>
        </is>
      </c>
      <c r="B419" s="1" t="n">
        <v>44678</v>
      </c>
      <c r="C419" s="1" t="n">
        <v>45638</v>
      </c>
      <c r="D419" t="inlineStr">
        <is>
          <t>DALARNAS LÄN</t>
        </is>
      </c>
      <c r="E419" t="inlineStr">
        <is>
          <t>MALUNG-SÄLEN</t>
        </is>
      </c>
      <c r="F419" t="inlineStr">
        <is>
          <t>Bergvik skog öst AB</t>
        </is>
      </c>
      <c r="G419" t="n">
        <v>7.5</v>
      </c>
      <c r="H419" t="n">
        <v>0</v>
      </c>
      <c r="I419" t="n">
        <v>0</v>
      </c>
      <c r="J419" t="n">
        <v>0</v>
      </c>
      <c r="K419" t="n">
        <v>0</v>
      </c>
      <c r="L419" t="n">
        <v>0</v>
      </c>
      <c r="M419" t="n">
        <v>0</v>
      </c>
      <c r="N419" t="n">
        <v>0</v>
      </c>
      <c r="O419" t="n">
        <v>0</v>
      </c>
      <c r="P419" t="n">
        <v>0</v>
      </c>
      <c r="Q419" t="n">
        <v>0</v>
      </c>
      <c r="R419" s="2" t="inlineStr"/>
    </row>
    <row r="420" ht="15" customHeight="1">
      <c r="A420" t="inlineStr">
        <is>
          <t>A 18439-2022</t>
        </is>
      </c>
      <c r="B420" s="1" t="n">
        <v>44686</v>
      </c>
      <c r="C420" s="1" t="n">
        <v>45638</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18591-2022</t>
        </is>
      </c>
      <c r="B421" s="1" t="n">
        <v>44687</v>
      </c>
      <c r="C421" s="1" t="n">
        <v>45638</v>
      </c>
      <c r="D421" t="inlineStr">
        <is>
          <t>DALARNAS LÄN</t>
        </is>
      </c>
      <c r="E421" t="inlineStr">
        <is>
          <t>MALUNG-SÄLEN</t>
        </is>
      </c>
      <c r="F421" t="inlineStr">
        <is>
          <t>Bergvik skog öst AB</t>
        </is>
      </c>
      <c r="G421" t="n">
        <v>6.4</v>
      </c>
      <c r="H421" t="n">
        <v>0</v>
      </c>
      <c r="I421" t="n">
        <v>0</v>
      </c>
      <c r="J421" t="n">
        <v>0</v>
      </c>
      <c r="K421" t="n">
        <v>0</v>
      </c>
      <c r="L421" t="n">
        <v>0</v>
      </c>
      <c r="M421" t="n">
        <v>0</v>
      </c>
      <c r="N421" t="n">
        <v>0</v>
      </c>
      <c r="O421" t="n">
        <v>0</v>
      </c>
      <c r="P421" t="n">
        <v>0</v>
      </c>
      <c r="Q421" t="n">
        <v>0</v>
      </c>
      <c r="R421" s="2" t="inlineStr"/>
    </row>
    <row r="422" ht="15" customHeight="1">
      <c r="A422" t="inlineStr">
        <is>
          <t>A 19353-2022</t>
        </is>
      </c>
      <c r="B422" s="1" t="n">
        <v>44692</v>
      </c>
      <c r="C422" s="1" t="n">
        <v>45638</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19359-2022</t>
        </is>
      </c>
      <c r="B423" s="1" t="n">
        <v>44692</v>
      </c>
      <c r="C423" s="1" t="n">
        <v>45638</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19841-2022</t>
        </is>
      </c>
      <c r="B424" s="1" t="n">
        <v>44696</v>
      </c>
      <c r="C424" s="1" t="n">
        <v>45638</v>
      </c>
      <c r="D424" t="inlineStr">
        <is>
          <t>DALARNAS LÄN</t>
        </is>
      </c>
      <c r="E424" t="inlineStr">
        <is>
          <t>MALUNG-SÄLEN</t>
        </is>
      </c>
      <c r="G424" t="n">
        <v>0.7</v>
      </c>
      <c r="H424" t="n">
        <v>0</v>
      </c>
      <c r="I424" t="n">
        <v>0</v>
      </c>
      <c r="J424" t="n">
        <v>0</v>
      </c>
      <c r="K424" t="n">
        <v>0</v>
      </c>
      <c r="L424" t="n">
        <v>0</v>
      </c>
      <c r="M424" t="n">
        <v>0</v>
      </c>
      <c r="N424" t="n">
        <v>0</v>
      </c>
      <c r="O424" t="n">
        <v>0</v>
      </c>
      <c r="P424" t="n">
        <v>0</v>
      </c>
      <c r="Q424" t="n">
        <v>0</v>
      </c>
      <c r="R424" s="2" t="inlineStr"/>
    </row>
    <row r="425" ht="15" customHeight="1">
      <c r="A425" t="inlineStr">
        <is>
          <t>A 19937-2022</t>
        </is>
      </c>
      <c r="B425" s="1" t="n">
        <v>44697</v>
      </c>
      <c r="C425" s="1" t="n">
        <v>45638</v>
      </c>
      <c r="D425" t="inlineStr">
        <is>
          <t>DALARNAS LÄN</t>
        </is>
      </c>
      <c r="E425" t="inlineStr">
        <is>
          <t>MALUNG-SÄLEN</t>
        </is>
      </c>
      <c r="G425" t="n">
        <v>12.7</v>
      </c>
      <c r="H425" t="n">
        <v>0</v>
      </c>
      <c r="I425" t="n">
        <v>0</v>
      </c>
      <c r="J425" t="n">
        <v>0</v>
      </c>
      <c r="K425" t="n">
        <v>0</v>
      </c>
      <c r="L425" t="n">
        <v>0</v>
      </c>
      <c r="M425" t="n">
        <v>0</v>
      </c>
      <c r="N425" t="n">
        <v>0</v>
      </c>
      <c r="O425" t="n">
        <v>0</v>
      </c>
      <c r="P425" t="n">
        <v>0</v>
      </c>
      <c r="Q425" t="n">
        <v>0</v>
      </c>
      <c r="R425" s="2" t="inlineStr"/>
    </row>
    <row r="426" ht="15" customHeight="1">
      <c r="A426" t="inlineStr">
        <is>
          <t>A 20804-2022</t>
        </is>
      </c>
      <c r="B426" s="1" t="n">
        <v>44701</v>
      </c>
      <c r="C426" s="1" t="n">
        <v>45638</v>
      </c>
      <c r="D426" t="inlineStr">
        <is>
          <t>DALARNAS LÄN</t>
        </is>
      </c>
      <c r="E426" t="inlineStr">
        <is>
          <t>MALUNG-SÄLEN</t>
        </is>
      </c>
      <c r="G426" t="n">
        <v>4.3</v>
      </c>
      <c r="H426" t="n">
        <v>0</v>
      </c>
      <c r="I426" t="n">
        <v>0</v>
      </c>
      <c r="J426" t="n">
        <v>0</v>
      </c>
      <c r="K426" t="n">
        <v>0</v>
      </c>
      <c r="L426" t="n">
        <v>0</v>
      </c>
      <c r="M426" t="n">
        <v>0</v>
      </c>
      <c r="N426" t="n">
        <v>0</v>
      </c>
      <c r="O426" t="n">
        <v>0</v>
      </c>
      <c r="P426" t="n">
        <v>0</v>
      </c>
      <c r="Q426" t="n">
        <v>0</v>
      </c>
      <c r="R426" s="2" t="inlineStr"/>
    </row>
    <row r="427" ht="15" customHeight="1">
      <c r="A427" t="inlineStr">
        <is>
          <t>A 21081-2022</t>
        </is>
      </c>
      <c r="B427" s="1" t="n">
        <v>44704</v>
      </c>
      <c r="C427" s="1" t="n">
        <v>45638</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21555-2022</t>
        </is>
      </c>
      <c r="B428" s="1" t="n">
        <v>44706</v>
      </c>
      <c r="C428" s="1" t="n">
        <v>45638</v>
      </c>
      <c r="D428" t="inlineStr">
        <is>
          <t>DALARNAS LÄN</t>
        </is>
      </c>
      <c r="E428" t="inlineStr">
        <is>
          <t>MALUNG-SÄLEN</t>
        </is>
      </c>
      <c r="G428" t="n">
        <v>1.6</v>
      </c>
      <c r="H428" t="n">
        <v>0</v>
      </c>
      <c r="I428" t="n">
        <v>0</v>
      </c>
      <c r="J428" t="n">
        <v>0</v>
      </c>
      <c r="K428" t="n">
        <v>0</v>
      </c>
      <c r="L428" t="n">
        <v>0</v>
      </c>
      <c r="M428" t="n">
        <v>0</v>
      </c>
      <c r="N428" t="n">
        <v>0</v>
      </c>
      <c r="O428" t="n">
        <v>0</v>
      </c>
      <c r="P428" t="n">
        <v>0</v>
      </c>
      <c r="Q428" t="n">
        <v>0</v>
      </c>
      <c r="R428" s="2" t="inlineStr"/>
    </row>
    <row r="429" ht="15" customHeight="1">
      <c r="A429" t="inlineStr">
        <is>
          <t>A 21880-2022</t>
        </is>
      </c>
      <c r="B429" s="1" t="n">
        <v>44711</v>
      </c>
      <c r="C429" s="1" t="n">
        <v>45638</v>
      </c>
      <c r="D429" t="inlineStr">
        <is>
          <t>DALARNAS LÄN</t>
        </is>
      </c>
      <c r="E429" t="inlineStr">
        <is>
          <t>MALUNG-SÄLEN</t>
        </is>
      </c>
      <c r="G429" t="n">
        <v>7.1</v>
      </c>
      <c r="H429" t="n">
        <v>0</v>
      </c>
      <c r="I429" t="n">
        <v>0</v>
      </c>
      <c r="J429" t="n">
        <v>0</v>
      </c>
      <c r="K429" t="n">
        <v>0</v>
      </c>
      <c r="L429" t="n">
        <v>0</v>
      </c>
      <c r="M429" t="n">
        <v>0</v>
      </c>
      <c r="N429" t="n">
        <v>0</v>
      </c>
      <c r="O429" t="n">
        <v>0</v>
      </c>
      <c r="P429" t="n">
        <v>0</v>
      </c>
      <c r="Q429" t="n">
        <v>0</v>
      </c>
      <c r="R429" s="2" t="inlineStr"/>
    </row>
    <row r="430" ht="15" customHeight="1">
      <c r="A430" t="inlineStr">
        <is>
          <t>A 22310-2022</t>
        </is>
      </c>
      <c r="B430" s="1" t="n">
        <v>44712</v>
      </c>
      <c r="C430" s="1" t="n">
        <v>45638</v>
      </c>
      <c r="D430" t="inlineStr">
        <is>
          <t>DALARNAS LÄN</t>
        </is>
      </c>
      <c r="E430" t="inlineStr">
        <is>
          <t>MALUNG-SÄLEN</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23542-2022</t>
        </is>
      </c>
      <c r="B431" s="1" t="n">
        <v>44721</v>
      </c>
      <c r="C431" s="1" t="n">
        <v>45638</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23617-2022</t>
        </is>
      </c>
      <c r="B432" s="1" t="n">
        <v>44721</v>
      </c>
      <c r="C432" s="1" t="n">
        <v>45638</v>
      </c>
      <c r="D432" t="inlineStr">
        <is>
          <t>DALARNAS LÄN</t>
        </is>
      </c>
      <c r="E432" t="inlineStr">
        <is>
          <t>MALUNG-SÄLEN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23606-2022</t>
        </is>
      </c>
      <c r="B433" s="1" t="n">
        <v>44721</v>
      </c>
      <c r="C433" s="1" t="n">
        <v>45638</v>
      </c>
      <c r="D433" t="inlineStr">
        <is>
          <t>DALARNAS LÄN</t>
        </is>
      </c>
      <c r="E433" t="inlineStr">
        <is>
          <t>MALUNG-SÄLEN</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23651-2022</t>
        </is>
      </c>
      <c r="B434" s="1" t="n">
        <v>44721</v>
      </c>
      <c r="C434" s="1" t="n">
        <v>45638</v>
      </c>
      <c r="D434" t="inlineStr">
        <is>
          <t>DALARNAS LÄN</t>
        </is>
      </c>
      <c r="E434" t="inlineStr">
        <is>
          <t>MALUNG-SÄLEN</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24164-2022</t>
        </is>
      </c>
      <c r="B435" s="1" t="n">
        <v>44725</v>
      </c>
      <c r="C435" s="1" t="n">
        <v>45638</v>
      </c>
      <c r="D435" t="inlineStr">
        <is>
          <t>DALARNAS LÄN</t>
        </is>
      </c>
      <c r="E435" t="inlineStr">
        <is>
          <t>MALUNG-SÄLEN</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24168-2022</t>
        </is>
      </c>
      <c r="B436" s="1" t="n">
        <v>44725</v>
      </c>
      <c r="C436" s="1" t="n">
        <v>45638</v>
      </c>
      <c r="D436" t="inlineStr">
        <is>
          <t>DALARNAS LÄN</t>
        </is>
      </c>
      <c r="E436" t="inlineStr">
        <is>
          <t>MALUNG-SÄLEN</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24104-2022</t>
        </is>
      </c>
      <c r="B437" s="1" t="n">
        <v>44725</v>
      </c>
      <c r="C437" s="1" t="n">
        <v>45638</v>
      </c>
      <c r="D437" t="inlineStr">
        <is>
          <t>DALARNAS LÄN</t>
        </is>
      </c>
      <c r="E437" t="inlineStr">
        <is>
          <t>MALUNG-SÄLEN</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24140-2022</t>
        </is>
      </c>
      <c r="B438" s="1" t="n">
        <v>44725</v>
      </c>
      <c r="C438" s="1" t="n">
        <v>45638</v>
      </c>
      <c r="D438" t="inlineStr">
        <is>
          <t>DALARNAS LÄN</t>
        </is>
      </c>
      <c r="E438" t="inlineStr">
        <is>
          <t>MALUNG-SÄLEN</t>
        </is>
      </c>
      <c r="F438" t="inlineStr">
        <is>
          <t>Kommuner</t>
        </is>
      </c>
      <c r="G438" t="n">
        <v>10.2</v>
      </c>
      <c r="H438" t="n">
        <v>0</v>
      </c>
      <c r="I438" t="n">
        <v>0</v>
      </c>
      <c r="J438" t="n">
        <v>0</v>
      </c>
      <c r="K438" t="n">
        <v>0</v>
      </c>
      <c r="L438" t="n">
        <v>0</v>
      </c>
      <c r="M438" t="n">
        <v>0</v>
      </c>
      <c r="N438" t="n">
        <v>0</v>
      </c>
      <c r="O438" t="n">
        <v>0</v>
      </c>
      <c r="P438" t="n">
        <v>0</v>
      </c>
      <c r="Q438" t="n">
        <v>0</v>
      </c>
      <c r="R438" s="2" t="inlineStr"/>
    </row>
    <row r="439" ht="15" customHeight="1">
      <c r="A439" t="inlineStr">
        <is>
          <t>A 24103-2022</t>
        </is>
      </c>
      <c r="B439" s="1" t="n">
        <v>44725</v>
      </c>
      <c r="C439" s="1" t="n">
        <v>45638</v>
      </c>
      <c r="D439" t="inlineStr">
        <is>
          <t>DALARNAS LÄN</t>
        </is>
      </c>
      <c r="E439" t="inlineStr">
        <is>
          <t>MALUNG-SÄLEN</t>
        </is>
      </c>
      <c r="F439" t="inlineStr">
        <is>
          <t>Kommuner</t>
        </is>
      </c>
      <c r="G439" t="n">
        <v>3.8</v>
      </c>
      <c r="H439" t="n">
        <v>0</v>
      </c>
      <c r="I439" t="n">
        <v>0</v>
      </c>
      <c r="J439" t="n">
        <v>0</v>
      </c>
      <c r="K439" t="n">
        <v>0</v>
      </c>
      <c r="L439" t="n">
        <v>0</v>
      </c>
      <c r="M439" t="n">
        <v>0</v>
      </c>
      <c r="N439" t="n">
        <v>0</v>
      </c>
      <c r="O439" t="n">
        <v>0</v>
      </c>
      <c r="P439" t="n">
        <v>0</v>
      </c>
      <c r="Q439" t="n">
        <v>0</v>
      </c>
      <c r="R439" s="2" t="inlineStr"/>
    </row>
    <row r="440" ht="15" customHeight="1">
      <c r="A440" t="inlineStr">
        <is>
          <t>A 24165-2022</t>
        </is>
      </c>
      <c r="B440" s="1" t="n">
        <v>44725</v>
      </c>
      <c r="C440" s="1" t="n">
        <v>45638</v>
      </c>
      <c r="D440" t="inlineStr">
        <is>
          <t>DALARNAS LÄN</t>
        </is>
      </c>
      <c r="E440" t="inlineStr">
        <is>
          <t>MALUNG-SÄLEN</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24174-2022</t>
        </is>
      </c>
      <c r="B441" s="1" t="n">
        <v>44725</v>
      </c>
      <c r="C441" s="1" t="n">
        <v>45638</v>
      </c>
      <c r="D441" t="inlineStr">
        <is>
          <t>DALARNAS LÄN</t>
        </is>
      </c>
      <c r="E441" t="inlineStr">
        <is>
          <t>MALUNG-SÄLEN</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24107-2022</t>
        </is>
      </c>
      <c r="B442" s="1" t="n">
        <v>44725</v>
      </c>
      <c r="C442" s="1" t="n">
        <v>45638</v>
      </c>
      <c r="D442" t="inlineStr">
        <is>
          <t>DALARNAS LÄN</t>
        </is>
      </c>
      <c r="E442" t="inlineStr">
        <is>
          <t>MALUNG-SÄLEN</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24364-2022</t>
        </is>
      </c>
      <c r="B443" s="1" t="n">
        <v>44726</v>
      </c>
      <c r="C443" s="1" t="n">
        <v>45638</v>
      </c>
      <c r="D443" t="inlineStr">
        <is>
          <t>DALARNAS LÄN</t>
        </is>
      </c>
      <c r="E443" t="inlineStr">
        <is>
          <t>MALUNG-SÄLEN</t>
        </is>
      </c>
      <c r="G443" t="n">
        <v>2.4</v>
      </c>
      <c r="H443" t="n">
        <v>0</v>
      </c>
      <c r="I443" t="n">
        <v>0</v>
      </c>
      <c r="J443" t="n">
        <v>0</v>
      </c>
      <c r="K443" t="n">
        <v>0</v>
      </c>
      <c r="L443" t="n">
        <v>0</v>
      </c>
      <c r="M443" t="n">
        <v>0</v>
      </c>
      <c r="N443" t="n">
        <v>0</v>
      </c>
      <c r="O443" t="n">
        <v>0</v>
      </c>
      <c r="P443" t="n">
        <v>0</v>
      </c>
      <c r="Q443" t="n">
        <v>0</v>
      </c>
      <c r="R443" s="2" t="inlineStr"/>
    </row>
    <row r="444" ht="15" customHeight="1">
      <c r="A444" t="inlineStr">
        <is>
          <t>A 25772-2022</t>
        </is>
      </c>
      <c r="B444" s="1" t="n">
        <v>44733</v>
      </c>
      <c r="C444" s="1" t="n">
        <v>45638</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25782-2022</t>
        </is>
      </c>
      <c r="B445" s="1" t="n">
        <v>44733</v>
      </c>
      <c r="C445" s="1" t="n">
        <v>45638</v>
      </c>
      <c r="D445" t="inlineStr">
        <is>
          <t>DALARNAS LÄN</t>
        </is>
      </c>
      <c r="E445" t="inlineStr">
        <is>
          <t>MALUNG-SÄLEN</t>
        </is>
      </c>
      <c r="G445" t="n">
        <v>6.1</v>
      </c>
      <c r="H445" t="n">
        <v>0</v>
      </c>
      <c r="I445" t="n">
        <v>0</v>
      </c>
      <c r="J445" t="n">
        <v>0</v>
      </c>
      <c r="K445" t="n">
        <v>0</v>
      </c>
      <c r="L445" t="n">
        <v>0</v>
      </c>
      <c r="M445" t="n">
        <v>0</v>
      </c>
      <c r="N445" t="n">
        <v>0</v>
      </c>
      <c r="O445" t="n">
        <v>0</v>
      </c>
      <c r="P445" t="n">
        <v>0</v>
      </c>
      <c r="Q445" t="n">
        <v>0</v>
      </c>
      <c r="R445" s="2" t="inlineStr"/>
    </row>
    <row r="446" ht="15" customHeight="1">
      <c r="A446" t="inlineStr">
        <is>
          <t>A 25872-2022</t>
        </is>
      </c>
      <c r="B446" s="1" t="n">
        <v>44733</v>
      </c>
      <c r="C446" s="1" t="n">
        <v>45638</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26010-2022</t>
        </is>
      </c>
      <c r="B447" s="1" t="n">
        <v>44734</v>
      </c>
      <c r="C447" s="1" t="n">
        <v>45638</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26672-2022</t>
        </is>
      </c>
      <c r="B448" s="1" t="n">
        <v>44739</v>
      </c>
      <c r="C448" s="1" t="n">
        <v>45638</v>
      </c>
      <c r="D448" t="inlineStr">
        <is>
          <t>DALARNAS LÄN</t>
        </is>
      </c>
      <c r="E448" t="inlineStr">
        <is>
          <t>MALUNG-SÄLEN</t>
        </is>
      </c>
      <c r="G448" t="n">
        <v>1.5</v>
      </c>
      <c r="H448" t="n">
        <v>0</v>
      </c>
      <c r="I448" t="n">
        <v>0</v>
      </c>
      <c r="J448" t="n">
        <v>0</v>
      </c>
      <c r="K448" t="n">
        <v>0</v>
      </c>
      <c r="L448" t="n">
        <v>0</v>
      </c>
      <c r="M448" t="n">
        <v>0</v>
      </c>
      <c r="N448" t="n">
        <v>0</v>
      </c>
      <c r="O448" t="n">
        <v>0</v>
      </c>
      <c r="P448" t="n">
        <v>0</v>
      </c>
      <c r="Q448" t="n">
        <v>0</v>
      </c>
      <c r="R448" s="2" t="inlineStr"/>
    </row>
    <row r="449" ht="15" customHeight="1">
      <c r="A449" t="inlineStr">
        <is>
          <t>A 26667-2022</t>
        </is>
      </c>
      <c r="B449" s="1" t="n">
        <v>44739</v>
      </c>
      <c r="C449" s="1" t="n">
        <v>45638</v>
      </c>
      <c r="D449" t="inlineStr">
        <is>
          <t>DALARNAS LÄN</t>
        </is>
      </c>
      <c r="E449" t="inlineStr">
        <is>
          <t>MALUNG-SÄLEN</t>
        </is>
      </c>
      <c r="G449" t="n">
        <v>4.2</v>
      </c>
      <c r="H449" t="n">
        <v>0</v>
      </c>
      <c r="I449" t="n">
        <v>0</v>
      </c>
      <c r="J449" t="n">
        <v>0</v>
      </c>
      <c r="K449" t="n">
        <v>0</v>
      </c>
      <c r="L449" t="n">
        <v>0</v>
      </c>
      <c r="M449" t="n">
        <v>0</v>
      </c>
      <c r="N449" t="n">
        <v>0</v>
      </c>
      <c r="O449" t="n">
        <v>0</v>
      </c>
      <c r="P449" t="n">
        <v>0</v>
      </c>
      <c r="Q449" t="n">
        <v>0</v>
      </c>
      <c r="R449" s="2" t="inlineStr"/>
    </row>
    <row r="450" ht="15" customHeight="1">
      <c r="A450" t="inlineStr">
        <is>
          <t>A 27172-2022</t>
        </is>
      </c>
      <c r="B450" s="1" t="n">
        <v>44741</v>
      </c>
      <c r="C450" s="1" t="n">
        <v>45638</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27139-2022</t>
        </is>
      </c>
      <c r="B451" s="1" t="n">
        <v>44741</v>
      </c>
      <c r="C451" s="1" t="n">
        <v>45638</v>
      </c>
      <c r="D451" t="inlineStr">
        <is>
          <t>DALARNAS LÄN</t>
        </is>
      </c>
      <c r="E451" t="inlineStr">
        <is>
          <t>MALUNG-SÄLEN</t>
        </is>
      </c>
      <c r="F451" t="inlineStr">
        <is>
          <t>Kommuner</t>
        </is>
      </c>
      <c r="G451" t="n">
        <v>4.9</v>
      </c>
      <c r="H451" t="n">
        <v>0</v>
      </c>
      <c r="I451" t="n">
        <v>0</v>
      </c>
      <c r="J451" t="n">
        <v>0</v>
      </c>
      <c r="K451" t="n">
        <v>0</v>
      </c>
      <c r="L451" t="n">
        <v>0</v>
      </c>
      <c r="M451" t="n">
        <v>0</v>
      </c>
      <c r="N451" t="n">
        <v>0</v>
      </c>
      <c r="O451" t="n">
        <v>0</v>
      </c>
      <c r="P451" t="n">
        <v>0</v>
      </c>
      <c r="Q451" t="n">
        <v>0</v>
      </c>
      <c r="R451" s="2" t="inlineStr"/>
    </row>
    <row r="452" ht="15" customHeight="1">
      <c r="A452" t="inlineStr">
        <is>
          <t>A 27143-2022</t>
        </is>
      </c>
      <c r="B452" s="1" t="n">
        <v>44741</v>
      </c>
      <c r="C452" s="1" t="n">
        <v>45638</v>
      </c>
      <c r="D452" t="inlineStr">
        <is>
          <t>DALARNAS LÄN</t>
        </is>
      </c>
      <c r="E452" t="inlineStr">
        <is>
          <t>MALUNG-SÄLEN</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27841-2022</t>
        </is>
      </c>
      <c r="B453" s="1" t="n">
        <v>44743</v>
      </c>
      <c r="C453" s="1" t="n">
        <v>45638</v>
      </c>
      <c r="D453" t="inlineStr">
        <is>
          <t>DALARNAS LÄN</t>
        </is>
      </c>
      <c r="E453" t="inlineStr">
        <is>
          <t>MALUNG-SÄLEN</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27846-2022</t>
        </is>
      </c>
      <c r="B454" s="1" t="n">
        <v>44743</v>
      </c>
      <c r="C454" s="1" t="n">
        <v>45638</v>
      </c>
      <c r="D454" t="inlineStr">
        <is>
          <t>DALARNAS LÄN</t>
        </is>
      </c>
      <c r="E454" t="inlineStr">
        <is>
          <t>MALUNG-SÄLEN</t>
        </is>
      </c>
      <c r="F454" t="inlineStr">
        <is>
          <t>Kommuner</t>
        </is>
      </c>
      <c r="G454" t="n">
        <v>0.3</v>
      </c>
      <c r="H454" t="n">
        <v>0</v>
      </c>
      <c r="I454" t="n">
        <v>0</v>
      </c>
      <c r="J454" t="n">
        <v>0</v>
      </c>
      <c r="K454" t="n">
        <v>0</v>
      </c>
      <c r="L454" t="n">
        <v>0</v>
      </c>
      <c r="M454" t="n">
        <v>0</v>
      </c>
      <c r="N454" t="n">
        <v>0</v>
      </c>
      <c r="O454" t="n">
        <v>0</v>
      </c>
      <c r="P454" t="n">
        <v>0</v>
      </c>
      <c r="Q454" t="n">
        <v>0</v>
      </c>
      <c r="R454" s="2" t="inlineStr"/>
    </row>
    <row r="455" ht="15" customHeight="1">
      <c r="A455" t="inlineStr">
        <is>
          <t>A 27839-2022</t>
        </is>
      </c>
      <c r="B455" s="1" t="n">
        <v>44743</v>
      </c>
      <c r="C455" s="1" t="n">
        <v>45638</v>
      </c>
      <c r="D455" t="inlineStr">
        <is>
          <t>DALARNAS LÄN</t>
        </is>
      </c>
      <c r="E455" t="inlineStr">
        <is>
          <t>MALUNG-SÄLEN</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27849-2022</t>
        </is>
      </c>
      <c r="B456" s="1" t="n">
        <v>44743</v>
      </c>
      <c r="C456" s="1" t="n">
        <v>45638</v>
      </c>
      <c r="D456" t="inlineStr">
        <is>
          <t>DALARNAS LÄN</t>
        </is>
      </c>
      <c r="E456" t="inlineStr">
        <is>
          <t>MALUNG-SÄLEN</t>
        </is>
      </c>
      <c r="F456" t="inlineStr">
        <is>
          <t>Kommuner</t>
        </is>
      </c>
      <c r="G456" t="n">
        <v>0.4</v>
      </c>
      <c r="H456" t="n">
        <v>0</v>
      </c>
      <c r="I456" t="n">
        <v>0</v>
      </c>
      <c r="J456" t="n">
        <v>0</v>
      </c>
      <c r="K456" t="n">
        <v>0</v>
      </c>
      <c r="L456" t="n">
        <v>0</v>
      </c>
      <c r="M456" t="n">
        <v>0</v>
      </c>
      <c r="N456" t="n">
        <v>0</v>
      </c>
      <c r="O456" t="n">
        <v>0</v>
      </c>
      <c r="P456" t="n">
        <v>0</v>
      </c>
      <c r="Q456" t="n">
        <v>0</v>
      </c>
      <c r="R456" s="2" t="inlineStr"/>
    </row>
    <row r="457" ht="15" customHeight="1">
      <c r="A457" t="inlineStr">
        <is>
          <t>A 28921-2022</t>
        </is>
      </c>
      <c r="B457" s="1" t="n">
        <v>44749</v>
      </c>
      <c r="C457" s="1" t="n">
        <v>45638</v>
      </c>
      <c r="D457" t="inlineStr">
        <is>
          <t>DALARNAS LÄN</t>
        </is>
      </c>
      <c r="E457" t="inlineStr">
        <is>
          <t>MALUNG-SÄLEN</t>
        </is>
      </c>
      <c r="F457" t="inlineStr">
        <is>
          <t>Bergvik skog öst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28895-2022</t>
        </is>
      </c>
      <c r="B458" s="1" t="n">
        <v>44749</v>
      </c>
      <c r="C458" s="1" t="n">
        <v>45638</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29110-2022</t>
        </is>
      </c>
      <c r="B459" s="1" t="n">
        <v>44750</v>
      </c>
      <c r="C459" s="1" t="n">
        <v>45638</v>
      </c>
      <c r="D459" t="inlineStr">
        <is>
          <t>DALARNAS LÄN</t>
        </is>
      </c>
      <c r="E459" t="inlineStr">
        <is>
          <t>MALUNG-SÄLEN</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29597-2022</t>
        </is>
      </c>
      <c r="B460" s="1" t="n">
        <v>44754</v>
      </c>
      <c r="C460" s="1" t="n">
        <v>45638</v>
      </c>
      <c r="D460" t="inlineStr">
        <is>
          <t>DALARNAS LÄN</t>
        </is>
      </c>
      <c r="E460" t="inlineStr">
        <is>
          <t>MALUNG-SÄLEN</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29861-2022</t>
        </is>
      </c>
      <c r="B461" s="1" t="n">
        <v>44756</v>
      </c>
      <c r="C461" s="1" t="n">
        <v>45638</v>
      </c>
      <c r="D461" t="inlineStr">
        <is>
          <t>DALARNAS LÄN</t>
        </is>
      </c>
      <c r="E461" t="inlineStr">
        <is>
          <t>MALUNG-SÄLEN</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29998-2022</t>
        </is>
      </c>
      <c r="B462" s="1" t="n">
        <v>44756</v>
      </c>
      <c r="C462" s="1" t="n">
        <v>45638</v>
      </c>
      <c r="D462" t="inlineStr">
        <is>
          <t>DALARNAS LÄN</t>
        </is>
      </c>
      <c r="E462" t="inlineStr">
        <is>
          <t>MALUNG-SÄLEN</t>
        </is>
      </c>
      <c r="G462" t="n">
        <v>1.8</v>
      </c>
      <c r="H462" t="n">
        <v>0</v>
      </c>
      <c r="I462" t="n">
        <v>0</v>
      </c>
      <c r="J462" t="n">
        <v>0</v>
      </c>
      <c r="K462" t="n">
        <v>0</v>
      </c>
      <c r="L462" t="n">
        <v>0</v>
      </c>
      <c r="M462" t="n">
        <v>0</v>
      </c>
      <c r="N462" t="n">
        <v>0</v>
      </c>
      <c r="O462" t="n">
        <v>0</v>
      </c>
      <c r="P462" t="n">
        <v>0</v>
      </c>
      <c r="Q462" t="n">
        <v>0</v>
      </c>
      <c r="R462" s="2" t="inlineStr"/>
    </row>
    <row r="463" ht="15" customHeight="1">
      <c r="A463" t="inlineStr">
        <is>
          <t>A 32486-2022</t>
        </is>
      </c>
      <c r="B463" s="1" t="n">
        <v>44782</v>
      </c>
      <c r="C463" s="1" t="n">
        <v>45638</v>
      </c>
      <c r="D463" t="inlineStr">
        <is>
          <t>DALARNAS LÄN</t>
        </is>
      </c>
      <c r="E463" t="inlineStr">
        <is>
          <t>MALUNG-SÄLEN</t>
        </is>
      </c>
      <c r="F463" t="inlineStr">
        <is>
          <t>Bergvik skog öst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33618-2022</t>
        </is>
      </c>
      <c r="B464" s="1" t="n">
        <v>44789</v>
      </c>
      <c r="C464" s="1" t="n">
        <v>45638</v>
      </c>
      <c r="D464" t="inlineStr">
        <is>
          <t>DALARNAS LÄN</t>
        </is>
      </c>
      <c r="E464" t="inlineStr">
        <is>
          <t>MALUNG-SÄLEN</t>
        </is>
      </c>
      <c r="G464" t="n">
        <v>1.6</v>
      </c>
      <c r="H464" t="n">
        <v>0</v>
      </c>
      <c r="I464" t="n">
        <v>0</v>
      </c>
      <c r="J464" t="n">
        <v>0</v>
      </c>
      <c r="K464" t="n">
        <v>0</v>
      </c>
      <c r="L464" t="n">
        <v>0</v>
      </c>
      <c r="M464" t="n">
        <v>0</v>
      </c>
      <c r="N464" t="n">
        <v>0</v>
      </c>
      <c r="O464" t="n">
        <v>0</v>
      </c>
      <c r="P464" t="n">
        <v>0</v>
      </c>
      <c r="Q464" t="n">
        <v>0</v>
      </c>
      <c r="R464" s="2" t="inlineStr"/>
    </row>
    <row r="465" ht="15" customHeight="1">
      <c r="A465" t="inlineStr">
        <is>
          <t>A 33652-2022</t>
        </is>
      </c>
      <c r="B465" s="1" t="n">
        <v>44789</v>
      </c>
      <c r="C465" s="1" t="n">
        <v>45638</v>
      </c>
      <c r="D465" t="inlineStr">
        <is>
          <t>DALARNAS LÄN</t>
        </is>
      </c>
      <c r="E465" t="inlineStr">
        <is>
          <t>MALUNG-SÄLEN</t>
        </is>
      </c>
      <c r="G465" t="n">
        <v>7.3</v>
      </c>
      <c r="H465" t="n">
        <v>0</v>
      </c>
      <c r="I465" t="n">
        <v>0</v>
      </c>
      <c r="J465" t="n">
        <v>0</v>
      </c>
      <c r="K465" t="n">
        <v>0</v>
      </c>
      <c r="L465" t="n">
        <v>0</v>
      </c>
      <c r="M465" t="n">
        <v>0</v>
      </c>
      <c r="N465" t="n">
        <v>0</v>
      </c>
      <c r="O465" t="n">
        <v>0</v>
      </c>
      <c r="P465" t="n">
        <v>0</v>
      </c>
      <c r="Q465" t="n">
        <v>0</v>
      </c>
      <c r="R465" s="2" t="inlineStr"/>
    </row>
    <row r="466" ht="15" customHeight="1">
      <c r="A466" t="inlineStr">
        <is>
          <t>A 34077-2022</t>
        </is>
      </c>
      <c r="B466" s="1" t="n">
        <v>44791</v>
      </c>
      <c r="C466" s="1" t="n">
        <v>45638</v>
      </c>
      <c r="D466" t="inlineStr">
        <is>
          <t>DALARNAS LÄN</t>
        </is>
      </c>
      <c r="E466" t="inlineStr">
        <is>
          <t>MALUNG-SÄLEN</t>
        </is>
      </c>
      <c r="F466" t="inlineStr">
        <is>
          <t>Bergvik skog öst AB</t>
        </is>
      </c>
      <c r="G466" t="n">
        <v>2.4</v>
      </c>
      <c r="H466" t="n">
        <v>0</v>
      </c>
      <c r="I466" t="n">
        <v>0</v>
      </c>
      <c r="J466" t="n">
        <v>0</v>
      </c>
      <c r="K466" t="n">
        <v>0</v>
      </c>
      <c r="L466" t="n">
        <v>0</v>
      </c>
      <c r="M466" t="n">
        <v>0</v>
      </c>
      <c r="N466" t="n">
        <v>0</v>
      </c>
      <c r="O466" t="n">
        <v>0</v>
      </c>
      <c r="P466" t="n">
        <v>0</v>
      </c>
      <c r="Q466" t="n">
        <v>0</v>
      </c>
      <c r="R466" s="2" t="inlineStr"/>
    </row>
    <row r="467" ht="15" customHeight="1">
      <c r="A467" t="inlineStr">
        <is>
          <t>A 34603-2022</t>
        </is>
      </c>
      <c r="B467" s="1" t="n">
        <v>44795</v>
      </c>
      <c r="C467" s="1" t="n">
        <v>45638</v>
      </c>
      <c r="D467" t="inlineStr">
        <is>
          <t>DALARNAS LÄN</t>
        </is>
      </c>
      <c r="E467" t="inlineStr">
        <is>
          <t>MALUNG-SÄLEN</t>
        </is>
      </c>
      <c r="G467" t="n">
        <v>5.4</v>
      </c>
      <c r="H467" t="n">
        <v>0</v>
      </c>
      <c r="I467" t="n">
        <v>0</v>
      </c>
      <c r="J467" t="n">
        <v>0</v>
      </c>
      <c r="K467" t="n">
        <v>0</v>
      </c>
      <c r="L467" t="n">
        <v>0</v>
      </c>
      <c r="M467" t="n">
        <v>0</v>
      </c>
      <c r="N467" t="n">
        <v>0</v>
      </c>
      <c r="O467" t="n">
        <v>0</v>
      </c>
      <c r="P467" t="n">
        <v>0</v>
      </c>
      <c r="Q467" t="n">
        <v>0</v>
      </c>
      <c r="R467" s="2" t="inlineStr"/>
    </row>
    <row r="468" ht="15" customHeight="1">
      <c r="A468" t="inlineStr">
        <is>
          <t>A 34610-2022</t>
        </is>
      </c>
      <c r="B468" s="1" t="n">
        <v>44795</v>
      </c>
      <c r="C468" s="1" t="n">
        <v>45638</v>
      </c>
      <c r="D468" t="inlineStr">
        <is>
          <t>DALARNAS LÄN</t>
        </is>
      </c>
      <c r="E468" t="inlineStr">
        <is>
          <t>MALUNG-SÄLEN</t>
        </is>
      </c>
      <c r="G468" t="n">
        <v>3.6</v>
      </c>
      <c r="H468" t="n">
        <v>0</v>
      </c>
      <c r="I468" t="n">
        <v>0</v>
      </c>
      <c r="J468" t="n">
        <v>0</v>
      </c>
      <c r="K468" t="n">
        <v>0</v>
      </c>
      <c r="L468" t="n">
        <v>0</v>
      </c>
      <c r="M468" t="n">
        <v>0</v>
      </c>
      <c r="N468" t="n">
        <v>0</v>
      </c>
      <c r="O468" t="n">
        <v>0</v>
      </c>
      <c r="P468" t="n">
        <v>0</v>
      </c>
      <c r="Q468" t="n">
        <v>0</v>
      </c>
      <c r="R468" s="2" t="inlineStr"/>
    </row>
    <row r="469" ht="15" customHeight="1">
      <c r="A469" t="inlineStr">
        <is>
          <t>A 34913-2022</t>
        </is>
      </c>
      <c r="B469" s="1" t="n">
        <v>44796</v>
      </c>
      <c r="C469" s="1" t="n">
        <v>45638</v>
      </c>
      <c r="D469" t="inlineStr">
        <is>
          <t>DALARNAS LÄN</t>
        </is>
      </c>
      <c r="E469" t="inlineStr">
        <is>
          <t>MALUNG-SÄLEN</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35181-2022</t>
        </is>
      </c>
      <c r="B470" s="1" t="n">
        <v>44797</v>
      </c>
      <c r="C470" s="1" t="n">
        <v>45638</v>
      </c>
      <c r="D470" t="inlineStr">
        <is>
          <t>DALARNAS LÄN</t>
        </is>
      </c>
      <c r="E470" t="inlineStr">
        <is>
          <t>MALUNG-SÄLEN</t>
        </is>
      </c>
      <c r="F470" t="inlineStr">
        <is>
          <t>Bergvik skog öst AB</t>
        </is>
      </c>
      <c r="G470" t="n">
        <v>3.7</v>
      </c>
      <c r="H470" t="n">
        <v>0</v>
      </c>
      <c r="I470" t="n">
        <v>0</v>
      </c>
      <c r="J470" t="n">
        <v>0</v>
      </c>
      <c r="K470" t="n">
        <v>0</v>
      </c>
      <c r="L470" t="n">
        <v>0</v>
      </c>
      <c r="M470" t="n">
        <v>0</v>
      </c>
      <c r="N470" t="n">
        <v>0</v>
      </c>
      <c r="O470" t="n">
        <v>0</v>
      </c>
      <c r="P470" t="n">
        <v>0</v>
      </c>
      <c r="Q470" t="n">
        <v>0</v>
      </c>
      <c r="R470" s="2" t="inlineStr"/>
    </row>
    <row r="471" ht="15" customHeight="1">
      <c r="A471" t="inlineStr">
        <is>
          <t>A 36014-2022</t>
        </is>
      </c>
      <c r="B471" s="1" t="n">
        <v>44802</v>
      </c>
      <c r="C471" s="1" t="n">
        <v>45638</v>
      </c>
      <c r="D471" t="inlineStr">
        <is>
          <t>DALARNAS LÄN</t>
        </is>
      </c>
      <c r="E471" t="inlineStr">
        <is>
          <t>MALUNG-SÄLEN</t>
        </is>
      </c>
      <c r="G471" t="n">
        <v>2</v>
      </c>
      <c r="H471" t="n">
        <v>0</v>
      </c>
      <c r="I471" t="n">
        <v>0</v>
      </c>
      <c r="J471" t="n">
        <v>0</v>
      </c>
      <c r="K471" t="n">
        <v>0</v>
      </c>
      <c r="L471" t="n">
        <v>0</v>
      </c>
      <c r="M471" t="n">
        <v>0</v>
      </c>
      <c r="N471" t="n">
        <v>0</v>
      </c>
      <c r="O471" t="n">
        <v>0</v>
      </c>
      <c r="P471" t="n">
        <v>0</v>
      </c>
      <c r="Q471" t="n">
        <v>0</v>
      </c>
      <c r="R471" s="2" t="inlineStr"/>
    </row>
    <row r="472" ht="15" customHeight="1">
      <c r="A472" t="inlineStr">
        <is>
          <t>A 36029-2022</t>
        </is>
      </c>
      <c r="B472" s="1" t="n">
        <v>44802</v>
      </c>
      <c r="C472" s="1" t="n">
        <v>45638</v>
      </c>
      <c r="D472" t="inlineStr">
        <is>
          <t>DALARNAS LÄN</t>
        </is>
      </c>
      <c r="E472" t="inlineStr">
        <is>
          <t>MALUNG-SÄLEN</t>
        </is>
      </c>
      <c r="G472" t="n">
        <v>2.3</v>
      </c>
      <c r="H472" t="n">
        <v>0</v>
      </c>
      <c r="I472" t="n">
        <v>0</v>
      </c>
      <c r="J472" t="n">
        <v>0</v>
      </c>
      <c r="K472" t="n">
        <v>0</v>
      </c>
      <c r="L472" t="n">
        <v>0</v>
      </c>
      <c r="M472" t="n">
        <v>0</v>
      </c>
      <c r="N472" t="n">
        <v>0</v>
      </c>
      <c r="O472" t="n">
        <v>0</v>
      </c>
      <c r="P472" t="n">
        <v>0</v>
      </c>
      <c r="Q472" t="n">
        <v>0</v>
      </c>
      <c r="R472" s="2" t="inlineStr"/>
    </row>
    <row r="473" ht="15" customHeight="1">
      <c r="A473" t="inlineStr">
        <is>
          <t>A 36494-2022</t>
        </is>
      </c>
      <c r="B473" s="1" t="n">
        <v>44804</v>
      </c>
      <c r="C473" s="1" t="n">
        <v>45638</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37002-2022</t>
        </is>
      </c>
      <c r="B474" s="1" t="n">
        <v>44806</v>
      </c>
      <c r="C474" s="1" t="n">
        <v>45638</v>
      </c>
      <c r="D474" t="inlineStr">
        <is>
          <t>DALARNAS LÄN</t>
        </is>
      </c>
      <c r="E474" t="inlineStr">
        <is>
          <t>MALUNG-SÄLEN</t>
        </is>
      </c>
      <c r="G474" t="n">
        <v>0.8</v>
      </c>
      <c r="H474" t="n">
        <v>0</v>
      </c>
      <c r="I474" t="n">
        <v>0</v>
      </c>
      <c r="J474" t="n">
        <v>0</v>
      </c>
      <c r="K474" t="n">
        <v>0</v>
      </c>
      <c r="L474" t="n">
        <v>0</v>
      </c>
      <c r="M474" t="n">
        <v>0</v>
      </c>
      <c r="N474" t="n">
        <v>0</v>
      </c>
      <c r="O474" t="n">
        <v>0</v>
      </c>
      <c r="P474" t="n">
        <v>0</v>
      </c>
      <c r="Q474" t="n">
        <v>0</v>
      </c>
      <c r="R474" s="2" t="inlineStr"/>
    </row>
    <row r="475" ht="15" customHeight="1">
      <c r="A475" t="inlineStr">
        <is>
          <t>A 37392-2022</t>
        </is>
      </c>
      <c r="B475" s="1" t="n">
        <v>44809</v>
      </c>
      <c r="C475" s="1" t="n">
        <v>45638</v>
      </c>
      <c r="D475" t="inlineStr">
        <is>
          <t>DALARNAS LÄN</t>
        </is>
      </c>
      <c r="E475" t="inlineStr">
        <is>
          <t>MALUNG-SÄLEN</t>
        </is>
      </c>
      <c r="G475" t="n">
        <v>1.5</v>
      </c>
      <c r="H475" t="n">
        <v>0</v>
      </c>
      <c r="I475" t="n">
        <v>0</v>
      </c>
      <c r="J475" t="n">
        <v>0</v>
      </c>
      <c r="K475" t="n">
        <v>0</v>
      </c>
      <c r="L475" t="n">
        <v>0</v>
      </c>
      <c r="M475" t="n">
        <v>0</v>
      </c>
      <c r="N475" t="n">
        <v>0</v>
      </c>
      <c r="O475" t="n">
        <v>0</v>
      </c>
      <c r="P475" t="n">
        <v>0</v>
      </c>
      <c r="Q475" t="n">
        <v>0</v>
      </c>
      <c r="R475" s="2" t="inlineStr"/>
    </row>
    <row r="476" ht="15" customHeight="1">
      <c r="A476" t="inlineStr">
        <is>
          <t>A 37395-2022</t>
        </is>
      </c>
      <c r="B476" s="1" t="n">
        <v>44809</v>
      </c>
      <c r="C476" s="1" t="n">
        <v>45638</v>
      </c>
      <c r="D476" t="inlineStr">
        <is>
          <t>DALARNAS LÄN</t>
        </is>
      </c>
      <c r="E476" t="inlineStr">
        <is>
          <t>MALUNG-SÄLEN</t>
        </is>
      </c>
      <c r="G476" t="n">
        <v>0.6</v>
      </c>
      <c r="H476" t="n">
        <v>0</v>
      </c>
      <c r="I476" t="n">
        <v>0</v>
      </c>
      <c r="J476" t="n">
        <v>0</v>
      </c>
      <c r="K476" t="n">
        <v>0</v>
      </c>
      <c r="L476" t="n">
        <v>0</v>
      </c>
      <c r="M476" t="n">
        <v>0</v>
      </c>
      <c r="N476" t="n">
        <v>0</v>
      </c>
      <c r="O476" t="n">
        <v>0</v>
      </c>
      <c r="P476" t="n">
        <v>0</v>
      </c>
      <c r="Q476" t="n">
        <v>0</v>
      </c>
      <c r="R476" s="2" t="inlineStr"/>
    </row>
    <row r="477" ht="15" customHeight="1">
      <c r="A477" t="inlineStr">
        <is>
          <t>A 37478-2022</t>
        </is>
      </c>
      <c r="B477" s="1" t="n">
        <v>44809</v>
      </c>
      <c r="C477" s="1" t="n">
        <v>45638</v>
      </c>
      <c r="D477" t="inlineStr">
        <is>
          <t>DALARNAS LÄN</t>
        </is>
      </c>
      <c r="E477" t="inlineStr">
        <is>
          <t>MALUNG-SÄLEN</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37389-2022</t>
        </is>
      </c>
      <c r="B478" s="1" t="n">
        <v>44809</v>
      </c>
      <c r="C478" s="1" t="n">
        <v>45638</v>
      </c>
      <c r="D478" t="inlineStr">
        <is>
          <t>DALARNAS LÄN</t>
        </is>
      </c>
      <c r="E478" t="inlineStr">
        <is>
          <t>MALUNG-SÄLEN</t>
        </is>
      </c>
      <c r="G478" t="n">
        <v>14.8</v>
      </c>
      <c r="H478" t="n">
        <v>0</v>
      </c>
      <c r="I478" t="n">
        <v>0</v>
      </c>
      <c r="J478" t="n">
        <v>0</v>
      </c>
      <c r="K478" t="n">
        <v>0</v>
      </c>
      <c r="L478" t="n">
        <v>0</v>
      </c>
      <c r="M478" t="n">
        <v>0</v>
      </c>
      <c r="N478" t="n">
        <v>0</v>
      </c>
      <c r="O478" t="n">
        <v>0</v>
      </c>
      <c r="P478" t="n">
        <v>0</v>
      </c>
      <c r="Q478" t="n">
        <v>0</v>
      </c>
      <c r="R478" s="2" t="inlineStr"/>
    </row>
    <row r="479" ht="15" customHeight="1">
      <c r="A479" t="inlineStr">
        <is>
          <t>A 37770-2022</t>
        </is>
      </c>
      <c r="B479" s="1" t="n">
        <v>44810</v>
      </c>
      <c r="C479" s="1" t="n">
        <v>45638</v>
      </c>
      <c r="D479" t="inlineStr">
        <is>
          <t>DALARNAS LÄN</t>
        </is>
      </c>
      <c r="E479" t="inlineStr">
        <is>
          <t>MALUNG-SÄLEN</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37887-2022</t>
        </is>
      </c>
      <c r="B480" s="1" t="n">
        <v>44811</v>
      </c>
      <c r="C480" s="1" t="n">
        <v>45638</v>
      </c>
      <c r="D480" t="inlineStr">
        <is>
          <t>DALARNAS LÄN</t>
        </is>
      </c>
      <c r="E480" t="inlineStr">
        <is>
          <t>MALUNG-SÄLEN</t>
        </is>
      </c>
      <c r="G480" t="n">
        <v>1</v>
      </c>
      <c r="H480" t="n">
        <v>0</v>
      </c>
      <c r="I480" t="n">
        <v>0</v>
      </c>
      <c r="J480" t="n">
        <v>0</v>
      </c>
      <c r="K480" t="n">
        <v>0</v>
      </c>
      <c r="L480" t="n">
        <v>0</v>
      </c>
      <c r="M480" t="n">
        <v>0</v>
      </c>
      <c r="N480" t="n">
        <v>0</v>
      </c>
      <c r="O480" t="n">
        <v>0</v>
      </c>
      <c r="P480" t="n">
        <v>0</v>
      </c>
      <c r="Q480" t="n">
        <v>0</v>
      </c>
      <c r="R480" s="2" t="inlineStr"/>
    </row>
    <row r="481" ht="15" customHeight="1">
      <c r="A481" t="inlineStr">
        <is>
          <t>A 38008-2022</t>
        </is>
      </c>
      <c r="B481" s="1" t="n">
        <v>44811</v>
      </c>
      <c r="C481" s="1" t="n">
        <v>45638</v>
      </c>
      <c r="D481" t="inlineStr">
        <is>
          <t>DALARNAS LÄN</t>
        </is>
      </c>
      <c r="E481" t="inlineStr">
        <is>
          <t>MALUNG-SÄLEN</t>
        </is>
      </c>
      <c r="F481" t="inlineStr">
        <is>
          <t>Bergvik skog väst AB</t>
        </is>
      </c>
      <c r="G481" t="n">
        <v>5.5</v>
      </c>
      <c r="H481" t="n">
        <v>0</v>
      </c>
      <c r="I481" t="n">
        <v>0</v>
      </c>
      <c r="J481" t="n">
        <v>0</v>
      </c>
      <c r="K481" t="n">
        <v>0</v>
      </c>
      <c r="L481" t="n">
        <v>0</v>
      </c>
      <c r="M481" t="n">
        <v>0</v>
      </c>
      <c r="N481" t="n">
        <v>0</v>
      </c>
      <c r="O481" t="n">
        <v>0</v>
      </c>
      <c r="P481" t="n">
        <v>0</v>
      </c>
      <c r="Q481" t="n">
        <v>0</v>
      </c>
      <c r="R481" s="2" t="inlineStr"/>
    </row>
    <row r="482" ht="15" customHeight="1">
      <c r="A482" t="inlineStr">
        <is>
          <t>A 38054-2022</t>
        </is>
      </c>
      <c r="B482" s="1" t="n">
        <v>44811</v>
      </c>
      <c r="C482" s="1" t="n">
        <v>45638</v>
      </c>
      <c r="D482" t="inlineStr">
        <is>
          <t>DALARNAS LÄN</t>
        </is>
      </c>
      <c r="E482" t="inlineStr">
        <is>
          <t>MALUNG-SÄLEN</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38026-2022</t>
        </is>
      </c>
      <c r="B483" s="1" t="n">
        <v>44811</v>
      </c>
      <c r="C483" s="1" t="n">
        <v>45638</v>
      </c>
      <c r="D483" t="inlineStr">
        <is>
          <t>DALARNAS LÄN</t>
        </is>
      </c>
      <c r="E483" t="inlineStr">
        <is>
          <t>MALUNG-SÄLEN</t>
        </is>
      </c>
      <c r="G483" t="n">
        <v>2.1</v>
      </c>
      <c r="H483" t="n">
        <v>0</v>
      </c>
      <c r="I483" t="n">
        <v>0</v>
      </c>
      <c r="J483" t="n">
        <v>0</v>
      </c>
      <c r="K483" t="n">
        <v>0</v>
      </c>
      <c r="L483" t="n">
        <v>0</v>
      </c>
      <c r="M483" t="n">
        <v>0</v>
      </c>
      <c r="N483" t="n">
        <v>0</v>
      </c>
      <c r="O483" t="n">
        <v>0</v>
      </c>
      <c r="P483" t="n">
        <v>0</v>
      </c>
      <c r="Q483" t="n">
        <v>0</v>
      </c>
      <c r="R483" s="2" t="inlineStr"/>
    </row>
    <row r="484" ht="15" customHeight="1">
      <c r="A484" t="inlineStr">
        <is>
          <t>A 38050-2022</t>
        </is>
      </c>
      <c r="B484" s="1" t="n">
        <v>44811</v>
      </c>
      <c r="C484" s="1" t="n">
        <v>45638</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38041-2022</t>
        </is>
      </c>
      <c r="B485" s="1" t="n">
        <v>44811</v>
      </c>
      <c r="C485" s="1" t="n">
        <v>45638</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38516-2022</t>
        </is>
      </c>
      <c r="B486" s="1" t="n">
        <v>44813</v>
      </c>
      <c r="C486" s="1" t="n">
        <v>45638</v>
      </c>
      <c r="D486" t="inlineStr">
        <is>
          <t>DALARNAS LÄN</t>
        </is>
      </c>
      <c r="E486" t="inlineStr">
        <is>
          <t>MALUNG-SÄLEN</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39210-2022</t>
        </is>
      </c>
      <c r="B487" s="1" t="n">
        <v>44817</v>
      </c>
      <c r="C487" s="1" t="n">
        <v>45638</v>
      </c>
      <c r="D487" t="inlineStr">
        <is>
          <t>DALARNAS LÄN</t>
        </is>
      </c>
      <c r="E487" t="inlineStr">
        <is>
          <t>MALUNG-SÄLEN</t>
        </is>
      </c>
      <c r="F487" t="inlineStr">
        <is>
          <t>Bergvik skog väst AB</t>
        </is>
      </c>
      <c r="G487" t="n">
        <v>20.5</v>
      </c>
      <c r="H487" t="n">
        <v>0</v>
      </c>
      <c r="I487" t="n">
        <v>0</v>
      </c>
      <c r="J487" t="n">
        <v>0</v>
      </c>
      <c r="K487" t="n">
        <v>0</v>
      </c>
      <c r="L487" t="n">
        <v>0</v>
      </c>
      <c r="M487" t="n">
        <v>0</v>
      </c>
      <c r="N487" t="n">
        <v>0</v>
      </c>
      <c r="O487" t="n">
        <v>0</v>
      </c>
      <c r="P487" t="n">
        <v>0</v>
      </c>
      <c r="Q487" t="n">
        <v>0</v>
      </c>
      <c r="R487" s="2" t="inlineStr"/>
    </row>
    <row r="488" ht="15" customHeight="1">
      <c r="A488" t="inlineStr">
        <is>
          <t>A 39852-2022</t>
        </is>
      </c>
      <c r="B488" s="1" t="n">
        <v>44819</v>
      </c>
      <c r="C488" s="1" t="n">
        <v>45638</v>
      </c>
      <c r="D488" t="inlineStr">
        <is>
          <t>DALARNAS LÄN</t>
        </is>
      </c>
      <c r="E488" t="inlineStr">
        <is>
          <t>MALUNG-SÄLEN</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41333-2022</t>
        </is>
      </c>
      <c r="B489" s="1" t="n">
        <v>44826</v>
      </c>
      <c r="C489" s="1" t="n">
        <v>45638</v>
      </c>
      <c r="D489" t="inlineStr">
        <is>
          <t>DALARNAS LÄN</t>
        </is>
      </c>
      <c r="E489" t="inlineStr">
        <is>
          <t>MALUNG-SÄLEN</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42672-2022</t>
        </is>
      </c>
      <c r="B490" s="1" t="n">
        <v>44832</v>
      </c>
      <c r="C490" s="1" t="n">
        <v>45638</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42825-2022</t>
        </is>
      </c>
      <c r="B491" s="1" t="n">
        <v>44832</v>
      </c>
      <c r="C491" s="1" t="n">
        <v>45638</v>
      </c>
      <c r="D491" t="inlineStr">
        <is>
          <t>DALARNAS LÄN</t>
        </is>
      </c>
      <c r="E491" t="inlineStr">
        <is>
          <t>MALUNG-SÄLEN</t>
        </is>
      </c>
      <c r="F491" t="inlineStr">
        <is>
          <t>Bergvik skog väst AB</t>
        </is>
      </c>
      <c r="G491" t="n">
        <v>19.5</v>
      </c>
      <c r="H491" t="n">
        <v>0</v>
      </c>
      <c r="I491" t="n">
        <v>0</v>
      </c>
      <c r="J491" t="n">
        <v>0</v>
      </c>
      <c r="K491" t="n">
        <v>0</v>
      </c>
      <c r="L491" t="n">
        <v>0</v>
      </c>
      <c r="M491" t="n">
        <v>0</v>
      </c>
      <c r="N491" t="n">
        <v>0</v>
      </c>
      <c r="O491" t="n">
        <v>0</v>
      </c>
      <c r="P491" t="n">
        <v>0</v>
      </c>
      <c r="Q491" t="n">
        <v>0</v>
      </c>
      <c r="R491" s="2" t="inlineStr"/>
    </row>
    <row r="492" ht="15" customHeight="1">
      <c r="A492" t="inlineStr">
        <is>
          <t>A 43040-2022</t>
        </is>
      </c>
      <c r="B492" s="1" t="n">
        <v>44833</v>
      </c>
      <c r="C492" s="1" t="n">
        <v>45638</v>
      </c>
      <c r="D492" t="inlineStr">
        <is>
          <t>DALARNAS LÄN</t>
        </is>
      </c>
      <c r="E492" t="inlineStr">
        <is>
          <t>MALUNG-SÄLEN</t>
        </is>
      </c>
      <c r="G492" t="n">
        <v>6.9</v>
      </c>
      <c r="H492" t="n">
        <v>0</v>
      </c>
      <c r="I492" t="n">
        <v>0</v>
      </c>
      <c r="J492" t="n">
        <v>0</v>
      </c>
      <c r="K492" t="n">
        <v>0</v>
      </c>
      <c r="L492" t="n">
        <v>0</v>
      </c>
      <c r="M492" t="n">
        <v>0</v>
      </c>
      <c r="N492" t="n">
        <v>0</v>
      </c>
      <c r="O492" t="n">
        <v>0</v>
      </c>
      <c r="P492" t="n">
        <v>0</v>
      </c>
      <c r="Q492" t="n">
        <v>0</v>
      </c>
      <c r="R492" s="2" t="inlineStr"/>
    </row>
    <row r="493" ht="15" customHeight="1">
      <c r="A493" t="inlineStr">
        <is>
          <t>A 42913-2022</t>
        </is>
      </c>
      <c r="B493" s="1" t="n">
        <v>44833</v>
      </c>
      <c r="C493" s="1" t="n">
        <v>45638</v>
      </c>
      <c r="D493" t="inlineStr">
        <is>
          <t>DALARNAS LÄN</t>
        </is>
      </c>
      <c r="E493" t="inlineStr">
        <is>
          <t>MALUNG-SÄLEN</t>
        </is>
      </c>
      <c r="G493" t="n">
        <v>6.1</v>
      </c>
      <c r="H493" t="n">
        <v>0</v>
      </c>
      <c r="I493" t="n">
        <v>0</v>
      </c>
      <c r="J493" t="n">
        <v>0</v>
      </c>
      <c r="K493" t="n">
        <v>0</v>
      </c>
      <c r="L493" t="n">
        <v>0</v>
      </c>
      <c r="M493" t="n">
        <v>0</v>
      </c>
      <c r="N493" t="n">
        <v>0</v>
      </c>
      <c r="O493" t="n">
        <v>0</v>
      </c>
      <c r="P493" t="n">
        <v>0</v>
      </c>
      <c r="Q493" t="n">
        <v>0</v>
      </c>
      <c r="R493" s="2" t="inlineStr"/>
    </row>
    <row r="494" ht="15" customHeight="1">
      <c r="A494" t="inlineStr">
        <is>
          <t>A 43189-2022</t>
        </is>
      </c>
      <c r="B494" s="1" t="n">
        <v>44834</v>
      </c>
      <c r="C494" s="1" t="n">
        <v>45638</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43265-2022</t>
        </is>
      </c>
      <c r="B495" s="1" t="n">
        <v>44834</v>
      </c>
      <c r="C495" s="1" t="n">
        <v>45638</v>
      </c>
      <c r="D495" t="inlineStr">
        <is>
          <t>DALARNAS LÄN</t>
        </is>
      </c>
      <c r="E495" t="inlineStr">
        <is>
          <t>MALUNG-SÄLEN</t>
        </is>
      </c>
      <c r="F495" t="inlineStr">
        <is>
          <t>Bergvik skog väst AB</t>
        </is>
      </c>
      <c r="G495" t="n">
        <v>30.5</v>
      </c>
      <c r="H495" t="n">
        <v>0</v>
      </c>
      <c r="I495" t="n">
        <v>0</v>
      </c>
      <c r="J495" t="n">
        <v>0</v>
      </c>
      <c r="K495" t="n">
        <v>0</v>
      </c>
      <c r="L495" t="n">
        <v>0</v>
      </c>
      <c r="M495" t="n">
        <v>0</v>
      </c>
      <c r="N495" t="n">
        <v>0</v>
      </c>
      <c r="O495" t="n">
        <v>0</v>
      </c>
      <c r="P495" t="n">
        <v>0</v>
      </c>
      <c r="Q495" t="n">
        <v>0</v>
      </c>
      <c r="R495" s="2" t="inlineStr"/>
    </row>
    <row r="496" ht="15" customHeight="1">
      <c r="A496" t="inlineStr">
        <is>
          <t>A 43981-2022</t>
        </is>
      </c>
      <c r="B496" s="1" t="n">
        <v>44837</v>
      </c>
      <c r="C496" s="1" t="n">
        <v>45638</v>
      </c>
      <c r="D496" t="inlineStr">
        <is>
          <t>DALARNAS LÄN</t>
        </is>
      </c>
      <c r="E496" t="inlineStr">
        <is>
          <t>MALUNG-SÄLEN</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44296-2022</t>
        </is>
      </c>
      <c r="B497" s="1" t="n">
        <v>44839</v>
      </c>
      <c r="C497" s="1" t="n">
        <v>45638</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44300-2022</t>
        </is>
      </c>
      <c r="B498" s="1" t="n">
        <v>44839</v>
      </c>
      <c r="C498" s="1" t="n">
        <v>45638</v>
      </c>
      <c r="D498" t="inlineStr">
        <is>
          <t>DALARNAS LÄN</t>
        </is>
      </c>
      <c r="E498" t="inlineStr">
        <is>
          <t>MALUNG-SÄLEN</t>
        </is>
      </c>
      <c r="G498" t="n">
        <v>3.2</v>
      </c>
      <c r="H498" t="n">
        <v>0</v>
      </c>
      <c r="I498" t="n">
        <v>0</v>
      </c>
      <c r="J498" t="n">
        <v>0</v>
      </c>
      <c r="K498" t="n">
        <v>0</v>
      </c>
      <c r="L498" t="n">
        <v>0</v>
      </c>
      <c r="M498" t="n">
        <v>0</v>
      </c>
      <c r="N498" t="n">
        <v>0</v>
      </c>
      <c r="O498" t="n">
        <v>0</v>
      </c>
      <c r="P498" t="n">
        <v>0</v>
      </c>
      <c r="Q498" t="n">
        <v>0</v>
      </c>
      <c r="R498" s="2" t="inlineStr"/>
    </row>
    <row r="499" ht="15" customHeight="1">
      <c r="A499" t="inlineStr">
        <is>
          <t>A 44614-2022</t>
        </is>
      </c>
      <c r="B499" s="1" t="n">
        <v>44840</v>
      </c>
      <c r="C499" s="1" t="n">
        <v>45638</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44612-2022</t>
        </is>
      </c>
      <c r="B500" s="1" t="n">
        <v>44840</v>
      </c>
      <c r="C500" s="1" t="n">
        <v>45638</v>
      </c>
      <c r="D500" t="inlineStr">
        <is>
          <t>DALARNAS LÄN</t>
        </is>
      </c>
      <c r="E500" t="inlineStr">
        <is>
          <t>MALUNG-SÄLEN</t>
        </is>
      </c>
      <c r="G500" t="n">
        <v>12.4</v>
      </c>
      <c r="H500" t="n">
        <v>0</v>
      </c>
      <c r="I500" t="n">
        <v>0</v>
      </c>
      <c r="J500" t="n">
        <v>0</v>
      </c>
      <c r="K500" t="n">
        <v>0</v>
      </c>
      <c r="L500" t="n">
        <v>0</v>
      </c>
      <c r="M500" t="n">
        <v>0</v>
      </c>
      <c r="N500" t="n">
        <v>0</v>
      </c>
      <c r="O500" t="n">
        <v>0</v>
      </c>
      <c r="P500" t="n">
        <v>0</v>
      </c>
      <c r="Q500" t="n">
        <v>0</v>
      </c>
      <c r="R500" s="2" t="inlineStr"/>
    </row>
    <row r="501" ht="15" customHeight="1">
      <c r="A501" t="inlineStr">
        <is>
          <t>A 44825-2022</t>
        </is>
      </c>
      <c r="B501" s="1" t="n">
        <v>44841</v>
      </c>
      <c r="C501" s="1" t="n">
        <v>45638</v>
      </c>
      <c r="D501" t="inlineStr">
        <is>
          <t>DALARNAS LÄN</t>
        </is>
      </c>
      <c r="E501" t="inlineStr">
        <is>
          <t>MALUNG-SÄLEN</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44904-2022</t>
        </is>
      </c>
      <c r="B502" s="1" t="n">
        <v>44841</v>
      </c>
      <c r="C502" s="1" t="n">
        <v>45638</v>
      </c>
      <c r="D502" t="inlineStr">
        <is>
          <t>DALARNAS LÄN</t>
        </is>
      </c>
      <c r="E502" t="inlineStr">
        <is>
          <t>MALUNG-SÄLEN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45511-2022</t>
        </is>
      </c>
      <c r="B503" s="1" t="n">
        <v>44841</v>
      </c>
      <c r="C503" s="1" t="n">
        <v>45638</v>
      </c>
      <c r="D503" t="inlineStr">
        <is>
          <t>DALARNAS LÄN</t>
        </is>
      </c>
      <c r="E503" t="inlineStr">
        <is>
          <t>MALUNG-SÄLEN</t>
        </is>
      </c>
      <c r="F503" t="inlineStr">
        <is>
          <t>Allmännings- och besparingsskogar</t>
        </is>
      </c>
      <c r="G503" t="n">
        <v>17.3</v>
      </c>
      <c r="H503" t="n">
        <v>0</v>
      </c>
      <c r="I503" t="n">
        <v>0</v>
      </c>
      <c r="J503" t="n">
        <v>0</v>
      </c>
      <c r="K503" t="n">
        <v>0</v>
      </c>
      <c r="L503" t="n">
        <v>0</v>
      </c>
      <c r="M503" t="n">
        <v>0</v>
      </c>
      <c r="N503" t="n">
        <v>0</v>
      </c>
      <c r="O503" t="n">
        <v>0</v>
      </c>
      <c r="P503" t="n">
        <v>0</v>
      </c>
      <c r="Q503" t="n">
        <v>0</v>
      </c>
      <c r="R503" s="2" t="inlineStr"/>
    </row>
    <row r="504" ht="15" customHeight="1">
      <c r="A504" t="inlineStr">
        <is>
          <t>A 45150-2022</t>
        </is>
      </c>
      <c r="B504" s="1" t="n">
        <v>44844</v>
      </c>
      <c r="C504" s="1" t="n">
        <v>45638</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46169-2022</t>
        </is>
      </c>
      <c r="B505" s="1" t="n">
        <v>44847</v>
      </c>
      <c r="C505" s="1" t="n">
        <v>45638</v>
      </c>
      <c r="D505" t="inlineStr">
        <is>
          <t>DALARNAS LÄN</t>
        </is>
      </c>
      <c r="E505" t="inlineStr">
        <is>
          <t>MALUNG-SÄLEN</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46910-2022</t>
        </is>
      </c>
      <c r="B506" s="1" t="n">
        <v>44851</v>
      </c>
      <c r="C506" s="1" t="n">
        <v>45638</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47216-2022</t>
        </is>
      </c>
      <c r="B507" s="1" t="n">
        <v>44852</v>
      </c>
      <c r="C507" s="1" t="n">
        <v>45638</v>
      </c>
      <c r="D507" t="inlineStr">
        <is>
          <t>DALARNAS LÄN</t>
        </is>
      </c>
      <c r="E507" t="inlineStr">
        <is>
          <t>MALUNG-SÄLEN</t>
        </is>
      </c>
      <c r="F507" t="inlineStr">
        <is>
          <t>Allmännings- och besparingsskogar</t>
        </is>
      </c>
      <c r="G507" t="n">
        <v>35.3</v>
      </c>
      <c r="H507" t="n">
        <v>0</v>
      </c>
      <c r="I507" t="n">
        <v>0</v>
      </c>
      <c r="J507" t="n">
        <v>0</v>
      </c>
      <c r="K507" t="n">
        <v>0</v>
      </c>
      <c r="L507" t="n">
        <v>0</v>
      </c>
      <c r="M507" t="n">
        <v>0</v>
      </c>
      <c r="N507" t="n">
        <v>0</v>
      </c>
      <c r="O507" t="n">
        <v>0</v>
      </c>
      <c r="P507" t="n">
        <v>0</v>
      </c>
      <c r="Q507" t="n">
        <v>0</v>
      </c>
      <c r="R507" s="2" t="inlineStr"/>
    </row>
    <row r="508" ht="15" customHeight="1">
      <c r="A508" t="inlineStr">
        <is>
          <t>A 47007-2022</t>
        </is>
      </c>
      <c r="B508" s="1" t="n">
        <v>44852</v>
      </c>
      <c r="C508" s="1" t="n">
        <v>45638</v>
      </c>
      <c r="D508" t="inlineStr">
        <is>
          <t>DALARNAS LÄN</t>
        </is>
      </c>
      <c r="E508" t="inlineStr">
        <is>
          <t>MALUNG-SÄLEN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47353-2022</t>
        </is>
      </c>
      <c r="B509" s="1" t="n">
        <v>44853</v>
      </c>
      <c r="C509" s="1" t="n">
        <v>45638</v>
      </c>
      <c r="D509" t="inlineStr">
        <is>
          <t>DALARNAS LÄN</t>
        </is>
      </c>
      <c r="E509" t="inlineStr">
        <is>
          <t>MALUNG-SÄLEN</t>
        </is>
      </c>
      <c r="G509" t="n">
        <v>26.8</v>
      </c>
      <c r="H509" t="n">
        <v>0</v>
      </c>
      <c r="I509" t="n">
        <v>0</v>
      </c>
      <c r="J509" t="n">
        <v>0</v>
      </c>
      <c r="K509" t="n">
        <v>0</v>
      </c>
      <c r="L509" t="n">
        <v>0</v>
      </c>
      <c r="M509" t="n">
        <v>0</v>
      </c>
      <c r="N509" t="n">
        <v>0</v>
      </c>
      <c r="O509" t="n">
        <v>0</v>
      </c>
      <c r="P509" t="n">
        <v>0</v>
      </c>
      <c r="Q509" t="n">
        <v>0</v>
      </c>
      <c r="R509" s="2" t="inlineStr"/>
    </row>
    <row r="510" ht="15" customHeight="1">
      <c r="A510" t="inlineStr">
        <is>
          <t>A 47474-2022</t>
        </is>
      </c>
      <c r="B510" s="1" t="n">
        <v>44853</v>
      </c>
      <c r="C510" s="1" t="n">
        <v>45638</v>
      </c>
      <c r="D510" t="inlineStr">
        <is>
          <t>DALARNAS LÄN</t>
        </is>
      </c>
      <c r="E510" t="inlineStr">
        <is>
          <t>MALUNG-SÄLEN</t>
        </is>
      </c>
      <c r="G510" t="n">
        <v>5.8</v>
      </c>
      <c r="H510" t="n">
        <v>0</v>
      </c>
      <c r="I510" t="n">
        <v>0</v>
      </c>
      <c r="J510" t="n">
        <v>0</v>
      </c>
      <c r="K510" t="n">
        <v>0</v>
      </c>
      <c r="L510" t="n">
        <v>0</v>
      </c>
      <c r="M510" t="n">
        <v>0</v>
      </c>
      <c r="N510" t="n">
        <v>0</v>
      </c>
      <c r="O510" t="n">
        <v>0</v>
      </c>
      <c r="P510" t="n">
        <v>0</v>
      </c>
      <c r="Q510" t="n">
        <v>0</v>
      </c>
      <c r="R510" s="2" t="inlineStr"/>
    </row>
    <row r="511" ht="15" customHeight="1">
      <c r="A511" t="inlineStr">
        <is>
          <t>A 47888-2022</t>
        </is>
      </c>
      <c r="B511" s="1" t="n">
        <v>44855</v>
      </c>
      <c r="C511" s="1" t="n">
        <v>45638</v>
      </c>
      <c r="D511" t="inlineStr">
        <is>
          <t>DALARNAS LÄN</t>
        </is>
      </c>
      <c r="E511" t="inlineStr">
        <is>
          <t>MALUNG-SÄLEN</t>
        </is>
      </c>
      <c r="F511" t="inlineStr">
        <is>
          <t>Allmännings- och besparingsskogar</t>
        </is>
      </c>
      <c r="G511" t="n">
        <v>39.6</v>
      </c>
      <c r="H511" t="n">
        <v>0</v>
      </c>
      <c r="I511" t="n">
        <v>0</v>
      </c>
      <c r="J511" t="n">
        <v>0</v>
      </c>
      <c r="K511" t="n">
        <v>0</v>
      </c>
      <c r="L511" t="n">
        <v>0</v>
      </c>
      <c r="M511" t="n">
        <v>0</v>
      </c>
      <c r="N511" t="n">
        <v>0</v>
      </c>
      <c r="O511" t="n">
        <v>0</v>
      </c>
      <c r="P511" t="n">
        <v>0</v>
      </c>
      <c r="Q511" t="n">
        <v>0</v>
      </c>
      <c r="R511" s="2" t="inlineStr"/>
    </row>
    <row r="512" ht="15" customHeight="1">
      <c r="A512" t="inlineStr">
        <is>
          <t>A 48338-2022</t>
        </is>
      </c>
      <c r="B512" s="1" t="n">
        <v>44858</v>
      </c>
      <c r="C512" s="1" t="n">
        <v>45638</v>
      </c>
      <c r="D512" t="inlineStr">
        <is>
          <t>DALARNAS LÄN</t>
        </is>
      </c>
      <c r="E512" t="inlineStr">
        <is>
          <t>MALUNG-SÄLEN</t>
        </is>
      </c>
      <c r="F512" t="inlineStr">
        <is>
          <t>Allmännings- och besparingsskogar</t>
        </is>
      </c>
      <c r="G512" t="n">
        <v>29.5</v>
      </c>
      <c r="H512" t="n">
        <v>0</v>
      </c>
      <c r="I512" t="n">
        <v>0</v>
      </c>
      <c r="J512" t="n">
        <v>0</v>
      </c>
      <c r="K512" t="n">
        <v>0</v>
      </c>
      <c r="L512" t="n">
        <v>0</v>
      </c>
      <c r="M512" t="n">
        <v>0</v>
      </c>
      <c r="N512" t="n">
        <v>0</v>
      </c>
      <c r="O512" t="n">
        <v>0</v>
      </c>
      <c r="P512" t="n">
        <v>0</v>
      </c>
      <c r="Q512" t="n">
        <v>0</v>
      </c>
      <c r="R512" s="2" t="inlineStr"/>
    </row>
    <row r="513" ht="15" customHeight="1">
      <c r="A513" t="inlineStr">
        <is>
          <t>A 48481-2022</t>
        </is>
      </c>
      <c r="B513" s="1" t="n">
        <v>44858</v>
      </c>
      <c r="C513" s="1" t="n">
        <v>45638</v>
      </c>
      <c r="D513" t="inlineStr">
        <is>
          <t>DALARNAS LÄN</t>
        </is>
      </c>
      <c r="E513" t="inlineStr">
        <is>
          <t>MALUNG-SÄLEN</t>
        </is>
      </c>
      <c r="G513" t="n">
        <v>0.9</v>
      </c>
      <c r="H513" t="n">
        <v>0</v>
      </c>
      <c r="I513" t="n">
        <v>0</v>
      </c>
      <c r="J513" t="n">
        <v>0</v>
      </c>
      <c r="K513" t="n">
        <v>0</v>
      </c>
      <c r="L513" t="n">
        <v>0</v>
      </c>
      <c r="M513" t="n">
        <v>0</v>
      </c>
      <c r="N513" t="n">
        <v>0</v>
      </c>
      <c r="O513" t="n">
        <v>0</v>
      </c>
      <c r="P513" t="n">
        <v>0</v>
      </c>
      <c r="Q513" t="n">
        <v>0</v>
      </c>
      <c r="R513" s="2" t="inlineStr"/>
    </row>
    <row r="514" ht="15" customHeight="1">
      <c r="A514" t="inlineStr">
        <is>
          <t>A 48842-2022</t>
        </is>
      </c>
      <c r="B514" s="1" t="n">
        <v>44859</v>
      </c>
      <c r="C514" s="1" t="n">
        <v>45638</v>
      </c>
      <c r="D514" t="inlineStr">
        <is>
          <t>DALARNAS LÄN</t>
        </is>
      </c>
      <c r="E514" t="inlineStr">
        <is>
          <t>MALUNG-SÄLEN</t>
        </is>
      </c>
      <c r="G514" t="n">
        <v>4.8</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45638</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45638</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45638</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45638</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45638</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45638</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45638</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45638</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45638</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45638</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45638</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45638</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45638</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45638</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45638</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45638</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45638</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45638</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45638</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45638</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45638</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45638</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45638</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45638</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45638</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45638</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45638</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45638</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45638</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45638</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45638</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45638</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45638</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45638</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45638</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45638</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45638</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45638</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45638</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45638</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45638</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45638</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45638</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45638</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45638</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45638</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45638</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45638</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45638</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45638</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45638</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45638</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45638</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45638</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45638</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45638</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45638</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45638</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45638</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45638</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45638</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45638</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45638</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45638</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45638</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45638</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45638</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45638</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45638</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45638</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45638</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45638</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45638</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45638</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45638</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45638</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45638</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45638</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45638</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45638</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45638</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45638</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45638</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45638</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45638</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45638</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45638</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45638</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45638</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45638</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45638</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45638</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45638</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45638</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45638</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45638</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45638</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45638</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45638</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45638</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45638</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45638</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45638</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45638</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45638</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45638</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45638</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45638</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45638</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45638</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45638</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45638</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45638</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45638</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45638</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45638</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45638</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45638</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45638</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45638</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45638</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45638</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45638</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45638</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45638</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45638</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45638</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45638</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45638</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45638</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45638</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45638</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45638</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45638</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45638</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45638</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45638</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45638</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45638</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45638</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45638</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45638</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45638</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45638</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45638</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45638</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45638</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45638</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45638</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45638</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45638</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45638</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45638</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45638</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45638</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45638</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45638</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45638</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45638</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45638</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45638</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45638</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45638</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45638</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45638</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45638</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45638</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45638</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45638</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45638</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45638</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45638</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45638</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45638</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45638</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45638</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45638</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45638</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45638</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45638</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45638</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45638</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45638</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45638</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45638</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45638</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45638</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45638</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45638</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45638</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45638</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45638</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45638</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45638</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45638</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45638</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45638</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45638</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45638</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45638</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45638</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45638</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45638</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45638</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45638</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45638</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45638</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45638</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45638</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45638</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45638</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45638</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45638</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45638</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45638</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45638</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45638</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45638</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45638</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45638</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45638</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45638</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45638</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45638</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45638</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45638</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45638</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45638</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45638</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45638</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45638</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45638</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45638</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45638</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45638</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45638</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45638</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45638</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45638</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45638</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45638</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45638</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45638</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45638</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45638</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45638</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45638</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45638</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45638</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45638</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45638</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45638</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45638</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45638</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45638</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45638</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45638</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45638</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45638</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45638</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45638</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45638</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45638</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45638</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45638</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45638</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45638</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45638</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45638</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45638</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45638</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45638</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45638</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45638</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45638</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45638</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45638</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45638</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45638</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45638</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45638</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45638</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45638</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45638</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45638</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45638</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45638</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45638</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45638</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45638</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45638</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45638</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45638</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45638</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45638</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45638</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45638</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45638</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45638</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45638</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45638</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45638</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45638</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45638</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45638</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45638</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45638</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45638</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45638</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45638</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45638</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45638</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45638</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45638</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45638</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45638</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45638</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45638</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45638</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45638</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45638</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45638</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45638</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45638</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45638</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45638</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45638</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45638</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45638</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45638</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45638</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45638</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45638</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45638</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45638</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45638</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45638</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45638</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45638</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45638</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45638</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45638</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45638</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45638</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45638</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45638</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45638</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45638</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45638</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45638</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45638</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45638</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45638</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45638</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45638</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45638</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45638</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45638</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45638</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45638</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45638</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45638</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45638</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45638</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45638</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45638</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45638</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45638</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45638</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45638</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45638</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45638</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45638</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45638</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45638</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45638</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45638</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45638</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45638</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45638</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45638</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45638</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45638</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45638</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45638</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45638</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45638</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45638</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45638</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45638</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45638</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45638</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45638</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45638</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45638</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45638</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45638</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45638</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45638</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45638</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45638</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45638</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45638</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45638</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45638</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45638</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45638</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45638</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45638</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45638</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45638</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45638</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45638</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45638</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45638</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45638</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45638</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45638</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45638</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45638</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45638</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45638</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45638</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45638</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45638</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45638</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45638</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45638</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45638</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45638</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45638</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45638</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45638</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45638</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45638</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45638</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45638</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45638</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45638</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45638</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45638</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45638</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45638</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45638</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45638</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45638</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45638</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45638</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45638</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45638</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45638</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45638</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45638</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45638</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45638</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45638</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45638</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45638</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45638</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45638</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45638</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45638</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45638</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45638</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45638</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45638</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45638</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45638</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45638</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45638</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45638</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45638</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45638</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45638</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45638</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45638</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45638</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45638</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45638</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45638</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45638</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45638</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45638</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45638</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45638</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45638</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45638</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45638</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45638</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45638</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45638</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45638</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45638</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45638</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45638</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45638</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45638</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45638</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45638</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45638</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45638</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45638</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45638</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45638</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45638</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45638</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45638</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45638</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45638</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45638</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45638</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45638</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45638</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45638</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45638</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45638</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45638</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45638</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45638</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45638</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45638</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45638</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45638</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45638</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45638</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45638</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45638</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45638</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45638</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45638</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45638</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45638</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45638</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45638</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45638</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45638</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45638</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45638</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45638</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45638</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45638</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45638</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45638</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45638</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45638</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45638</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45638</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45638</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45638</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45638</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45638</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45638</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45638</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45638</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45638</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45638</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45638</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45638</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45638</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45638</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45638</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45638</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45638</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45638</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45638</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45638</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45638</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45638</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45638</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45638</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45638</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45638</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45638</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45638</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45638</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45638</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45638</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45638</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45638</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45638</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45638</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45638</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45638</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45638</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45638</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45638</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45638</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45638</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45638</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45638</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45638</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45638</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45638</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45638</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45638</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45638</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45638</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45638</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45638</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45638</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45638</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45638</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45638</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45638</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45638</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45638</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45638</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45638</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45638</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45638</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45638</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45638</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45638</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45638</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45638</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45638</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45638</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45638</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45638</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45638</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45638</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45638</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45638</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45638</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45638</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45638</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45638</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45638</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45638</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45638</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45638</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45638</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45638</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45638</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45638</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45638</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45638</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45638</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45638</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45638</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45638</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45638</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45638</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45638</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45638</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45638</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45638</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45638</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45638</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45638</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45638</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45638</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45638</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45638</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45638</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45638</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45638</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45638</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45638</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45638</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45638</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45638</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45638</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45638</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45638</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45638</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45638</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45638</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45638</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45638</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45638</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53267-2024</t>
        </is>
      </c>
      <c r="B1186" s="1" t="n">
        <v>45614</v>
      </c>
      <c r="C1186" s="1" t="n">
        <v>45638</v>
      </c>
      <c r="D1186" t="inlineStr">
        <is>
          <t>DALARNAS LÄN</t>
        </is>
      </c>
      <c r="E1186" t="inlineStr">
        <is>
          <t>MALUNG-SÄLEN</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45638</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45638</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45638</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45638</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45638</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54842-2024</t>
        </is>
      </c>
      <c r="B1192" s="1" t="n">
        <v>45618</v>
      </c>
      <c r="C1192" s="1" t="n">
        <v>45638</v>
      </c>
      <c r="D1192" t="inlineStr">
        <is>
          <t>DALARNAS LÄN</t>
        </is>
      </c>
      <c r="E1192" t="inlineStr">
        <is>
          <t>MALUNG-SÄLEN</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45638</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45638</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55058-2024</t>
        </is>
      </c>
      <c r="B1195" s="1" t="n">
        <v>45621</v>
      </c>
      <c r="C1195" s="1" t="n">
        <v>45638</v>
      </c>
      <c r="D1195" t="inlineStr">
        <is>
          <t>DALARNAS LÄN</t>
        </is>
      </c>
      <c r="E1195" t="inlineStr">
        <is>
          <t>MALUNG-SÄLEN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55075-2024</t>
        </is>
      </c>
      <c r="B1196" s="1" t="n">
        <v>45621</v>
      </c>
      <c r="C1196" s="1" t="n">
        <v>45638</v>
      </c>
      <c r="D1196" t="inlineStr">
        <is>
          <t>DALARNAS LÄN</t>
        </is>
      </c>
      <c r="E1196" t="inlineStr">
        <is>
          <t>MALUNG-SÄLEN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55230-2024</t>
        </is>
      </c>
      <c r="B1197" s="1" t="n">
        <v>45621</v>
      </c>
      <c r="C1197" s="1" t="n">
        <v>45638</v>
      </c>
      <c r="D1197" t="inlineStr">
        <is>
          <t>DALARNAS LÄN</t>
        </is>
      </c>
      <c r="E1197" t="inlineStr">
        <is>
          <t>MALUNG-SÄLEN</t>
        </is>
      </c>
      <c r="F1197" t="inlineStr">
        <is>
          <t>Kommuner</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55307-2024</t>
        </is>
      </c>
      <c r="B1198" s="1" t="n">
        <v>45621</v>
      </c>
      <c r="C1198" s="1" t="n">
        <v>45638</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45638</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45638</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45638</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55969-2024</t>
        </is>
      </c>
      <c r="B1202" s="1" t="n">
        <v>45623</v>
      </c>
      <c r="C1202" s="1" t="n">
        <v>45638</v>
      </c>
      <c r="D1202" t="inlineStr">
        <is>
          <t>DALARNAS LÄN</t>
        </is>
      </c>
      <c r="E1202" t="inlineStr">
        <is>
          <t>MALUNG-SÄLEN</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55975-2024</t>
        </is>
      </c>
      <c r="B1203" s="1" t="n">
        <v>45623</v>
      </c>
      <c r="C1203" s="1" t="n">
        <v>45638</v>
      </c>
      <c r="D1203" t="inlineStr">
        <is>
          <t>DALARNAS LÄN</t>
        </is>
      </c>
      <c r="E1203" t="inlineStr">
        <is>
          <t>MALUNG-SÄLEN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56297-2024</t>
        </is>
      </c>
      <c r="B1204" s="1" t="n">
        <v>45624</v>
      </c>
      <c r="C1204" s="1" t="n">
        <v>45638</v>
      </c>
      <c r="D1204" t="inlineStr">
        <is>
          <t>DALARNAS LÄN</t>
        </is>
      </c>
      <c r="E1204" t="inlineStr">
        <is>
          <t>MALUNG-SÄLEN</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56110-2024</t>
        </is>
      </c>
      <c r="B1205" s="1" t="n">
        <v>45624</v>
      </c>
      <c r="C1205" s="1" t="n">
        <v>45638</v>
      </c>
      <c r="D1205" t="inlineStr">
        <is>
          <t>DALARNAS LÄN</t>
        </is>
      </c>
      <c r="E1205" t="inlineStr">
        <is>
          <t>MALUNG-SÄLEN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56289-2024</t>
        </is>
      </c>
      <c r="B1206" s="1" t="n">
        <v>45624</v>
      </c>
      <c r="C1206" s="1" t="n">
        <v>45638</v>
      </c>
      <c r="D1206" t="inlineStr">
        <is>
          <t>DALARNAS LÄN</t>
        </is>
      </c>
      <c r="E1206" t="inlineStr">
        <is>
          <t>MALUNG-SÄLEN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56936-2024</t>
        </is>
      </c>
      <c r="B1207" s="1" t="n">
        <v>45628</v>
      </c>
      <c r="C1207" s="1" t="n">
        <v>45638</v>
      </c>
      <c r="D1207" t="inlineStr">
        <is>
          <t>DALARNAS LÄN</t>
        </is>
      </c>
      <c r="E1207" t="inlineStr">
        <is>
          <t>MALUNG-SÄLEN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56750-2024</t>
        </is>
      </c>
      <c r="B1208" s="1" t="n">
        <v>45628</v>
      </c>
      <c r="C1208" s="1" t="n">
        <v>45638</v>
      </c>
      <c r="D1208" t="inlineStr">
        <is>
          <t>DALARNAS LÄN</t>
        </is>
      </c>
      <c r="E1208" t="inlineStr">
        <is>
          <t>MALUNG-SÄLEN</t>
        </is>
      </c>
      <c r="G1208" t="n">
        <v>20.3</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45638</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57425-2024</t>
        </is>
      </c>
      <c r="B1210" s="1" t="n">
        <v>45629</v>
      </c>
      <c r="C1210" s="1" t="n">
        <v>45638</v>
      </c>
      <c r="D1210" t="inlineStr">
        <is>
          <t>DALARNAS LÄN</t>
        </is>
      </c>
      <c r="E1210" t="inlineStr">
        <is>
          <t>MALUNG-SÄLEN</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45638</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57423-2024</t>
        </is>
      </c>
      <c r="B1212" s="1" t="n">
        <v>45629</v>
      </c>
      <c r="C1212" s="1" t="n">
        <v>45638</v>
      </c>
      <c r="D1212" t="inlineStr">
        <is>
          <t>DALARNAS LÄN</t>
        </is>
      </c>
      <c r="E1212" t="inlineStr">
        <is>
          <t>MALUNG-SÄLEN</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57965-2024</t>
        </is>
      </c>
      <c r="B1213" s="1" t="n">
        <v>45631</v>
      </c>
      <c r="C1213" s="1" t="n">
        <v>45638</v>
      </c>
      <c r="D1213" t="inlineStr">
        <is>
          <t>DALARNAS LÄN</t>
        </is>
      </c>
      <c r="E1213" t="inlineStr">
        <is>
          <t>MALUNG-SÄLEN</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45638</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45638</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45638</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58422-2024</t>
        </is>
      </c>
      <c r="B1217" s="1" t="n">
        <v>45634</v>
      </c>
      <c r="C1217" s="1" t="n">
        <v>45638</v>
      </c>
      <c r="D1217" t="inlineStr">
        <is>
          <t>DALARNAS LÄN</t>
        </is>
      </c>
      <c r="E1217" t="inlineStr">
        <is>
          <t>MALUNG-SÄLEN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58421-2024</t>
        </is>
      </c>
      <c r="B1218" s="1" t="n">
        <v>45634</v>
      </c>
      <c r="C1218" s="1" t="n">
        <v>45638</v>
      </c>
      <c r="D1218" t="inlineStr">
        <is>
          <t>DALARNAS LÄN</t>
        </is>
      </c>
      <c r="E1218" t="inlineStr">
        <is>
          <t>MALUNG-SÄLEN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58420-2024</t>
        </is>
      </c>
      <c r="B1219" s="1" t="n">
        <v>45634</v>
      </c>
      <c r="C1219" s="1" t="n">
        <v>45638</v>
      </c>
      <c r="D1219" t="inlineStr">
        <is>
          <t>DALARNAS LÄN</t>
        </is>
      </c>
      <c r="E1219" t="inlineStr">
        <is>
          <t>MALUNG-SÄLEN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58419-2024</t>
        </is>
      </c>
      <c r="B1220" s="1" t="n">
        <v>45634</v>
      </c>
      <c r="C1220" s="1" t="n">
        <v>45638</v>
      </c>
      <c r="D1220" t="inlineStr">
        <is>
          <t>DALARNAS LÄN</t>
        </is>
      </c>
      <c r="E1220" t="inlineStr">
        <is>
          <t>MALUNG-SÄLEN</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58904-2024</t>
        </is>
      </c>
      <c r="B1221" s="1" t="n">
        <v>45636</v>
      </c>
      <c r="C1221" s="1" t="n">
        <v>45638</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45638</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59305-2024</t>
        </is>
      </c>
      <c r="B1223" s="1" t="n">
        <v>45637</v>
      </c>
      <c r="C1223" s="1" t="n">
        <v>45638</v>
      </c>
      <c r="D1223" t="inlineStr">
        <is>
          <t>DALARNAS LÄN</t>
        </is>
      </c>
      <c r="E1223" t="inlineStr">
        <is>
          <t>MALUNG-SÄLEN</t>
        </is>
      </c>
      <c r="G1223" t="n">
        <v>10.1</v>
      </c>
      <c r="H1223" t="n">
        <v>0</v>
      </c>
      <c r="I1223" t="n">
        <v>0</v>
      </c>
      <c r="J1223" t="n">
        <v>0</v>
      </c>
      <c r="K1223" t="n">
        <v>0</v>
      </c>
      <c r="L1223" t="n">
        <v>0</v>
      </c>
      <c r="M1223" t="n">
        <v>0</v>
      </c>
      <c r="N1223" t="n">
        <v>0</v>
      </c>
      <c r="O1223" t="n">
        <v>0</v>
      </c>
      <c r="P1223" t="n">
        <v>0</v>
      </c>
      <c r="Q1223" t="n">
        <v>0</v>
      </c>
      <c r="R1223" s="2" t="inlineStr"/>
    </row>
    <row r="1224">
      <c r="A1224" t="inlineStr">
        <is>
          <t>A 59318-2024</t>
        </is>
      </c>
      <c r="B1224" s="1" t="n">
        <v>45637</v>
      </c>
      <c r="C1224" s="1" t="n">
        <v>45638</v>
      </c>
      <c r="D1224" t="inlineStr">
        <is>
          <t>DALARNAS LÄN</t>
        </is>
      </c>
      <c r="E1224" t="inlineStr">
        <is>
          <t>MALUNG-SÄLEN</t>
        </is>
      </c>
      <c r="F1224" t="inlineStr">
        <is>
          <t>Allmännings- och besparingsskogar</t>
        </is>
      </c>
      <c r="G1224" t="n">
        <v>0.7</v>
      </c>
      <c r="H1224" t="n">
        <v>0</v>
      </c>
      <c r="I1224" t="n">
        <v>0</v>
      </c>
      <c r="J1224" t="n">
        <v>0</v>
      </c>
      <c r="K1224" t="n">
        <v>0</v>
      </c>
      <c r="L1224" t="n">
        <v>0</v>
      </c>
      <c r="M1224" t="n">
        <v>0</v>
      </c>
      <c r="N1224" t="n">
        <v>0</v>
      </c>
      <c r="O1224" t="n">
        <v>0</v>
      </c>
      <c r="P1224" t="n">
        <v>0</v>
      </c>
      <c r="Q1224" t="n">
        <v>0</v>
      </c>
      <c r="R1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2024-12-12T15:40:29Z</dcterms:created>
  <dcterms:modified xmlns:dcterms="http://purl.org/dc/terms/" xmlns:xsi="http://www.w3.org/2001/XMLSchema-instance" xsi:type="dcterms:W3CDTF">2024-12-12T15:40:30Z</dcterms:modified>
</cp:coreProperties>
</file>