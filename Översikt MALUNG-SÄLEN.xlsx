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45841</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45841</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45841</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45841</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45841</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45841</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45841</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45841</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45841</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45841</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45841</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45841</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45841</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45841</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45841</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45841</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45841</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45841</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45841</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45841</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45841</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45841</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45841</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45841</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45841</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45841</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45841</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45841</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45841</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45841</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45841</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45841</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45841</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45841</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45841</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45841</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45841</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45841</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45841</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45841</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45841</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45841</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45841</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45841</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45841</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45841</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45841</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45841</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45841</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45841</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45841</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45841</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45841</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45841</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45841</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45841</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45841</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45841</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45841</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45841</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45841</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45841</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45841</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45841</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45841</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45841</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45841</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45841</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45841</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45841</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45841</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52669-2021</t>
        </is>
      </c>
      <c r="B73" s="1" t="n">
        <v>44464</v>
      </c>
      <c r="C73" s="1" t="n">
        <v>45841</v>
      </c>
      <c r="D73" t="inlineStr">
        <is>
          <t>DALARNAS LÄN</t>
        </is>
      </c>
      <c r="E73" t="inlineStr">
        <is>
          <t>MALUNG-SÄLEN</t>
        </is>
      </c>
      <c r="G73" t="n">
        <v>0.2</v>
      </c>
      <c r="H73" t="n">
        <v>0</v>
      </c>
      <c r="I73" t="n">
        <v>0</v>
      </c>
      <c r="J73" t="n">
        <v>1</v>
      </c>
      <c r="K73" t="n">
        <v>0</v>
      </c>
      <c r="L73" t="n">
        <v>0</v>
      </c>
      <c r="M73" t="n">
        <v>0</v>
      </c>
      <c r="N73" t="n">
        <v>0</v>
      </c>
      <c r="O73" t="n">
        <v>1</v>
      </c>
      <c r="P73" t="n">
        <v>0</v>
      </c>
      <c r="Q73" t="n">
        <v>1</v>
      </c>
      <c r="R73" s="2" t="inlineStr">
        <is>
          <t>Garnlav</t>
        </is>
      </c>
      <c r="S73">
        <f>HYPERLINK("https://klasma.github.io/Logging_2023/artfynd/A 52669-2021 artfynd.xlsx", "A 52669-2021")</f>
        <v/>
      </c>
      <c r="T73">
        <f>HYPERLINK("https://klasma.github.io/Logging_2023/kartor/A 52669-2021 karta.png", "A 52669-2021")</f>
        <v/>
      </c>
      <c r="V73">
        <f>HYPERLINK("https://klasma.github.io/Logging_2023/klagomål/A 52669-2021 FSC-klagomål.docx", "A 52669-2021")</f>
        <v/>
      </c>
      <c r="W73">
        <f>HYPERLINK("https://klasma.github.io/Logging_2023/klagomålsmail/A 52669-2021 FSC-klagomål mail.docx", "A 52669-2021")</f>
        <v/>
      </c>
      <c r="X73">
        <f>HYPERLINK("https://klasma.github.io/Logging_2023/tillsyn/A 52669-2021 tillsynsbegäran.docx", "A 52669-2021")</f>
        <v/>
      </c>
      <c r="Y73">
        <f>HYPERLINK("https://klasma.github.io/Logging_2023/tillsynsmail/A 52669-2021 tillsynsbegäran mail.docx", "A 52669-2021")</f>
        <v/>
      </c>
    </row>
    <row r="74" ht="15" customHeight="1">
      <c r="A74" t="inlineStr">
        <is>
          <t>A 11560-2022</t>
        </is>
      </c>
      <c r="B74" s="1" t="n">
        <v>44631</v>
      </c>
      <c r="C74" s="1" t="n">
        <v>45841</v>
      </c>
      <c r="D74" t="inlineStr">
        <is>
          <t>DALARNAS LÄN</t>
        </is>
      </c>
      <c r="E74" t="inlineStr">
        <is>
          <t>MALUNG-SÄLEN</t>
        </is>
      </c>
      <c r="G74" t="n">
        <v>7.4</v>
      </c>
      <c r="H74" t="n">
        <v>0</v>
      </c>
      <c r="I74" t="n">
        <v>0</v>
      </c>
      <c r="J74" t="n">
        <v>1</v>
      </c>
      <c r="K74" t="n">
        <v>0</v>
      </c>
      <c r="L74" t="n">
        <v>0</v>
      </c>
      <c r="M74" t="n">
        <v>0</v>
      </c>
      <c r="N74" t="n">
        <v>0</v>
      </c>
      <c r="O74" t="n">
        <v>1</v>
      </c>
      <c r="P74" t="n">
        <v>0</v>
      </c>
      <c r="Q74" t="n">
        <v>1</v>
      </c>
      <c r="R74" s="2" t="inlineStr">
        <is>
          <t>Blå taggsvamp</t>
        </is>
      </c>
      <c r="S74">
        <f>HYPERLINK("https://klasma.github.io/Logging_2023/artfynd/A 11560-2022 artfynd.xlsx", "A 11560-2022")</f>
        <v/>
      </c>
      <c r="T74">
        <f>HYPERLINK("https://klasma.github.io/Logging_2023/kartor/A 11560-2022 karta.png", "A 11560-2022")</f>
        <v/>
      </c>
      <c r="V74">
        <f>HYPERLINK("https://klasma.github.io/Logging_2023/klagomål/A 11560-2022 FSC-klagomål.docx", "A 11560-2022")</f>
        <v/>
      </c>
      <c r="W74">
        <f>HYPERLINK("https://klasma.github.io/Logging_2023/klagomålsmail/A 11560-2022 FSC-klagomål mail.docx", "A 11560-2022")</f>
        <v/>
      </c>
      <c r="X74">
        <f>HYPERLINK("https://klasma.github.io/Logging_2023/tillsyn/A 11560-2022 tillsynsbegäran.docx", "A 11560-2022")</f>
        <v/>
      </c>
      <c r="Y74">
        <f>HYPERLINK("https://klasma.github.io/Logging_2023/tillsynsmail/A 11560-2022 tillsynsbegäran mail.docx", "A 11560-2022")</f>
        <v/>
      </c>
    </row>
    <row r="75" ht="15" customHeight="1">
      <c r="A75" t="inlineStr">
        <is>
          <t>A 23476-2022</t>
        </is>
      </c>
      <c r="B75" s="1" t="n">
        <v>44721</v>
      </c>
      <c r="C75" s="1" t="n">
        <v>45841</v>
      </c>
      <c r="D75" t="inlineStr">
        <is>
          <t>DALARNAS LÄN</t>
        </is>
      </c>
      <c r="E75" t="inlineStr">
        <is>
          <t>MALUNG-SÄLEN</t>
        </is>
      </c>
      <c r="F75" t="inlineStr">
        <is>
          <t>Övriga statliga verk och myndigheter</t>
        </is>
      </c>
      <c r="G75" t="n">
        <v>1.2</v>
      </c>
      <c r="H75" t="n">
        <v>0</v>
      </c>
      <c r="I75" t="n">
        <v>1</v>
      </c>
      <c r="J75" t="n">
        <v>0</v>
      </c>
      <c r="K75" t="n">
        <v>0</v>
      </c>
      <c r="L75" t="n">
        <v>0</v>
      </c>
      <c r="M75" t="n">
        <v>0</v>
      </c>
      <c r="N75" t="n">
        <v>0</v>
      </c>
      <c r="O75" t="n">
        <v>0</v>
      </c>
      <c r="P75" t="n">
        <v>0</v>
      </c>
      <c r="Q75" t="n">
        <v>1</v>
      </c>
      <c r="R75" s="2" t="inlineStr">
        <is>
          <t>Sotlav</t>
        </is>
      </c>
      <c r="S75">
        <f>HYPERLINK("https://klasma.github.io/Logging_2023/artfynd/A 23476-2022 artfynd.xlsx", "A 23476-2022")</f>
        <v/>
      </c>
      <c r="T75">
        <f>HYPERLINK("https://klasma.github.io/Logging_2023/kartor/A 23476-2022 karta.png", "A 23476-2022")</f>
        <v/>
      </c>
      <c r="V75">
        <f>HYPERLINK("https://klasma.github.io/Logging_2023/klagomål/A 23476-2022 FSC-klagomål.docx", "A 23476-2022")</f>
        <v/>
      </c>
      <c r="W75">
        <f>HYPERLINK("https://klasma.github.io/Logging_2023/klagomålsmail/A 23476-2022 FSC-klagomål mail.docx", "A 23476-2022")</f>
        <v/>
      </c>
      <c r="X75">
        <f>HYPERLINK("https://klasma.github.io/Logging_2023/tillsyn/A 23476-2022 tillsynsbegäran.docx", "A 23476-2022")</f>
        <v/>
      </c>
      <c r="Y75">
        <f>HYPERLINK("https://klasma.github.io/Logging_2023/tillsynsmail/A 23476-2022 tillsynsbegäran mail.docx", "A 23476-2022")</f>
        <v/>
      </c>
    </row>
    <row r="76" ht="15" customHeight="1">
      <c r="A76" t="inlineStr">
        <is>
          <t>A 33859-2022</t>
        </is>
      </c>
      <c r="B76" s="1" t="n">
        <v>44790</v>
      </c>
      <c r="C76" s="1" t="n">
        <v>45841</v>
      </c>
      <c r="D76" t="inlineStr">
        <is>
          <t>DALARNAS LÄN</t>
        </is>
      </c>
      <c r="E76" t="inlineStr">
        <is>
          <t>MALUNG-SÄLEN</t>
        </is>
      </c>
      <c r="G76" t="n">
        <v>18.8</v>
      </c>
      <c r="H76" t="n">
        <v>1</v>
      </c>
      <c r="I76" t="n">
        <v>0</v>
      </c>
      <c r="J76" t="n">
        <v>1</v>
      </c>
      <c r="K76" t="n">
        <v>0</v>
      </c>
      <c r="L76" t="n">
        <v>0</v>
      </c>
      <c r="M76" t="n">
        <v>0</v>
      </c>
      <c r="N76" t="n">
        <v>0</v>
      </c>
      <c r="O76" t="n">
        <v>1</v>
      </c>
      <c r="P76" t="n">
        <v>0</v>
      </c>
      <c r="Q76" t="n">
        <v>1</v>
      </c>
      <c r="R76" s="2" t="inlineStr">
        <is>
          <t>Nordfladdermus</t>
        </is>
      </c>
      <c r="S76">
        <f>HYPERLINK("https://klasma.github.io/Logging_2023/artfynd/A 33859-2022 artfynd.xlsx", "A 33859-2022")</f>
        <v/>
      </c>
      <c r="T76">
        <f>HYPERLINK("https://klasma.github.io/Logging_2023/kartor/A 33859-2022 karta.png", "A 33859-2022")</f>
        <v/>
      </c>
      <c r="V76">
        <f>HYPERLINK("https://klasma.github.io/Logging_2023/klagomål/A 33859-2022 FSC-klagomål.docx", "A 33859-2022")</f>
        <v/>
      </c>
      <c r="W76">
        <f>HYPERLINK("https://klasma.github.io/Logging_2023/klagomålsmail/A 33859-2022 FSC-klagomål mail.docx", "A 33859-2022")</f>
        <v/>
      </c>
      <c r="X76">
        <f>HYPERLINK("https://klasma.github.io/Logging_2023/tillsyn/A 33859-2022 tillsynsbegäran.docx", "A 33859-2022")</f>
        <v/>
      </c>
      <c r="Y76">
        <f>HYPERLINK("https://klasma.github.io/Logging_2023/tillsynsmail/A 33859-2022 tillsynsbegäran mail.docx", "A 33859-2022")</f>
        <v/>
      </c>
    </row>
    <row r="77" ht="15" customHeight="1">
      <c r="A77" t="inlineStr">
        <is>
          <t>A 48842-2022</t>
        </is>
      </c>
      <c r="B77" s="1" t="n">
        <v>44859</v>
      </c>
      <c r="C77" s="1" t="n">
        <v>45841</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Gränsticka</t>
        </is>
      </c>
      <c r="S77">
        <f>HYPERLINK("https://klasma.github.io/Logging_2023/artfynd/A 48842-2022 artfynd.xlsx", "A 48842-2022")</f>
        <v/>
      </c>
      <c r="T77">
        <f>HYPERLINK("https://klasma.github.io/Logging_2023/kartor/A 48842-2022 karta.png", "A 48842-2022")</f>
        <v/>
      </c>
      <c r="V77">
        <f>HYPERLINK("https://klasma.github.io/Logging_2023/klagomål/A 48842-2022 FSC-klagomål.docx", "A 48842-2022")</f>
        <v/>
      </c>
      <c r="W77">
        <f>HYPERLINK("https://klasma.github.io/Logging_2023/klagomålsmail/A 48842-2022 FSC-klagomål mail.docx", "A 48842-2022")</f>
        <v/>
      </c>
      <c r="X77">
        <f>HYPERLINK("https://klasma.github.io/Logging_2023/tillsyn/A 48842-2022 tillsynsbegäran.docx", "A 48842-2022")</f>
        <v/>
      </c>
      <c r="Y77">
        <f>HYPERLINK("https://klasma.github.io/Logging_2023/tillsynsmail/A 48842-2022 tillsynsbegäran mail.docx", "A 48842-2022")</f>
        <v/>
      </c>
    </row>
    <row r="78" ht="15" customHeight="1">
      <c r="A78" t="inlineStr">
        <is>
          <t>A 32068-2023</t>
        </is>
      </c>
      <c r="B78" s="1" t="n">
        <v>45119</v>
      </c>
      <c r="C78" s="1" t="n">
        <v>45841</v>
      </c>
      <c r="D78" t="inlineStr">
        <is>
          <t>DALARNAS LÄN</t>
        </is>
      </c>
      <c r="E78" t="inlineStr">
        <is>
          <t>MALUNG-SÄLEN</t>
        </is>
      </c>
      <c r="F78" t="inlineStr">
        <is>
          <t>Bergvik skog öst AB</t>
        </is>
      </c>
      <c r="G78" t="n">
        <v>1.6</v>
      </c>
      <c r="H78" t="n">
        <v>1</v>
      </c>
      <c r="I78" t="n">
        <v>0</v>
      </c>
      <c r="J78" t="n">
        <v>1</v>
      </c>
      <c r="K78" t="n">
        <v>0</v>
      </c>
      <c r="L78" t="n">
        <v>0</v>
      </c>
      <c r="M78" t="n">
        <v>0</v>
      </c>
      <c r="N78" t="n">
        <v>0</v>
      </c>
      <c r="O78" t="n">
        <v>1</v>
      </c>
      <c r="P78" t="n">
        <v>0</v>
      </c>
      <c r="Q78" t="n">
        <v>1</v>
      </c>
      <c r="R78" s="2" t="inlineStr">
        <is>
          <t>Kungsörn</t>
        </is>
      </c>
      <c r="S78">
        <f>HYPERLINK("https://klasma.github.io/Logging_2023/artfynd/A 32068-2023 artfynd.xlsx", "A 32068-2023")</f>
        <v/>
      </c>
      <c r="T78">
        <f>HYPERLINK("https://klasma.github.io/Logging_2023/kartor/A 32068-2023 karta.png", "A 32068-2023")</f>
        <v/>
      </c>
      <c r="V78">
        <f>HYPERLINK("https://klasma.github.io/Logging_2023/klagomål/A 32068-2023 FSC-klagomål.docx", "A 32068-2023")</f>
        <v/>
      </c>
      <c r="W78">
        <f>HYPERLINK("https://klasma.github.io/Logging_2023/klagomålsmail/A 32068-2023 FSC-klagomål mail.docx", "A 32068-2023")</f>
        <v/>
      </c>
      <c r="X78">
        <f>HYPERLINK("https://klasma.github.io/Logging_2023/tillsyn/A 32068-2023 tillsynsbegäran.docx", "A 32068-2023")</f>
        <v/>
      </c>
      <c r="Y78">
        <f>HYPERLINK("https://klasma.github.io/Logging_2023/tillsynsmail/A 32068-2023 tillsynsbegäran mail.docx", "A 32068-2023")</f>
        <v/>
      </c>
      <c r="Z78">
        <f>HYPERLINK("https://klasma.github.io/Logging_2023/fåglar/A 32068-2023 prioriterade fågelarter.docx", "A 32068-2023")</f>
        <v/>
      </c>
    </row>
    <row r="79" ht="15" customHeight="1">
      <c r="A79" t="inlineStr">
        <is>
          <t>A 57333-2023</t>
        </is>
      </c>
      <c r="B79" s="1" t="n">
        <v>45245</v>
      </c>
      <c r="C79" s="1" t="n">
        <v>45841</v>
      </c>
      <c r="D79" t="inlineStr">
        <is>
          <t>DALARNAS LÄN</t>
        </is>
      </c>
      <c r="E79" t="inlineStr">
        <is>
          <t>MALUNG-SÄLEN</t>
        </is>
      </c>
      <c r="G79" t="n">
        <v>6.7</v>
      </c>
      <c r="H79" t="n">
        <v>0</v>
      </c>
      <c r="I79" t="n">
        <v>0</v>
      </c>
      <c r="J79" t="n">
        <v>0</v>
      </c>
      <c r="K79" t="n">
        <v>1</v>
      </c>
      <c r="L79" t="n">
        <v>0</v>
      </c>
      <c r="M79" t="n">
        <v>0</v>
      </c>
      <c r="N79" t="n">
        <v>0</v>
      </c>
      <c r="O79" t="n">
        <v>1</v>
      </c>
      <c r="P79" t="n">
        <v>1</v>
      </c>
      <c r="Q79" t="n">
        <v>1</v>
      </c>
      <c r="R79" s="2" t="inlineStr">
        <is>
          <t>Gräddporing</t>
        </is>
      </c>
      <c r="S79">
        <f>HYPERLINK("https://klasma.github.io/Logging_2023/artfynd/A 57333-2023 artfynd.xlsx", "A 57333-2023")</f>
        <v/>
      </c>
      <c r="T79">
        <f>HYPERLINK("https://klasma.github.io/Logging_2023/kartor/A 57333-2023 karta.png", "A 57333-2023")</f>
        <v/>
      </c>
      <c r="V79">
        <f>HYPERLINK("https://klasma.github.io/Logging_2023/klagomål/A 57333-2023 FSC-klagomål.docx", "A 57333-2023")</f>
        <v/>
      </c>
      <c r="W79">
        <f>HYPERLINK("https://klasma.github.io/Logging_2023/klagomålsmail/A 57333-2023 FSC-klagomål mail.docx", "A 57333-2023")</f>
        <v/>
      </c>
      <c r="X79">
        <f>HYPERLINK("https://klasma.github.io/Logging_2023/tillsyn/A 57333-2023 tillsynsbegäran.docx", "A 57333-2023")</f>
        <v/>
      </c>
      <c r="Y79">
        <f>HYPERLINK("https://klasma.github.io/Logging_2023/tillsynsmail/A 57333-2023 tillsynsbegäran mail.docx", "A 57333-2023")</f>
        <v/>
      </c>
    </row>
    <row r="80" ht="15" customHeight="1">
      <c r="A80" t="inlineStr">
        <is>
          <t>A 57702-2023</t>
        </is>
      </c>
      <c r="B80" s="1" t="n">
        <v>45246</v>
      </c>
      <c r="C80" s="1" t="n">
        <v>45841</v>
      </c>
      <c r="D80" t="inlineStr">
        <is>
          <t>DALARNAS LÄN</t>
        </is>
      </c>
      <c r="E80" t="inlineStr">
        <is>
          <t>MALUNG-SÄLEN</t>
        </is>
      </c>
      <c r="G80" t="n">
        <v>1.5</v>
      </c>
      <c r="H80" t="n">
        <v>0</v>
      </c>
      <c r="I80" t="n">
        <v>1</v>
      </c>
      <c r="J80" t="n">
        <v>0</v>
      </c>
      <c r="K80" t="n">
        <v>0</v>
      </c>
      <c r="L80" t="n">
        <v>0</v>
      </c>
      <c r="M80" t="n">
        <v>0</v>
      </c>
      <c r="N80" t="n">
        <v>0</v>
      </c>
      <c r="O80" t="n">
        <v>0</v>
      </c>
      <c r="P80" t="n">
        <v>0</v>
      </c>
      <c r="Q80" t="n">
        <v>1</v>
      </c>
      <c r="R80" s="2" t="inlineStr">
        <is>
          <t>Brun nållav</t>
        </is>
      </c>
      <c r="S80">
        <f>HYPERLINK("https://klasma.github.io/Logging_2023/artfynd/A 57702-2023 artfynd.xlsx", "A 57702-2023")</f>
        <v/>
      </c>
      <c r="T80">
        <f>HYPERLINK("https://klasma.github.io/Logging_2023/kartor/A 57702-2023 karta.png", "A 57702-2023")</f>
        <v/>
      </c>
      <c r="V80">
        <f>HYPERLINK("https://klasma.github.io/Logging_2023/klagomål/A 57702-2023 FSC-klagomål.docx", "A 57702-2023")</f>
        <v/>
      </c>
      <c r="W80">
        <f>HYPERLINK("https://klasma.github.io/Logging_2023/klagomålsmail/A 57702-2023 FSC-klagomål mail.docx", "A 57702-2023")</f>
        <v/>
      </c>
      <c r="X80">
        <f>HYPERLINK("https://klasma.github.io/Logging_2023/tillsyn/A 57702-2023 tillsynsbegäran.docx", "A 57702-2023")</f>
        <v/>
      </c>
      <c r="Y80">
        <f>HYPERLINK("https://klasma.github.io/Logging_2023/tillsynsmail/A 57702-2023 tillsynsbegäran mail.docx", "A 57702-2023")</f>
        <v/>
      </c>
    </row>
    <row r="81" ht="15" customHeight="1">
      <c r="A81" t="inlineStr">
        <is>
          <t>A 6807-2024</t>
        </is>
      </c>
      <c r="B81" s="1" t="n">
        <v>45342</v>
      </c>
      <c r="C81" s="1" t="n">
        <v>45841</v>
      </c>
      <c r="D81" t="inlineStr">
        <is>
          <t>DALARNAS LÄN</t>
        </is>
      </c>
      <c r="E81" t="inlineStr">
        <is>
          <t>MALUNG-SÄLEN</t>
        </is>
      </c>
      <c r="G81" t="n">
        <v>10.7</v>
      </c>
      <c r="H81" t="n">
        <v>0</v>
      </c>
      <c r="I81" t="n">
        <v>0</v>
      </c>
      <c r="J81" t="n">
        <v>1</v>
      </c>
      <c r="K81" t="n">
        <v>0</v>
      </c>
      <c r="L81" t="n">
        <v>0</v>
      </c>
      <c r="M81" t="n">
        <v>0</v>
      </c>
      <c r="N81" t="n">
        <v>0</v>
      </c>
      <c r="O81" t="n">
        <v>1</v>
      </c>
      <c r="P81" t="n">
        <v>0</v>
      </c>
      <c r="Q81" t="n">
        <v>1</v>
      </c>
      <c r="R81" s="2" t="inlineStr">
        <is>
          <t>Motaggsvamp</t>
        </is>
      </c>
      <c r="S81">
        <f>HYPERLINK("https://klasma.github.io/Logging_2023/artfynd/A 6807-2024 artfynd.xlsx", "A 6807-2024")</f>
        <v/>
      </c>
      <c r="T81">
        <f>HYPERLINK("https://klasma.github.io/Logging_2023/kartor/A 6807-2024 karta.png", "A 6807-2024")</f>
        <v/>
      </c>
      <c r="V81">
        <f>HYPERLINK("https://klasma.github.io/Logging_2023/klagomål/A 6807-2024 FSC-klagomål.docx", "A 6807-2024")</f>
        <v/>
      </c>
      <c r="W81">
        <f>HYPERLINK("https://klasma.github.io/Logging_2023/klagomålsmail/A 6807-2024 FSC-klagomål mail.docx", "A 6807-2024")</f>
        <v/>
      </c>
      <c r="X81">
        <f>HYPERLINK("https://klasma.github.io/Logging_2023/tillsyn/A 6807-2024 tillsynsbegäran.docx", "A 6807-2024")</f>
        <v/>
      </c>
      <c r="Y81">
        <f>HYPERLINK("https://klasma.github.io/Logging_2023/tillsynsmail/A 6807-2024 tillsynsbegäran mail.docx", "A 6807-2024")</f>
        <v/>
      </c>
    </row>
    <row r="82" ht="15" customHeight="1">
      <c r="A82" t="inlineStr">
        <is>
          <t>A 8326-2024</t>
        </is>
      </c>
      <c r="B82" s="1" t="n">
        <v>45352</v>
      </c>
      <c r="C82" s="1" t="n">
        <v>45841</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Doftskinn</t>
        </is>
      </c>
      <c r="S82">
        <f>HYPERLINK("https://klasma.github.io/Logging_2023/artfynd/A 8326-2024 artfynd.xlsx", "A 8326-2024")</f>
        <v/>
      </c>
      <c r="T82">
        <f>HYPERLINK("https://klasma.github.io/Logging_2023/kartor/A 8326-2024 karta.png", "A 8326-2024")</f>
        <v/>
      </c>
      <c r="V82">
        <f>HYPERLINK("https://klasma.github.io/Logging_2023/klagomål/A 8326-2024 FSC-klagomål.docx", "A 8326-2024")</f>
        <v/>
      </c>
      <c r="W82">
        <f>HYPERLINK("https://klasma.github.io/Logging_2023/klagomålsmail/A 8326-2024 FSC-klagomål mail.docx", "A 8326-2024")</f>
        <v/>
      </c>
      <c r="X82">
        <f>HYPERLINK("https://klasma.github.io/Logging_2023/tillsyn/A 8326-2024 tillsynsbegäran.docx", "A 8326-2024")</f>
        <v/>
      </c>
      <c r="Y82">
        <f>HYPERLINK("https://klasma.github.io/Logging_2023/tillsynsmail/A 8326-2024 tillsynsbegäran mail.docx", "A 8326-2024")</f>
        <v/>
      </c>
    </row>
    <row r="83" ht="15" customHeight="1">
      <c r="A83" t="inlineStr">
        <is>
          <t>A 19374-2024</t>
        </is>
      </c>
      <c r="B83" s="1" t="n">
        <v>45429</v>
      </c>
      <c r="C83" s="1" t="n">
        <v>45841</v>
      </c>
      <c r="D83" t="inlineStr">
        <is>
          <t>DALARNAS LÄN</t>
        </is>
      </c>
      <c r="E83" t="inlineStr">
        <is>
          <t>MALUNG-SÄLEN</t>
        </is>
      </c>
      <c r="F83" t="inlineStr">
        <is>
          <t>Bergvik skog öst AB</t>
        </is>
      </c>
      <c r="G83" t="n">
        <v>1.1</v>
      </c>
      <c r="H83" t="n">
        <v>0</v>
      </c>
      <c r="I83" t="n">
        <v>1</v>
      </c>
      <c r="J83" t="n">
        <v>0</v>
      </c>
      <c r="K83" t="n">
        <v>0</v>
      </c>
      <c r="L83" t="n">
        <v>0</v>
      </c>
      <c r="M83" t="n">
        <v>0</v>
      </c>
      <c r="N83" t="n">
        <v>0</v>
      </c>
      <c r="O83" t="n">
        <v>0</v>
      </c>
      <c r="P83" t="n">
        <v>0</v>
      </c>
      <c r="Q83" t="n">
        <v>1</v>
      </c>
      <c r="R83" s="2" t="inlineStr">
        <is>
          <t>Skarp dropptaggsvamp</t>
        </is>
      </c>
      <c r="S83">
        <f>HYPERLINK("https://klasma.github.io/Logging_2023/artfynd/A 19374-2024 artfynd.xlsx", "A 19374-2024")</f>
        <v/>
      </c>
      <c r="T83">
        <f>HYPERLINK("https://klasma.github.io/Logging_2023/kartor/A 19374-2024 karta.png", "A 19374-2024")</f>
        <v/>
      </c>
      <c r="V83">
        <f>HYPERLINK("https://klasma.github.io/Logging_2023/klagomål/A 19374-2024 FSC-klagomål.docx", "A 19374-2024")</f>
        <v/>
      </c>
      <c r="W83">
        <f>HYPERLINK("https://klasma.github.io/Logging_2023/klagomålsmail/A 19374-2024 FSC-klagomål mail.docx", "A 19374-2024")</f>
        <v/>
      </c>
      <c r="X83">
        <f>HYPERLINK("https://klasma.github.io/Logging_2023/tillsyn/A 19374-2024 tillsynsbegäran.docx", "A 19374-2024")</f>
        <v/>
      </c>
      <c r="Y83">
        <f>HYPERLINK("https://klasma.github.io/Logging_2023/tillsynsmail/A 19374-2024 tillsynsbegäran mail.docx", "A 19374-2024")</f>
        <v/>
      </c>
    </row>
    <row r="84" ht="15" customHeight="1">
      <c r="A84" t="inlineStr">
        <is>
          <t>A 22186-2024</t>
        </is>
      </c>
      <c r="B84" s="1" t="n">
        <v>45446</v>
      </c>
      <c r="C84" s="1" t="n">
        <v>45841</v>
      </c>
      <c r="D84" t="inlineStr">
        <is>
          <t>DALARNAS LÄN</t>
        </is>
      </c>
      <c r="E84" t="inlineStr">
        <is>
          <t>MALUNG-SÄLEN</t>
        </is>
      </c>
      <c r="F84" t="inlineStr">
        <is>
          <t>Allmännings- och besparingsskogar</t>
        </is>
      </c>
      <c r="G84" t="n">
        <v>36</v>
      </c>
      <c r="H84" t="n">
        <v>1</v>
      </c>
      <c r="I84" t="n">
        <v>0</v>
      </c>
      <c r="J84" t="n">
        <v>1</v>
      </c>
      <c r="K84" t="n">
        <v>0</v>
      </c>
      <c r="L84" t="n">
        <v>0</v>
      </c>
      <c r="M84" t="n">
        <v>0</v>
      </c>
      <c r="N84" t="n">
        <v>0</v>
      </c>
      <c r="O84" t="n">
        <v>1</v>
      </c>
      <c r="P84" t="n">
        <v>0</v>
      </c>
      <c r="Q84" t="n">
        <v>1</v>
      </c>
      <c r="R84" s="2" t="inlineStr">
        <is>
          <t>Varglav</t>
        </is>
      </c>
      <c r="S84">
        <f>HYPERLINK("https://klasma.github.io/Logging_2023/artfynd/A 22186-2024 artfynd.xlsx", "A 22186-2024")</f>
        <v/>
      </c>
      <c r="T84">
        <f>HYPERLINK("https://klasma.github.io/Logging_2023/kartor/A 22186-2024 karta.png", "A 22186-2024")</f>
        <v/>
      </c>
      <c r="V84">
        <f>HYPERLINK("https://klasma.github.io/Logging_2023/klagomål/A 22186-2024 FSC-klagomål.docx", "A 22186-2024")</f>
        <v/>
      </c>
      <c r="W84">
        <f>HYPERLINK("https://klasma.github.io/Logging_2023/klagomålsmail/A 22186-2024 FSC-klagomål mail.docx", "A 22186-2024")</f>
        <v/>
      </c>
      <c r="X84">
        <f>HYPERLINK("https://klasma.github.io/Logging_2023/tillsyn/A 22186-2024 tillsynsbegäran.docx", "A 22186-2024")</f>
        <v/>
      </c>
      <c r="Y84">
        <f>HYPERLINK("https://klasma.github.io/Logging_2023/tillsynsmail/A 22186-2024 tillsynsbegäran mail.docx", "A 22186-2024")</f>
        <v/>
      </c>
    </row>
    <row r="85" ht="15" customHeight="1">
      <c r="A85" t="inlineStr">
        <is>
          <t>A 24907-2024</t>
        </is>
      </c>
      <c r="B85" s="1" t="n">
        <v>45461</v>
      </c>
      <c r="C85" s="1" t="n">
        <v>45841</v>
      </c>
      <c r="D85" t="inlineStr">
        <is>
          <t>DALARNAS LÄN</t>
        </is>
      </c>
      <c r="E85" t="inlineStr">
        <is>
          <t>MALUNG-SÄLEN</t>
        </is>
      </c>
      <c r="F85" t="inlineStr">
        <is>
          <t>Allmännings- och besparingsskogar</t>
        </is>
      </c>
      <c r="G85" t="n">
        <v>1.4</v>
      </c>
      <c r="H85" t="n">
        <v>1</v>
      </c>
      <c r="I85" t="n">
        <v>0</v>
      </c>
      <c r="J85" t="n">
        <v>1</v>
      </c>
      <c r="K85" t="n">
        <v>0</v>
      </c>
      <c r="L85" t="n">
        <v>0</v>
      </c>
      <c r="M85" t="n">
        <v>0</v>
      </c>
      <c r="N85" t="n">
        <v>0</v>
      </c>
      <c r="O85" t="n">
        <v>1</v>
      </c>
      <c r="P85" t="n">
        <v>0</v>
      </c>
      <c r="Q85" t="n">
        <v>1</v>
      </c>
      <c r="R85" s="2" t="inlineStr">
        <is>
          <t>Tretåig hackspett</t>
        </is>
      </c>
      <c r="S85">
        <f>HYPERLINK("https://klasma.github.io/Logging_2023/artfynd/A 24907-2024 artfynd.xlsx", "A 24907-2024")</f>
        <v/>
      </c>
      <c r="T85">
        <f>HYPERLINK("https://klasma.github.io/Logging_2023/kartor/A 24907-2024 karta.png", "A 24907-2024")</f>
        <v/>
      </c>
      <c r="V85">
        <f>HYPERLINK("https://klasma.github.io/Logging_2023/klagomål/A 24907-2024 FSC-klagomål.docx", "A 24907-2024")</f>
        <v/>
      </c>
      <c r="W85">
        <f>HYPERLINK("https://klasma.github.io/Logging_2023/klagomålsmail/A 24907-2024 FSC-klagomål mail.docx", "A 24907-2024")</f>
        <v/>
      </c>
      <c r="X85">
        <f>HYPERLINK("https://klasma.github.io/Logging_2023/tillsyn/A 24907-2024 tillsynsbegäran.docx", "A 24907-2024")</f>
        <v/>
      </c>
      <c r="Y85">
        <f>HYPERLINK("https://klasma.github.io/Logging_2023/tillsynsmail/A 24907-2024 tillsynsbegäran mail.docx", "A 24907-2024")</f>
        <v/>
      </c>
      <c r="Z85">
        <f>HYPERLINK("https://klasma.github.io/Logging_2023/fåglar/A 24907-2024 prioriterade fågelarter.docx", "A 24907-2024")</f>
        <v/>
      </c>
    </row>
    <row r="86" ht="15" customHeight="1">
      <c r="A86" t="inlineStr">
        <is>
          <t>A 29045-2024</t>
        </is>
      </c>
      <c r="B86" s="1" t="n">
        <v>45481</v>
      </c>
      <c r="C86" s="1" t="n">
        <v>45841</v>
      </c>
      <c r="D86" t="inlineStr">
        <is>
          <t>DALARNAS LÄN</t>
        </is>
      </c>
      <c r="E86" t="inlineStr">
        <is>
          <t>MALUNG-SÄLEN</t>
        </is>
      </c>
      <c r="G86" t="n">
        <v>5.7</v>
      </c>
      <c r="H86" t="n">
        <v>1</v>
      </c>
      <c r="I86" t="n">
        <v>0</v>
      </c>
      <c r="J86" t="n">
        <v>0</v>
      </c>
      <c r="K86" t="n">
        <v>1</v>
      </c>
      <c r="L86" t="n">
        <v>0</v>
      </c>
      <c r="M86" t="n">
        <v>0</v>
      </c>
      <c r="N86" t="n">
        <v>0</v>
      </c>
      <c r="O86" t="n">
        <v>1</v>
      </c>
      <c r="P86" t="n">
        <v>1</v>
      </c>
      <c r="Q86" t="n">
        <v>1</v>
      </c>
      <c r="R86" s="2" t="inlineStr">
        <is>
          <t>Knärot</t>
        </is>
      </c>
      <c r="S86">
        <f>HYPERLINK("https://klasma.github.io/Logging_2023/artfynd/A 29045-2024 artfynd.xlsx", "A 29045-2024")</f>
        <v/>
      </c>
      <c r="T86">
        <f>HYPERLINK("https://klasma.github.io/Logging_2023/kartor/A 29045-2024 karta.png", "A 29045-2024")</f>
        <v/>
      </c>
      <c r="U86">
        <f>HYPERLINK("https://klasma.github.io/Logging_2023/knärot/A 29045-2024 karta knärot.png", "A 29045-2024")</f>
        <v/>
      </c>
      <c r="V86">
        <f>HYPERLINK("https://klasma.github.io/Logging_2023/klagomål/A 29045-2024 FSC-klagomål.docx", "A 29045-2024")</f>
        <v/>
      </c>
      <c r="W86">
        <f>HYPERLINK("https://klasma.github.io/Logging_2023/klagomålsmail/A 29045-2024 FSC-klagomål mail.docx", "A 29045-2024")</f>
        <v/>
      </c>
      <c r="X86">
        <f>HYPERLINK("https://klasma.github.io/Logging_2023/tillsyn/A 29045-2024 tillsynsbegäran.docx", "A 29045-2024")</f>
        <v/>
      </c>
      <c r="Y86">
        <f>HYPERLINK("https://klasma.github.io/Logging_2023/tillsynsmail/A 29045-2024 tillsynsbegäran mail.docx", "A 29045-2024")</f>
        <v/>
      </c>
    </row>
    <row r="87" ht="15" customHeight="1">
      <c r="A87" t="inlineStr">
        <is>
          <t>A 55914-2024</t>
        </is>
      </c>
      <c r="B87" s="1" t="n">
        <v>45623</v>
      </c>
      <c r="C87" s="1" t="n">
        <v>45841</v>
      </c>
      <c r="D87" t="inlineStr">
        <is>
          <t>DALARNAS LÄN</t>
        </is>
      </c>
      <c r="E87" t="inlineStr">
        <is>
          <t>MALUNG-SÄLEN</t>
        </is>
      </c>
      <c r="G87" t="n">
        <v>1.3</v>
      </c>
      <c r="H87" t="n">
        <v>0</v>
      </c>
      <c r="I87" t="n">
        <v>0</v>
      </c>
      <c r="J87" t="n">
        <v>1</v>
      </c>
      <c r="K87" t="n">
        <v>0</v>
      </c>
      <c r="L87" t="n">
        <v>0</v>
      </c>
      <c r="M87" t="n">
        <v>0</v>
      </c>
      <c r="N87" t="n">
        <v>0</v>
      </c>
      <c r="O87" t="n">
        <v>1</v>
      </c>
      <c r="P87" t="n">
        <v>0</v>
      </c>
      <c r="Q87" t="n">
        <v>1</v>
      </c>
      <c r="R87" s="2" t="inlineStr">
        <is>
          <t>Lunglav</t>
        </is>
      </c>
      <c r="S87">
        <f>HYPERLINK("https://klasma.github.io/Logging_2023/artfynd/A 55914-2024 artfynd.xlsx", "A 55914-2024")</f>
        <v/>
      </c>
      <c r="T87">
        <f>HYPERLINK("https://klasma.github.io/Logging_2023/kartor/A 55914-2024 karta.png", "A 55914-2024")</f>
        <v/>
      </c>
      <c r="V87">
        <f>HYPERLINK("https://klasma.github.io/Logging_2023/klagomål/A 55914-2024 FSC-klagomål.docx", "A 55914-2024")</f>
        <v/>
      </c>
      <c r="W87">
        <f>HYPERLINK("https://klasma.github.io/Logging_2023/klagomålsmail/A 55914-2024 FSC-klagomål mail.docx", "A 55914-2024")</f>
        <v/>
      </c>
      <c r="X87">
        <f>HYPERLINK("https://klasma.github.io/Logging_2023/tillsyn/A 55914-2024 tillsynsbegäran.docx", "A 55914-2024")</f>
        <v/>
      </c>
      <c r="Y87">
        <f>HYPERLINK("https://klasma.github.io/Logging_2023/tillsynsmail/A 55914-2024 tillsynsbegäran mail.docx", "A 55914-2024")</f>
        <v/>
      </c>
    </row>
    <row r="88" ht="15" customHeight="1">
      <c r="A88" t="inlineStr">
        <is>
          <t>A 2940-2025</t>
        </is>
      </c>
      <c r="B88" s="1" t="n">
        <v>45678</v>
      </c>
      <c r="C88" s="1" t="n">
        <v>45841</v>
      </c>
      <c r="D88" t="inlineStr">
        <is>
          <t>DALARNAS LÄN</t>
        </is>
      </c>
      <c r="E88" t="inlineStr">
        <is>
          <t>MALUNG-SÄLEN</t>
        </is>
      </c>
      <c r="G88" t="n">
        <v>3.8</v>
      </c>
      <c r="H88" t="n">
        <v>0</v>
      </c>
      <c r="I88" t="n">
        <v>0</v>
      </c>
      <c r="J88" t="n">
        <v>1</v>
      </c>
      <c r="K88" t="n">
        <v>0</v>
      </c>
      <c r="L88" t="n">
        <v>0</v>
      </c>
      <c r="M88" t="n">
        <v>0</v>
      </c>
      <c r="N88" t="n">
        <v>0</v>
      </c>
      <c r="O88" t="n">
        <v>1</v>
      </c>
      <c r="P88" t="n">
        <v>0</v>
      </c>
      <c r="Q88" t="n">
        <v>1</v>
      </c>
      <c r="R88" s="2" t="inlineStr">
        <is>
          <t>Garnlav</t>
        </is>
      </c>
      <c r="S88">
        <f>HYPERLINK("https://klasma.github.io/Logging_2023/artfynd/A 2940-2025 artfynd.xlsx", "A 2940-2025")</f>
        <v/>
      </c>
      <c r="T88">
        <f>HYPERLINK("https://klasma.github.io/Logging_2023/kartor/A 2940-2025 karta.png", "A 2940-2025")</f>
        <v/>
      </c>
      <c r="V88">
        <f>HYPERLINK("https://klasma.github.io/Logging_2023/klagomål/A 2940-2025 FSC-klagomål.docx", "A 2940-2025")</f>
        <v/>
      </c>
      <c r="W88">
        <f>HYPERLINK("https://klasma.github.io/Logging_2023/klagomålsmail/A 2940-2025 FSC-klagomål mail.docx", "A 2940-2025")</f>
        <v/>
      </c>
      <c r="X88">
        <f>HYPERLINK("https://klasma.github.io/Logging_2023/tillsyn/A 2940-2025 tillsynsbegäran.docx", "A 2940-2025")</f>
        <v/>
      </c>
      <c r="Y88">
        <f>HYPERLINK("https://klasma.github.io/Logging_2023/tillsynsmail/A 2940-2025 tillsynsbegäran mail.docx", "A 2940-2025")</f>
        <v/>
      </c>
    </row>
    <row r="89" ht="15" customHeight="1">
      <c r="A89" t="inlineStr">
        <is>
          <t>A 8696-2025</t>
        </is>
      </c>
      <c r="B89" s="1" t="n">
        <v>45712</v>
      </c>
      <c r="C89" s="1" t="n">
        <v>45841</v>
      </c>
      <c r="D89" t="inlineStr">
        <is>
          <t>DALARNAS LÄN</t>
        </is>
      </c>
      <c r="E89" t="inlineStr">
        <is>
          <t>MALUNG-SÄLEN</t>
        </is>
      </c>
      <c r="G89" t="n">
        <v>6.5</v>
      </c>
      <c r="H89" t="n">
        <v>0</v>
      </c>
      <c r="I89" t="n">
        <v>0</v>
      </c>
      <c r="J89" t="n">
        <v>1</v>
      </c>
      <c r="K89" t="n">
        <v>0</v>
      </c>
      <c r="L89" t="n">
        <v>0</v>
      </c>
      <c r="M89" t="n">
        <v>0</v>
      </c>
      <c r="N89" t="n">
        <v>0</v>
      </c>
      <c r="O89" t="n">
        <v>1</v>
      </c>
      <c r="P89" t="n">
        <v>0</v>
      </c>
      <c r="Q89" t="n">
        <v>1</v>
      </c>
      <c r="R89" s="2" t="inlineStr">
        <is>
          <t>Garnlav</t>
        </is>
      </c>
      <c r="S89">
        <f>HYPERLINK("https://klasma.github.io/Logging_2023/artfynd/A 8696-2025 artfynd.xlsx", "A 8696-2025")</f>
        <v/>
      </c>
      <c r="T89">
        <f>HYPERLINK("https://klasma.github.io/Logging_2023/kartor/A 8696-2025 karta.png", "A 8696-2025")</f>
        <v/>
      </c>
      <c r="V89">
        <f>HYPERLINK("https://klasma.github.io/Logging_2023/klagomål/A 8696-2025 FSC-klagomål.docx", "A 8696-2025")</f>
        <v/>
      </c>
      <c r="W89">
        <f>HYPERLINK("https://klasma.github.io/Logging_2023/klagomålsmail/A 8696-2025 FSC-klagomål mail.docx", "A 8696-2025")</f>
        <v/>
      </c>
      <c r="X89">
        <f>HYPERLINK("https://klasma.github.io/Logging_2023/tillsyn/A 8696-2025 tillsynsbegäran.docx", "A 8696-2025")</f>
        <v/>
      </c>
      <c r="Y89">
        <f>HYPERLINK("https://klasma.github.io/Logging_2023/tillsynsmail/A 8696-2025 tillsynsbegäran mail.docx", "A 8696-2025")</f>
        <v/>
      </c>
    </row>
    <row r="90" ht="15" customHeight="1">
      <c r="A90" t="inlineStr">
        <is>
          <t>A 24972-2025</t>
        </is>
      </c>
      <c r="B90" s="1" t="n">
        <v>45799</v>
      </c>
      <c r="C90" s="1" t="n">
        <v>45841</v>
      </c>
      <c r="D90" t="inlineStr">
        <is>
          <t>DALARNAS LÄN</t>
        </is>
      </c>
      <c r="E90" t="inlineStr">
        <is>
          <t>MALUNG-SÄLEN</t>
        </is>
      </c>
      <c r="G90" t="n">
        <v>1.8</v>
      </c>
      <c r="H90" t="n">
        <v>0</v>
      </c>
      <c r="I90" t="n">
        <v>0</v>
      </c>
      <c r="J90" t="n">
        <v>1</v>
      </c>
      <c r="K90" t="n">
        <v>0</v>
      </c>
      <c r="L90" t="n">
        <v>0</v>
      </c>
      <c r="M90" t="n">
        <v>0</v>
      </c>
      <c r="N90" t="n">
        <v>0</v>
      </c>
      <c r="O90" t="n">
        <v>1</v>
      </c>
      <c r="P90" t="n">
        <v>0</v>
      </c>
      <c r="Q90" t="n">
        <v>1</v>
      </c>
      <c r="R90" s="2" t="inlineStr">
        <is>
          <t>Garnlav</t>
        </is>
      </c>
      <c r="S90">
        <f>HYPERLINK("https://klasma.github.io/Logging_202023/artfynd/A 24972-2025 artfynd.xlsx", "A 24972-2025")</f>
        <v/>
      </c>
      <c r="T90">
        <f>HYPERLINK("https://klasma.github.io/Logging_202023/kartor/A 24972-2025 karta.png", "A 24972-2025")</f>
        <v/>
      </c>
      <c r="V90">
        <f>HYPERLINK("https://klasma.github.io/Logging_202023/klagomål/A 24972-2025 FSC-klagomål.docx", "A 24972-2025")</f>
        <v/>
      </c>
      <c r="W90">
        <f>HYPERLINK("https://klasma.github.io/Logging_202023/klagomålsmail/A 24972-2025 FSC-klagomål mail.docx", "A 24972-2025")</f>
        <v/>
      </c>
      <c r="X90">
        <f>HYPERLINK("https://klasma.github.io/Logging_202023/tillsyn/A 24972-2025 tillsynsbegäran.docx", "A 24972-2025")</f>
        <v/>
      </c>
      <c r="Y90">
        <f>HYPERLINK("https://klasma.github.io/Logging_202023/tillsynsmail/A 24972-2025 tillsynsbegäran mail.docx", "A 24972-2025")</f>
        <v/>
      </c>
    </row>
    <row r="91" ht="15" customHeight="1">
      <c r="A91" t="inlineStr">
        <is>
          <t>A 26240-2025</t>
        </is>
      </c>
      <c r="B91" s="1" t="n">
        <v>45805</v>
      </c>
      <c r="C91" s="1" t="n">
        <v>45841</v>
      </c>
      <c r="D91" t="inlineStr">
        <is>
          <t>DALARNAS LÄN</t>
        </is>
      </c>
      <c r="E91" t="inlineStr">
        <is>
          <t>MALUNG-SÄLEN</t>
        </is>
      </c>
      <c r="F91" t="inlineStr">
        <is>
          <t>Bergvik skog öst AB</t>
        </is>
      </c>
      <c r="G91" t="n">
        <v>1.3</v>
      </c>
      <c r="H91" t="n">
        <v>1</v>
      </c>
      <c r="I91" t="n">
        <v>0</v>
      </c>
      <c r="J91" t="n">
        <v>1</v>
      </c>
      <c r="K91" t="n">
        <v>0</v>
      </c>
      <c r="L91" t="n">
        <v>0</v>
      </c>
      <c r="M91" t="n">
        <v>0</v>
      </c>
      <c r="N91" t="n">
        <v>0</v>
      </c>
      <c r="O91" t="n">
        <v>1</v>
      </c>
      <c r="P91" t="n">
        <v>0</v>
      </c>
      <c r="Q91" t="n">
        <v>1</v>
      </c>
      <c r="R91" s="2" t="inlineStr">
        <is>
          <t>Utter</t>
        </is>
      </c>
      <c r="S91">
        <f>HYPERLINK("https://klasma.github.io/Logging_202023/artfynd/A 26240-2025 artfynd.xlsx", "A 26240-2025")</f>
        <v/>
      </c>
      <c r="T91">
        <f>HYPERLINK("https://klasma.github.io/Logging_202023/kartor/A 26240-2025 karta.png", "A 26240-2025")</f>
        <v/>
      </c>
      <c r="V91">
        <f>HYPERLINK("https://klasma.github.io/Logging_202023/klagomål/A 26240-2025 FSC-klagomål.docx", "A 26240-2025")</f>
        <v/>
      </c>
      <c r="W91">
        <f>HYPERLINK("https://klasma.github.io/Logging_202023/klagomålsmail/A 26240-2025 FSC-klagomål mail.docx", "A 26240-2025")</f>
        <v/>
      </c>
      <c r="X91">
        <f>HYPERLINK("https://klasma.github.io/Logging_202023/tillsyn/A 26240-2025 tillsynsbegäran.docx", "A 26240-2025")</f>
        <v/>
      </c>
      <c r="Y91">
        <f>HYPERLINK("https://klasma.github.io/Logging_202023/tillsynsmail/A 26240-2025 tillsynsbegäran mail.docx", "A 26240-2025")</f>
        <v/>
      </c>
    </row>
    <row r="92" ht="15" customHeight="1">
      <c r="A92" t="inlineStr">
        <is>
          <t>A 30728-2025</t>
        </is>
      </c>
      <c r="B92" s="1" t="n">
        <v>45831</v>
      </c>
      <c r="C92" s="1" t="n">
        <v>45841</v>
      </c>
      <c r="D92" t="inlineStr">
        <is>
          <t>DALARNAS LÄN</t>
        </is>
      </c>
      <c r="E92" t="inlineStr">
        <is>
          <t>MALUNG-SÄLEN</t>
        </is>
      </c>
      <c r="F92" t="inlineStr">
        <is>
          <t>Bergvik skog öst AB</t>
        </is>
      </c>
      <c r="G92" t="n">
        <v>3.8</v>
      </c>
      <c r="H92" t="n">
        <v>0</v>
      </c>
      <c r="I92" t="n">
        <v>0</v>
      </c>
      <c r="J92" t="n">
        <v>1</v>
      </c>
      <c r="K92" t="n">
        <v>0</v>
      </c>
      <c r="L92" t="n">
        <v>0</v>
      </c>
      <c r="M92" t="n">
        <v>0</v>
      </c>
      <c r="N92" t="n">
        <v>0</v>
      </c>
      <c r="O92" t="n">
        <v>1</v>
      </c>
      <c r="P92" t="n">
        <v>0</v>
      </c>
      <c r="Q92" t="n">
        <v>1</v>
      </c>
      <c r="R92" s="2" t="inlineStr">
        <is>
          <t>Violettgrå tagellav</t>
        </is>
      </c>
      <c r="S92">
        <f>HYPERLINK("https://klasma.github.io/Logging_202023/artfynd/A 30728-2025 artfynd.xlsx", "A 30728-2025")</f>
        <v/>
      </c>
      <c r="T92">
        <f>HYPERLINK("https://klasma.github.io/Logging_202023/kartor/A 30728-2025 karta.png", "A 30728-2025")</f>
        <v/>
      </c>
      <c r="V92">
        <f>HYPERLINK("https://klasma.github.io/Logging_202023/klagomål/A 30728-2025 FSC-klagomål.docx", "A 30728-2025")</f>
        <v/>
      </c>
      <c r="W92">
        <f>HYPERLINK("https://klasma.github.io/Logging_202023/klagomålsmail/A 30728-2025 FSC-klagomål mail.docx", "A 30728-2025")</f>
        <v/>
      </c>
      <c r="X92">
        <f>HYPERLINK("https://klasma.github.io/Logging_202023/tillsyn/A 30728-2025 tillsynsbegäran.docx", "A 30728-2025")</f>
        <v/>
      </c>
      <c r="Y92">
        <f>HYPERLINK("https://klasma.github.io/Logging_202023/tillsynsmail/A 30728-2025 tillsynsbegäran mail.docx", "A 30728-2025")</f>
        <v/>
      </c>
    </row>
    <row r="93" ht="15" customHeight="1">
      <c r="A93" t="inlineStr">
        <is>
          <t>A 18265-2019</t>
        </is>
      </c>
      <c r="B93" s="1" t="n">
        <v>43558</v>
      </c>
      <c r="C93" s="1" t="n">
        <v>45841</v>
      </c>
      <c r="D93" t="inlineStr">
        <is>
          <t>DALARNAS LÄN</t>
        </is>
      </c>
      <c r="E93" t="inlineStr">
        <is>
          <t>MALUNG-SÄLEN</t>
        </is>
      </c>
      <c r="G93" t="n">
        <v>7</v>
      </c>
      <c r="H93" t="n">
        <v>0</v>
      </c>
      <c r="I93" t="n">
        <v>0</v>
      </c>
      <c r="J93" t="n">
        <v>0</v>
      </c>
      <c r="K93" t="n">
        <v>0</v>
      </c>
      <c r="L93" t="n">
        <v>0</v>
      </c>
      <c r="M93" t="n">
        <v>0</v>
      </c>
      <c r="N93" t="n">
        <v>0</v>
      </c>
      <c r="O93" t="n">
        <v>0</v>
      </c>
      <c r="P93" t="n">
        <v>0</v>
      </c>
      <c r="Q93" t="n">
        <v>0</v>
      </c>
      <c r="R93" s="2" t="inlineStr"/>
    </row>
    <row r="94" ht="15" customHeight="1">
      <c r="A94" t="inlineStr">
        <is>
          <t>A 18844-2019</t>
        </is>
      </c>
      <c r="B94" s="1" t="n">
        <v>43563</v>
      </c>
      <c r="C94" s="1" t="n">
        <v>45841</v>
      </c>
      <c r="D94" t="inlineStr">
        <is>
          <t>DALARNAS LÄN</t>
        </is>
      </c>
      <c r="E94" t="inlineStr">
        <is>
          <t>MALUNG-SÄLEN</t>
        </is>
      </c>
      <c r="G94" t="n">
        <v>1.2</v>
      </c>
      <c r="H94" t="n">
        <v>0</v>
      </c>
      <c r="I94" t="n">
        <v>0</v>
      </c>
      <c r="J94" t="n">
        <v>0</v>
      </c>
      <c r="K94" t="n">
        <v>0</v>
      </c>
      <c r="L94" t="n">
        <v>0</v>
      </c>
      <c r="M94" t="n">
        <v>0</v>
      </c>
      <c r="N94" t="n">
        <v>0</v>
      </c>
      <c r="O94" t="n">
        <v>0</v>
      </c>
      <c r="P94" t="n">
        <v>0</v>
      </c>
      <c r="Q94" t="n">
        <v>0</v>
      </c>
      <c r="R94" s="2" t="inlineStr"/>
    </row>
    <row r="95" ht="15" customHeight="1">
      <c r="A95" t="inlineStr">
        <is>
          <t>A 19281-2019</t>
        </is>
      </c>
      <c r="B95" s="1" t="n">
        <v>43565</v>
      </c>
      <c r="C95" s="1" t="n">
        <v>45841</v>
      </c>
      <c r="D95" t="inlineStr">
        <is>
          <t>DALARNAS LÄN</t>
        </is>
      </c>
      <c r="E95" t="inlineStr">
        <is>
          <t>MALUNG-SÄLEN</t>
        </is>
      </c>
      <c r="G95" t="n">
        <v>6.5</v>
      </c>
      <c r="H95" t="n">
        <v>0</v>
      </c>
      <c r="I95" t="n">
        <v>0</v>
      </c>
      <c r="J95" t="n">
        <v>0</v>
      </c>
      <c r="K95" t="n">
        <v>0</v>
      </c>
      <c r="L95" t="n">
        <v>0</v>
      </c>
      <c r="M95" t="n">
        <v>0</v>
      </c>
      <c r="N95" t="n">
        <v>0</v>
      </c>
      <c r="O95" t="n">
        <v>0</v>
      </c>
      <c r="P95" t="n">
        <v>0</v>
      </c>
      <c r="Q95" t="n">
        <v>0</v>
      </c>
      <c r="R95" s="2" t="inlineStr"/>
    </row>
    <row r="96" ht="15" customHeight="1">
      <c r="A96" t="inlineStr">
        <is>
          <t>A 19282-2019</t>
        </is>
      </c>
      <c r="B96" s="1" t="n">
        <v>43565</v>
      </c>
      <c r="C96" s="1" t="n">
        <v>45841</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22452-2019</t>
        </is>
      </c>
      <c r="B97" s="1" t="n">
        <v>43587</v>
      </c>
      <c r="C97" s="1" t="n">
        <v>45841</v>
      </c>
      <c r="D97" t="inlineStr">
        <is>
          <t>DALARNAS LÄN</t>
        </is>
      </c>
      <c r="E97" t="inlineStr">
        <is>
          <t>MALUNG-SÄLEN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22809-2019</t>
        </is>
      </c>
      <c r="B98" s="1" t="n">
        <v>43590</v>
      </c>
      <c r="C98" s="1" t="n">
        <v>45841</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23809-2019</t>
        </is>
      </c>
      <c r="B99" s="1" t="n">
        <v>43595</v>
      </c>
      <c r="C99" s="1" t="n">
        <v>45841</v>
      </c>
      <c r="D99" t="inlineStr">
        <is>
          <t>DALARNAS LÄN</t>
        </is>
      </c>
      <c r="E99" t="inlineStr">
        <is>
          <t>MALUNG-SÄLEN</t>
        </is>
      </c>
      <c r="G99" t="n">
        <v>9</v>
      </c>
      <c r="H99" t="n">
        <v>0</v>
      </c>
      <c r="I99" t="n">
        <v>0</v>
      </c>
      <c r="J99" t="n">
        <v>0</v>
      </c>
      <c r="K99" t="n">
        <v>0</v>
      </c>
      <c r="L99" t="n">
        <v>0</v>
      </c>
      <c r="M99" t="n">
        <v>0</v>
      </c>
      <c r="N99" t="n">
        <v>0</v>
      </c>
      <c r="O99" t="n">
        <v>0</v>
      </c>
      <c r="P99" t="n">
        <v>0</v>
      </c>
      <c r="Q99" t="n">
        <v>0</v>
      </c>
      <c r="R99" s="2" t="inlineStr"/>
    </row>
    <row r="100" ht="15" customHeight="1">
      <c r="A100" t="inlineStr">
        <is>
          <t>A 26136-2019</t>
        </is>
      </c>
      <c r="B100" s="1" t="n">
        <v>43609</v>
      </c>
      <c r="C100" s="1" t="n">
        <v>45841</v>
      </c>
      <c r="D100" t="inlineStr">
        <is>
          <t>DALARNAS LÄN</t>
        </is>
      </c>
      <c r="E100" t="inlineStr">
        <is>
          <t>MALUNG-SÄLEN</t>
        </is>
      </c>
      <c r="F100" t="inlineStr">
        <is>
          <t>Bergvik skog väst AB</t>
        </is>
      </c>
      <c r="G100" t="n">
        <v>5.7</v>
      </c>
      <c r="H100" t="n">
        <v>0</v>
      </c>
      <c r="I100" t="n">
        <v>0</v>
      </c>
      <c r="J100" t="n">
        <v>0</v>
      </c>
      <c r="K100" t="n">
        <v>0</v>
      </c>
      <c r="L100" t="n">
        <v>0</v>
      </c>
      <c r="M100" t="n">
        <v>0</v>
      </c>
      <c r="N100" t="n">
        <v>0</v>
      </c>
      <c r="O100" t="n">
        <v>0</v>
      </c>
      <c r="P100" t="n">
        <v>0</v>
      </c>
      <c r="Q100" t="n">
        <v>0</v>
      </c>
      <c r="R100" s="2" t="inlineStr"/>
    </row>
    <row r="101" ht="15" customHeight="1">
      <c r="A101" t="inlineStr">
        <is>
          <t>A 26258-2019</t>
        </is>
      </c>
      <c r="B101" s="1" t="n">
        <v>43610</v>
      </c>
      <c r="C101" s="1" t="n">
        <v>45841</v>
      </c>
      <c r="D101" t="inlineStr">
        <is>
          <t>DALARNAS LÄN</t>
        </is>
      </c>
      <c r="E101" t="inlineStr">
        <is>
          <t>MALUNG-SÄLEN</t>
        </is>
      </c>
      <c r="G101" t="n">
        <v>5.5</v>
      </c>
      <c r="H101" t="n">
        <v>0</v>
      </c>
      <c r="I101" t="n">
        <v>0</v>
      </c>
      <c r="J101" t="n">
        <v>0</v>
      </c>
      <c r="K101" t="n">
        <v>0</v>
      </c>
      <c r="L101" t="n">
        <v>0</v>
      </c>
      <c r="M101" t="n">
        <v>0</v>
      </c>
      <c r="N101" t="n">
        <v>0</v>
      </c>
      <c r="O101" t="n">
        <v>0</v>
      </c>
      <c r="P101" t="n">
        <v>0</v>
      </c>
      <c r="Q101" t="n">
        <v>0</v>
      </c>
      <c r="R101" s="2" t="inlineStr"/>
    </row>
    <row r="102" ht="15" customHeight="1">
      <c r="A102" t="inlineStr">
        <is>
          <t>A 26259-2019</t>
        </is>
      </c>
      <c r="B102" s="1" t="n">
        <v>43610</v>
      </c>
      <c r="C102" s="1" t="n">
        <v>45841</v>
      </c>
      <c r="D102" t="inlineStr">
        <is>
          <t>DALARNAS LÄN</t>
        </is>
      </c>
      <c r="E102" t="inlineStr">
        <is>
          <t>MALUNG-SÄLEN</t>
        </is>
      </c>
      <c r="G102" t="n">
        <v>1</v>
      </c>
      <c r="H102" t="n">
        <v>0</v>
      </c>
      <c r="I102" t="n">
        <v>0</v>
      </c>
      <c r="J102" t="n">
        <v>0</v>
      </c>
      <c r="K102" t="n">
        <v>0</v>
      </c>
      <c r="L102" t="n">
        <v>0</v>
      </c>
      <c r="M102" t="n">
        <v>0</v>
      </c>
      <c r="N102" t="n">
        <v>0</v>
      </c>
      <c r="O102" t="n">
        <v>0</v>
      </c>
      <c r="P102" t="n">
        <v>0</v>
      </c>
      <c r="Q102" t="n">
        <v>0</v>
      </c>
      <c r="R102" s="2" t="inlineStr"/>
    </row>
    <row r="103" ht="15" customHeight="1">
      <c r="A103" t="inlineStr">
        <is>
          <t>A 27048-2019</t>
        </is>
      </c>
      <c r="B103" s="1" t="n">
        <v>43614</v>
      </c>
      <c r="C103" s="1" t="n">
        <v>45841</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27037-2019</t>
        </is>
      </c>
      <c r="B104" s="1" t="n">
        <v>43614</v>
      </c>
      <c r="C104" s="1" t="n">
        <v>45841</v>
      </c>
      <c r="D104" t="inlineStr">
        <is>
          <t>DALARNAS LÄN</t>
        </is>
      </c>
      <c r="E104" t="inlineStr">
        <is>
          <t>MALUNG-SÄLEN</t>
        </is>
      </c>
      <c r="G104" t="n">
        <v>0.6</v>
      </c>
      <c r="H104" t="n">
        <v>0</v>
      </c>
      <c r="I104" t="n">
        <v>0</v>
      </c>
      <c r="J104" t="n">
        <v>0</v>
      </c>
      <c r="K104" t="n">
        <v>0</v>
      </c>
      <c r="L104" t="n">
        <v>0</v>
      </c>
      <c r="M104" t="n">
        <v>0</v>
      </c>
      <c r="N104" t="n">
        <v>0</v>
      </c>
      <c r="O104" t="n">
        <v>0</v>
      </c>
      <c r="P104" t="n">
        <v>0</v>
      </c>
      <c r="Q104" t="n">
        <v>0</v>
      </c>
      <c r="R104" s="2" t="inlineStr"/>
    </row>
    <row r="105" ht="15" customHeight="1">
      <c r="A105" t="inlineStr">
        <is>
          <t>A 27039-2019</t>
        </is>
      </c>
      <c r="B105" s="1" t="n">
        <v>43614</v>
      </c>
      <c r="C105" s="1" t="n">
        <v>45841</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27487-2019</t>
        </is>
      </c>
      <c r="B106" s="1" t="n">
        <v>43619</v>
      </c>
      <c r="C106" s="1" t="n">
        <v>45841</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28259-2019</t>
        </is>
      </c>
      <c r="B107" s="1" t="n">
        <v>43623</v>
      </c>
      <c r="C107" s="1" t="n">
        <v>45841</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29761-2019</t>
        </is>
      </c>
      <c r="B108" s="1" t="n">
        <v>43631</v>
      </c>
      <c r="C108" s="1" t="n">
        <v>45841</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29760-2019</t>
        </is>
      </c>
      <c r="B109" s="1" t="n">
        <v>43631</v>
      </c>
      <c r="C109" s="1" t="n">
        <v>45841</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30046-2019</t>
        </is>
      </c>
      <c r="B110" s="1" t="n">
        <v>43633</v>
      </c>
      <c r="C110" s="1" t="n">
        <v>45841</v>
      </c>
      <c r="D110" t="inlineStr">
        <is>
          <t>DALARNAS LÄN</t>
        </is>
      </c>
      <c r="E110" t="inlineStr">
        <is>
          <t>MALUNG-SÄLEN</t>
        </is>
      </c>
      <c r="G110" t="n">
        <v>7.6</v>
      </c>
      <c r="H110" t="n">
        <v>0</v>
      </c>
      <c r="I110" t="n">
        <v>0</v>
      </c>
      <c r="J110" t="n">
        <v>0</v>
      </c>
      <c r="K110" t="n">
        <v>0</v>
      </c>
      <c r="L110" t="n">
        <v>0</v>
      </c>
      <c r="M110" t="n">
        <v>0</v>
      </c>
      <c r="N110" t="n">
        <v>0</v>
      </c>
      <c r="O110" t="n">
        <v>0</v>
      </c>
      <c r="P110" t="n">
        <v>0</v>
      </c>
      <c r="Q110" t="n">
        <v>0</v>
      </c>
      <c r="R110" s="2" t="inlineStr"/>
    </row>
    <row r="111" ht="15" customHeight="1">
      <c r="A111" t="inlineStr">
        <is>
          <t>A 30295-2019</t>
        </is>
      </c>
      <c r="B111" s="1" t="n">
        <v>43634</v>
      </c>
      <c r="C111" s="1" t="n">
        <v>45841</v>
      </c>
      <c r="D111" t="inlineStr">
        <is>
          <t>DALARNAS LÄN</t>
        </is>
      </c>
      <c r="E111" t="inlineStr">
        <is>
          <t>MALUNG-SÄLEN</t>
        </is>
      </c>
      <c r="G111" t="n">
        <v>2.6</v>
      </c>
      <c r="H111" t="n">
        <v>0</v>
      </c>
      <c r="I111" t="n">
        <v>0</v>
      </c>
      <c r="J111" t="n">
        <v>0</v>
      </c>
      <c r="K111" t="n">
        <v>0</v>
      </c>
      <c r="L111" t="n">
        <v>0</v>
      </c>
      <c r="M111" t="n">
        <v>0</v>
      </c>
      <c r="N111" t="n">
        <v>0</v>
      </c>
      <c r="O111" t="n">
        <v>0</v>
      </c>
      <c r="P111" t="n">
        <v>0</v>
      </c>
      <c r="Q111" t="n">
        <v>0</v>
      </c>
      <c r="R111" s="2" t="inlineStr"/>
    </row>
    <row r="112" ht="15" customHeight="1">
      <c r="A112" t="inlineStr">
        <is>
          <t>A 30230-2019</t>
        </is>
      </c>
      <c r="B112" s="1" t="n">
        <v>43634</v>
      </c>
      <c r="C112" s="1" t="n">
        <v>45841</v>
      </c>
      <c r="D112" t="inlineStr">
        <is>
          <t>DALARNAS LÄN</t>
        </is>
      </c>
      <c r="E112" t="inlineStr">
        <is>
          <t>MALUNG-SÄLEN</t>
        </is>
      </c>
      <c r="G112" t="n">
        <v>4.1</v>
      </c>
      <c r="H112" t="n">
        <v>0</v>
      </c>
      <c r="I112" t="n">
        <v>0</v>
      </c>
      <c r="J112" t="n">
        <v>0</v>
      </c>
      <c r="K112" t="n">
        <v>0</v>
      </c>
      <c r="L112" t="n">
        <v>0</v>
      </c>
      <c r="M112" t="n">
        <v>0</v>
      </c>
      <c r="N112" t="n">
        <v>0</v>
      </c>
      <c r="O112" t="n">
        <v>0</v>
      </c>
      <c r="P112" t="n">
        <v>0</v>
      </c>
      <c r="Q112" t="n">
        <v>0</v>
      </c>
      <c r="R112" s="2" t="inlineStr"/>
    </row>
    <row r="113" ht="15" customHeight="1">
      <c r="A113" t="inlineStr">
        <is>
          <t>A 30828-2019</t>
        </is>
      </c>
      <c r="B113" s="1" t="n">
        <v>43636</v>
      </c>
      <c r="C113" s="1" t="n">
        <v>45841</v>
      </c>
      <c r="D113" t="inlineStr">
        <is>
          <t>DALARNAS LÄN</t>
        </is>
      </c>
      <c r="E113" t="inlineStr">
        <is>
          <t>MALUNG-SÄLEN</t>
        </is>
      </c>
      <c r="G113" t="n">
        <v>4.8</v>
      </c>
      <c r="H113" t="n">
        <v>0</v>
      </c>
      <c r="I113" t="n">
        <v>0</v>
      </c>
      <c r="J113" t="n">
        <v>0</v>
      </c>
      <c r="K113" t="n">
        <v>0</v>
      </c>
      <c r="L113" t="n">
        <v>0</v>
      </c>
      <c r="M113" t="n">
        <v>0</v>
      </c>
      <c r="N113" t="n">
        <v>0</v>
      </c>
      <c r="O113" t="n">
        <v>0</v>
      </c>
      <c r="P113" t="n">
        <v>0</v>
      </c>
      <c r="Q113" t="n">
        <v>0</v>
      </c>
      <c r="R113" s="2" t="inlineStr"/>
    </row>
    <row r="114" ht="15" customHeight="1">
      <c r="A114" t="inlineStr">
        <is>
          <t>A 32136-2019</t>
        </is>
      </c>
      <c r="B114" s="1" t="n">
        <v>43643</v>
      </c>
      <c r="C114" s="1" t="n">
        <v>45841</v>
      </c>
      <c r="D114" t="inlineStr">
        <is>
          <t>DALARNAS LÄN</t>
        </is>
      </c>
      <c r="E114" t="inlineStr">
        <is>
          <t>MALUNG-SÄLEN</t>
        </is>
      </c>
      <c r="G114" t="n">
        <v>2.1</v>
      </c>
      <c r="H114" t="n">
        <v>0</v>
      </c>
      <c r="I114" t="n">
        <v>0</v>
      </c>
      <c r="J114" t="n">
        <v>0</v>
      </c>
      <c r="K114" t="n">
        <v>0</v>
      </c>
      <c r="L114" t="n">
        <v>0</v>
      </c>
      <c r="M114" t="n">
        <v>0</v>
      </c>
      <c r="N114" t="n">
        <v>0</v>
      </c>
      <c r="O114" t="n">
        <v>0</v>
      </c>
      <c r="P114" t="n">
        <v>0</v>
      </c>
      <c r="Q114" t="n">
        <v>0</v>
      </c>
      <c r="R114" s="2" t="inlineStr"/>
    </row>
    <row r="115" ht="15" customHeight="1">
      <c r="A115" t="inlineStr">
        <is>
          <t>A 32124-2019</t>
        </is>
      </c>
      <c r="B115" s="1" t="n">
        <v>43643</v>
      </c>
      <c r="C115" s="1" t="n">
        <v>45841</v>
      </c>
      <c r="D115" t="inlineStr">
        <is>
          <t>DALARNAS LÄN</t>
        </is>
      </c>
      <c r="E115" t="inlineStr">
        <is>
          <t>MALUNG-SÄLEN</t>
        </is>
      </c>
      <c r="G115" t="n">
        <v>3.1</v>
      </c>
      <c r="H115" t="n">
        <v>0</v>
      </c>
      <c r="I115" t="n">
        <v>0</v>
      </c>
      <c r="J115" t="n">
        <v>0</v>
      </c>
      <c r="K115" t="n">
        <v>0</v>
      </c>
      <c r="L115" t="n">
        <v>0</v>
      </c>
      <c r="M115" t="n">
        <v>0</v>
      </c>
      <c r="N115" t="n">
        <v>0</v>
      </c>
      <c r="O115" t="n">
        <v>0</v>
      </c>
      <c r="P115" t="n">
        <v>0</v>
      </c>
      <c r="Q115" t="n">
        <v>0</v>
      </c>
      <c r="R115" s="2" t="inlineStr"/>
    </row>
    <row r="116" ht="15" customHeight="1">
      <c r="A116" t="inlineStr">
        <is>
          <t>A 34243-2019</t>
        </is>
      </c>
      <c r="B116" s="1" t="n">
        <v>43647</v>
      </c>
      <c r="C116" s="1" t="n">
        <v>45841</v>
      </c>
      <c r="D116" t="inlineStr">
        <is>
          <t>DALARNAS LÄN</t>
        </is>
      </c>
      <c r="E116" t="inlineStr">
        <is>
          <t>MALUNG-SÄLEN</t>
        </is>
      </c>
      <c r="G116" t="n">
        <v>8</v>
      </c>
      <c r="H116" t="n">
        <v>0</v>
      </c>
      <c r="I116" t="n">
        <v>0</v>
      </c>
      <c r="J116" t="n">
        <v>0</v>
      </c>
      <c r="K116" t="n">
        <v>0</v>
      </c>
      <c r="L116" t="n">
        <v>0</v>
      </c>
      <c r="M116" t="n">
        <v>0</v>
      </c>
      <c r="N116" t="n">
        <v>0</v>
      </c>
      <c r="O116" t="n">
        <v>0</v>
      </c>
      <c r="P116" t="n">
        <v>0</v>
      </c>
      <c r="Q116" t="n">
        <v>0</v>
      </c>
      <c r="R116" s="2" t="inlineStr"/>
    </row>
    <row r="117" ht="15" customHeight="1">
      <c r="A117" t="inlineStr">
        <is>
          <t>A 33559-2019</t>
        </is>
      </c>
      <c r="B117" s="1" t="n">
        <v>43651</v>
      </c>
      <c r="C117" s="1" t="n">
        <v>45841</v>
      </c>
      <c r="D117" t="inlineStr">
        <is>
          <t>DALARNAS LÄN</t>
        </is>
      </c>
      <c r="E117" t="inlineStr">
        <is>
          <t>MALUNG-SÄLEN</t>
        </is>
      </c>
      <c r="G117" t="n">
        <v>14.1</v>
      </c>
      <c r="H117" t="n">
        <v>0</v>
      </c>
      <c r="I117" t="n">
        <v>0</v>
      </c>
      <c r="J117" t="n">
        <v>0</v>
      </c>
      <c r="K117" t="n">
        <v>0</v>
      </c>
      <c r="L117" t="n">
        <v>0</v>
      </c>
      <c r="M117" t="n">
        <v>0</v>
      </c>
      <c r="N117" t="n">
        <v>0</v>
      </c>
      <c r="O117" t="n">
        <v>0</v>
      </c>
      <c r="P117" t="n">
        <v>0</v>
      </c>
      <c r="Q117" t="n">
        <v>0</v>
      </c>
      <c r="R117" s="2" t="inlineStr"/>
    </row>
    <row r="118" ht="15" customHeight="1">
      <c r="A118" t="inlineStr">
        <is>
          <t>A 34071-2019</t>
        </is>
      </c>
      <c r="B118" s="1" t="n">
        <v>43654</v>
      </c>
      <c r="C118" s="1" t="n">
        <v>45841</v>
      </c>
      <c r="D118" t="inlineStr">
        <is>
          <t>DALARNAS LÄN</t>
        </is>
      </c>
      <c r="E118" t="inlineStr">
        <is>
          <t>MALUNG-SÄLEN</t>
        </is>
      </c>
      <c r="G118" t="n">
        <v>2.9</v>
      </c>
      <c r="H118" t="n">
        <v>0</v>
      </c>
      <c r="I118" t="n">
        <v>0</v>
      </c>
      <c r="J118" t="n">
        <v>0</v>
      </c>
      <c r="K118" t="n">
        <v>0</v>
      </c>
      <c r="L118" t="n">
        <v>0</v>
      </c>
      <c r="M118" t="n">
        <v>0</v>
      </c>
      <c r="N118" t="n">
        <v>0</v>
      </c>
      <c r="O118" t="n">
        <v>0</v>
      </c>
      <c r="P118" t="n">
        <v>0</v>
      </c>
      <c r="Q118" t="n">
        <v>0</v>
      </c>
      <c r="R118" s="2" t="inlineStr"/>
    </row>
    <row r="119" ht="15" customHeight="1">
      <c r="A119" t="inlineStr">
        <is>
          <t>A 34085-2019</t>
        </is>
      </c>
      <c r="B119" s="1" t="n">
        <v>43654</v>
      </c>
      <c r="C119" s="1" t="n">
        <v>45841</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35793-2019</t>
        </is>
      </c>
      <c r="B120" s="1" t="n">
        <v>43656</v>
      </c>
      <c r="C120" s="1" t="n">
        <v>45841</v>
      </c>
      <c r="D120" t="inlineStr">
        <is>
          <t>DALARNAS LÄN</t>
        </is>
      </c>
      <c r="E120" t="inlineStr">
        <is>
          <t>MALUNG-SÄLEN</t>
        </is>
      </c>
      <c r="G120" t="n">
        <v>2.2</v>
      </c>
      <c r="H120" t="n">
        <v>0</v>
      </c>
      <c r="I120" t="n">
        <v>0</v>
      </c>
      <c r="J120" t="n">
        <v>0</v>
      </c>
      <c r="K120" t="n">
        <v>0</v>
      </c>
      <c r="L120" t="n">
        <v>0</v>
      </c>
      <c r="M120" t="n">
        <v>0</v>
      </c>
      <c r="N120" t="n">
        <v>0</v>
      </c>
      <c r="O120" t="n">
        <v>0</v>
      </c>
      <c r="P120" t="n">
        <v>0</v>
      </c>
      <c r="Q120" t="n">
        <v>0</v>
      </c>
      <c r="R120" s="2" t="inlineStr"/>
    </row>
    <row r="121" ht="15" customHeight="1">
      <c r="A121" t="inlineStr">
        <is>
          <t>A 36006-2019</t>
        </is>
      </c>
      <c r="B121" s="1" t="n">
        <v>43657</v>
      </c>
      <c r="C121" s="1" t="n">
        <v>45841</v>
      </c>
      <c r="D121" t="inlineStr">
        <is>
          <t>DALARNAS LÄN</t>
        </is>
      </c>
      <c r="E121" t="inlineStr">
        <is>
          <t>MALUNG-SÄLEN</t>
        </is>
      </c>
      <c r="G121" t="n">
        <v>10.4</v>
      </c>
      <c r="H121" t="n">
        <v>0</v>
      </c>
      <c r="I121" t="n">
        <v>0</v>
      </c>
      <c r="J121" t="n">
        <v>0</v>
      </c>
      <c r="K121" t="n">
        <v>0</v>
      </c>
      <c r="L121" t="n">
        <v>0</v>
      </c>
      <c r="M121" t="n">
        <v>0</v>
      </c>
      <c r="N121" t="n">
        <v>0</v>
      </c>
      <c r="O121" t="n">
        <v>0</v>
      </c>
      <c r="P121" t="n">
        <v>0</v>
      </c>
      <c r="Q121" t="n">
        <v>0</v>
      </c>
      <c r="R121" s="2" t="inlineStr"/>
    </row>
    <row r="122" ht="15" customHeight="1">
      <c r="A122" t="inlineStr">
        <is>
          <t>A 36119-2019</t>
        </is>
      </c>
      <c r="B122" s="1" t="n">
        <v>43658</v>
      </c>
      <c r="C122" s="1" t="n">
        <v>45841</v>
      </c>
      <c r="D122" t="inlineStr">
        <is>
          <t>DALARNAS LÄN</t>
        </is>
      </c>
      <c r="E122" t="inlineStr">
        <is>
          <t>MALUNG-SÄLEN</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36878-2019</t>
        </is>
      </c>
      <c r="B123" s="1" t="n">
        <v>43675</v>
      </c>
      <c r="C123" s="1" t="n">
        <v>45841</v>
      </c>
      <c r="D123" t="inlineStr">
        <is>
          <t>DALARNAS LÄN</t>
        </is>
      </c>
      <c r="E123" t="inlineStr">
        <is>
          <t>MALUNG-SÄLEN</t>
        </is>
      </c>
      <c r="G123" t="n">
        <v>2</v>
      </c>
      <c r="H123" t="n">
        <v>0</v>
      </c>
      <c r="I123" t="n">
        <v>0</v>
      </c>
      <c r="J123" t="n">
        <v>0</v>
      </c>
      <c r="K123" t="n">
        <v>0</v>
      </c>
      <c r="L123" t="n">
        <v>0</v>
      </c>
      <c r="M123" t="n">
        <v>0</v>
      </c>
      <c r="N123" t="n">
        <v>0</v>
      </c>
      <c r="O123" t="n">
        <v>0</v>
      </c>
      <c r="P123" t="n">
        <v>0</v>
      </c>
      <c r="Q123" t="n">
        <v>0</v>
      </c>
      <c r="R123" s="2" t="inlineStr"/>
    </row>
    <row r="124" ht="15" customHeight="1">
      <c r="A124" t="inlineStr">
        <is>
          <t>A 36873-2019</t>
        </is>
      </c>
      <c r="B124" s="1" t="n">
        <v>43675</v>
      </c>
      <c r="C124" s="1" t="n">
        <v>45841</v>
      </c>
      <c r="D124" t="inlineStr">
        <is>
          <t>DALARNAS LÄN</t>
        </is>
      </c>
      <c r="E124" t="inlineStr">
        <is>
          <t>MALUNG-SÄLEN</t>
        </is>
      </c>
      <c r="F124" t="inlineStr">
        <is>
          <t>Allmännings- och besparingsskogar</t>
        </is>
      </c>
      <c r="G124" t="n">
        <v>16.3</v>
      </c>
      <c r="H124" t="n">
        <v>0</v>
      </c>
      <c r="I124" t="n">
        <v>0</v>
      </c>
      <c r="J124" t="n">
        <v>0</v>
      </c>
      <c r="K124" t="n">
        <v>0</v>
      </c>
      <c r="L124" t="n">
        <v>0</v>
      </c>
      <c r="M124" t="n">
        <v>0</v>
      </c>
      <c r="N124" t="n">
        <v>0</v>
      </c>
      <c r="O124" t="n">
        <v>0</v>
      </c>
      <c r="P124" t="n">
        <v>0</v>
      </c>
      <c r="Q124" t="n">
        <v>0</v>
      </c>
      <c r="R124" s="2" t="inlineStr"/>
    </row>
    <row r="125" ht="15" customHeight="1">
      <c r="A125" t="inlineStr">
        <is>
          <t>A 37179-2019</t>
        </is>
      </c>
      <c r="B125" s="1" t="n">
        <v>43677</v>
      </c>
      <c r="C125" s="1" t="n">
        <v>45841</v>
      </c>
      <c r="D125" t="inlineStr">
        <is>
          <t>DALARNAS LÄN</t>
        </is>
      </c>
      <c r="E125" t="inlineStr">
        <is>
          <t>MALUNG-SÄLEN</t>
        </is>
      </c>
      <c r="G125" t="n">
        <v>5.5</v>
      </c>
      <c r="H125" t="n">
        <v>0</v>
      </c>
      <c r="I125" t="n">
        <v>0</v>
      </c>
      <c r="J125" t="n">
        <v>0</v>
      </c>
      <c r="K125" t="n">
        <v>0</v>
      </c>
      <c r="L125" t="n">
        <v>0</v>
      </c>
      <c r="M125" t="n">
        <v>0</v>
      </c>
      <c r="N125" t="n">
        <v>0</v>
      </c>
      <c r="O125" t="n">
        <v>0</v>
      </c>
      <c r="P125" t="n">
        <v>0</v>
      </c>
      <c r="Q125" t="n">
        <v>0</v>
      </c>
      <c r="R125" s="2" t="inlineStr"/>
    </row>
    <row r="126" ht="15" customHeight="1">
      <c r="A126" t="inlineStr">
        <is>
          <t>A 37952-2019</t>
        </is>
      </c>
      <c r="B126" s="1" t="n">
        <v>43683</v>
      </c>
      <c r="C126" s="1" t="n">
        <v>45841</v>
      </c>
      <c r="D126" t="inlineStr">
        <is>
          <t>DALARNAS LÄN</t>
        </is>
      </c>
      <c r="E126" t="inlineStr">
        <is>
          <t>MALUNG-SÄLEN</t>
        </is>
      </c>
      <c r="G126" t="n">
        <v>6.4</v>
      </c>
      <c r="H126" t="n">
        <v>0</v>
      </c>
      <c r="I126" t="n">
        <v>0</v>
      </c>
      <c r="J126" t="n">
        <v>0</v>
      </c>
      <c r="K126" t="n">
        <v>0</v>
      </c>
      <c r="L126" t="n">
        <v>0</v>
      </c>
      <c r="M126" t="n">
        <v>0</v>
      </c>
      <c r="N126" t="n">
        <v>0</v>
      </c>
      <c r="O126" t="n">
        <v>0</v>
      </c>
      <c r="P126" t="n">
        <v>0</v>
      </c>
      <c r="Q126" t="n">
        <v>0</v>
      </c>
      <c r="R126" s="2" t="inlineStr"/>
    </row>
    <row r="127" ht="15" customHeight="1">
      <c r="A127" t="inlineStr">
        <is>
          <t>A 38173-2019</t>
        </is>
      </c>
      <c r="B127" s="1" t="n">
        <v>43684</v>
      </c>
      <c r="C127" s="1" t="n">
        <v>45841</v>
      </c>
      <c r="D127" t="inlineStr">
        <is>
          <t>DALARNAS LÄN</t>
        </is>
      </c>
      <c r="E127" t="inlineStr">
        <is>
          <t>MALUNG-SÄLEN</t>
        </is>
      </c>
      <c r="G127" t="n">
        <v>3.3</v>
      </c>
      <c r="H127" t="n">
        <v>0</v>
      </c>
      <c r="I127" t="n">
        <v>0</v>
      </c>
      <c r="J127" t="n">
        <v>0</v>
      </c>
      <c r="K127" t="n">
        <v>0</v>
      </c>
      <c r="L127" t="n">
        <v>0</v>
      </c>
      <c r="M127" t="n">
        <v>0</v>
      </c>
      <c r="N127" t="n">
        <v>0</v>
      </c>
      <c r="O127" t="n">
        <v>0</v>
      </c>
      <c r="P127" t="n">
        <v>0</v>
      </c>
      <c r="Q127" t="n">
        <v>0</v>
      </c>
      <c r="R127" s="2" t="inlineStr"/>
    </row>
    <row r="128" ht="15" customHeight="1">
      <c r="A128" t="inlineStr">
        <is>
          <t>A 39281-2019</t>
        </is>
      </c>
      <c r="B128" s="1" t="n">
        <v>43686</v>
      </c>
      <c r="C128" s="1" t="n">
        <v>45841</v>
      </c>
      <c r="D128" t="inlineStr">
        <is>
          <t>DALARNAS LÄN</t>
        </is>
      </c>
      <c r="E128" t="inlineStr">
        <is>
          <t>MALUNG-SÄLEN</t>
        </is>
      </c>
      <c r="F128" t="inlineStr">
        <is>
          <t>Allmännings- och besparingsskogar</t>
        </is>
      </c>
      <c r="G128" t="n">
        <v>12.8</v>
      </c>
      <c r="H128" t="n">
        <v>0</v>
      </c>
      <c r="I128" t="n">
        <v>0</v>
      </c>
      <c r="J128" t="n">
        <v>0</v>
      </c>
      <c r="K128" t="n">
        <v>0</v>
      </c>
      <c r="L128" t="n">
        <v>0</v>
      </c>
      <c r="M128" t="n">
        <v>0</v>
      </c>
      <c r="N128" t="n">
        <v>0</v>
      </c>
      <c r="O128" t="n">
        <v>0</v>
      </c>
      <c r="P128" t="n">
        <v>0</v>
      </c>
      <c r="Q128" t="n">
        <v>0</v>
      </c>
      <c r="R128" s="2" t="inlineStr"/>
    </row>
    <row r="129" ht="15" customHeight="1">
      <c r="A129" t="inlineStr">
        <is>
          <t>A 39287-2019</t>
        </is>
      </c>
      <c r="B129" s="1" t="n">
        <v>43686</v>
      </c>
      <c r="C129" s="1" t="n">
        <v>45841</v>
      </c>
      <c r="D129" t="inlineStr">
        <is>
          <t>DALARNAS LÄN</t>
        </is>
      </c>
      <c r="E129" t="inlineStr">
        <is>
          <t>MALUNG-SÄLEN</t>
        </is>
      </c>
      <c r="F129" t="inlineStr">
        <is>
          <t>Allmännings- och besparingsskogar</t>
        </is>
      </c>
      <c r="G129" t="n">
        <v>10</v>
      </c>
      <c r="H129" t="n">
        <v>0</v>
      </c>
      <c r="I129" t="n">
        <v>0</v>
      </c>
      <c r="J129" t="n">
        <v>0</v>
      </c>
      <c r="K129" t="n">
        <v>0</v>
      </c>
      <c r="L129" t="n">
        <v>0</v>
      </c>
      <c r="M129" t="n">
        <v>0</v>
      </c>
      <c r="N129" t="n">
        <v>0</v>
      </c>
      <c r="O129" t="n">
        <v>0</v>
      </c>
      <c r="P129" t="n">
        <v>0</v>
      </c>
      <c r="Q129" t="n">
        <v>0</v>
      </c>
      <c r="R129" s="2" t="inlineStr"/>
    </row>
    <row r="130" ht="15" customHeight="1">
      <c r="A130" t="inlineStr">
        <is>
          <t>A 39298-2019</t>
        </is>
      </c>
      <c r="B130" s="1" t="n">
        <v>43690</v>
      </c>
      <c r="C130" s="1" t="n">
        <v>45841</v>
      </c>
      <c r="D130" t="inlineStr">
        <is>
          <t>DALARNAS LÄN</t>
        </is>
      </c>
      <c r="E130" t="inlineStr">
        <is>
          <t>MALUNG-SÄLEN</t>
        </is>
      </c>
      <c r="G130" t="n">
        <v>2.1</v>
      </c>
      <c r="H130" t="n">
        <v>0</v>
      </c>
      <c r="I130" t="n">
        <v>0</v>
      </c>
      <c r="J130" t="n">
        <v>0</v>
      </c>
      <c r="K130" t="n">
        <v>0</v>
      </c>
      <c r="L130" t="n">
        <v>0</v>
      </c>
      <c r="M130" t="n">
        <v>0</v>
      </c>
      <c r="N130" t="n">
        <v>0</v>
      </c>
      <c r="O130" t="n">
        <v>0</v>
      </c>
      <c r="P130" t="n">
        <v>0</v>
      </c>
      <c r="Q130" t="n">
        <v>0</v>
      </c>
      <c r="R130" s="2" t="inlineStr"/>
    </row>
    <row r="131" ht="15" customHeight="1">
      <c r="A131" t="inlineStr">
        <is>
          <t>A 42881-2019</t>
        </is>
      </c>
      <c r="B131" s="1" t="n">
        <v>43700</v>
      </c>
      <c r="C131" s="1" t="n">
        <v>45841</v>
      </c>
      <c r="D131" t="inlineStr">
        <is>
          <t>DALARNAS LÄN</t>
        </is>
      </c>
      <c r="E131" t="inlineStr">
        <is>
          <t>MALUNG-SÄLEN</t>
        </is>
      </c>
      <c r="F131" t="inlineStr">
        <is>
          <t>Allmännings- och besparingsskogar</t>
        </is>
      </c>
      <c r="G131" t="n">
        <v>8</v>
      </c>
      <c r="H131" t="n">
        <v>0</v>
      </c>
      <c r="I131" t="n">
        <v>0</v>
      </c>
      <c r="J131" t="n">
        <v>0</v>
      </c>
      <c r="K131" t="n">
        <v>0</v>
      </c>
      <c r="L131" t="n">
        <v>0</v>
      </c>
      <c r="M131" t="n">
        <v>0</v>
      </c>
      <c r="N131" t="n">
        <v>0</v>
      </c>
      <c r="O131" t="n">
        <v>0</v>
      </c>
      <c r="P131" t="n">
        <v>0</v>
      </c>
      <c r="Q131" t="n">
        <v>0</v>
      </c>
      <c r="R131" s="2" t="inlineStr"/>
    </row>
    <row r="132" ht="15" customHeight="1">
      <c r="A132" t="inlineStr">
        <is>
          <t>A 42889-2019</t>
        </is>
      </c>
      <c r="B132" s="1" t="n">
        <v>43700</v>
      </c>
      <c r="C132" s="1" t="n">
        <v>45841</v>
      </c>
      <c r="D132" t="inlineStr">
        <is>
          <t>DALARNAS LÄN</t>
        </is>
      </c>
      <c r="E132" t="inlineStr">
        <is>
          <t>MALUNG-SÄLEN</t>
        </is>
      </c>
      <c r="F132" t="inlineStr">
        <is>
          <t>Allmännings- och besparingsskogar</t>
        </is>
      </c>
      <c r="G132" t="n">
        <v>6.3</v>
      </c>
      <c r="H132" t="n">
        <v>0</v>
      </c>
      <c r="I132" t="n">
        <v>0</v>
      </c>
      <c r="J132" t="n">
        <v>0</v>
      </c>
      <c r="K132" t="n">
        <v>0</v>
      </c>
      <c r="L132" t="n">
        <v>0</v>
      </c>
      <c r="M132" t="n">
        <v>0</v>
      </c>
      <c r="N132" t="n">
        <v>0</v>
      </c>
      <c r="O132" t="n">
        <v>0</v>
      </c>
      <c r="P132" t="n">
        <v>0</v>
      </c>
      <c r="Q132" t="n">
        <v>0</v>
      </c>
      <c r="R132" s="2" t="inlineStr"/>
    </row>
    <row r="133" ht="15" customHeight="1">
      <c r="A133" t="inlineStr">
        <is>
          <t>A 42172-2019</t>
        </is>
      </c>
      <c r="B133" s="1" t="n">
        <v>43703</v>
      </c>
      <c r="C133" s="1" t="n">
        <v>45841</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44934-2019</t>
        </is>
      </c>
      <c r="B134" s="1" t="n">
        <v>43713</v>
      </c>
      <c r="C134" s="1" t="n">
        <v>45841</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45135-2019</t>
        </is>
      </c>
      <c r="B135" s="1" t="n">
        <v>43713</v>
      </c>
      <c r="C135" s="1" t="n">
        <v>45841</v>
      </c>
      <c r="D135" t="inlineStr">
        <is>
          <t>DALARNAS LÄN</t>
        </is>
      </c>
      <c r="E135" t="inlineStr">
        <is>
          <t>MALUNG-SÄLEN</t>
        </is>
      </c>
      <c r="G135" t="n">
        <v>4.3</v>
      </c>
      <c r="H135" t="n">
        <v>0</v>
      </c>
      <c r="I135" t="n">
        <v>0</v>
      </c>
      <c r="J135" t="n">
        <v>0</v>
      </c>
      <c r="K135" t="n">
        <v>0</v>
      </c>
      <c r="L135" t="n">
        <v>0</v>
      </c>
      <c r="M135" t="n">
        <v>0</v>
      </c>
      <c r="N135" t="n">
        <v>0</v>
      </c>
      <c r="O135" t="n">
        <v>0</v>
      </c>
      <c r="P135" t="n">
        <v>0</v>
      </c>
      <c r="Q135" t="n">
        <v>0</v>
      </c>
      <c r="R135" s="2" t="inlineStr"/>
    </row>
    <row r="136" ht="15" customHeight="1">
      <c r="A136" t="inlineStr">
        <is>
          <t>A 47233-2019</t>
        </is>
      </c>
      <c r="B136" s="1" t="n">
        <v>43713</v>
      </c>
      <c r="C136" s="1" t="n">
        <v>45841</v>
      </c>
      <c r="D136" t="inlineStr">
        <is>
          <t>DALARNAS LÄN</t>
        </is>
      </c>
      <c r="E136" t="inlineStr">
        <is>
          <t>MALUNG-SÄLEN</t>
        </is>
      </c>
      <c r="G136" t="n">
        <v>6.7</v>
      </c>
      <c r="H136" t="n">
        <v>0</v>
      </c>
      <c r="I136" t="n">
        <v>0</v>
      </c>
      <c r="J136" t="n">
        <v>0</v>
      </c>
      <c r="K136" t="n">
        <v>0</v>
      </c>
      <c r="L136" t="n">
        <v>0</v>
      </c>
      <c r="M136" t="n">
        <v>0</v>
      </c>
      <c r="N136" t="n">
        <v>0</v>
      </c>
      <c r="O136" t="n">
        <v>0</v>
      </c>
      <c r="P136" t="n">
        <v>0</v>
      </c>
      <c r="Q136" t="n">
        <v>0</v>
      </c>
      <c r="R136" s="2" t="inlineStr"/>
    </row>
    <row r="137" ht="15" customHeight="1">
      <c r="A137" t="inlineStr">
        <is>
          <t>A 47236-2019</t>
        </is>
      </c>
      <c r="B137" s="1" t="n">
        <v>43713</v>
      </c>
      <c r="C137" s="1" t="n">
        <v>45841</v>
      </c>
      <c r="D137" t="inlineStr">
        <is>
          <t>DALARNAS LÄN</t>
        </is>
      </c>
      <c r="E137" t="inlineStr">
        <is>
          <t>MALUNG-SÄLEN</t>
        </is>
      </c>
      <c r="G137" t="n">
        <v>7.9</v>
      </c>
      <c r="H137" t="n">
        <v>0</v>
      </c>
      <c r="I137" t="n">
        <v>0</v>
      </c>
      <c r="J137" t="n">
        <v>0</v>
      </c>
      <c r="K137" t="n">
        <v>0</v>
      </c>
      <c r="L137" t="n">
        <v>0</v>
      </c>
      <c r="M137" t="n">
        <v>0</v>
      </c>
      <c r="N137" t="n">
        <v>0</v>
      </c>
      <c r="O137" t="n">
        <v>0</v>
      </c>
      <c r="P137" t="n">
        <v>0</v>
      </c>
      <c r="Q137" t="n">
        <v>0</v>
      </c>
      <c r="R137" s="2" t="inlineStr"/>
    </row>
    <row r="138" ht="15" customHeight="1">
      <c r="A138" t="inlineStr">
        <is>
          <t>A 45738-2019</t>
        </is>
      </c>
      <c r="B138" s="1" t="n">
        <v>43717</v>
      </c>
      <c r="C138" s="1" t="n">
        <v>45841</v>
      </c>
      <c r="D138" t="inlineStr">
        <is>
          <t>DALARNAS LÄN</t>
        </is>
      </c>
      <c r="E138" t="inlineStr">
        <is>
          <t>MALUNG-SÄLEN</t>
        </is>
      </c>
      <c r="G138" t="n">
        <v>3.5</v>
      </c>
      <c r="H138" t="n">
        <v>0</v>
      </c>
      <c r="I138" t="n">
        <v>0</v>
      </c>
      <c r="J138" t="n">
        <v>0</v>
      </c>
      <c r="K138" t="n">
        <v>0</v>
      </c>
      <c r="L138" t="n">
        <v>0</v>
      </c>
      <c r="M138" t="n">
        <v>0</v>
      </c>
      <c r="N138" t="n">
        <v>0</v>
      </c>
      <c r="O138" t="n">
        <v>0</v>
      </c>
      <c r="P138" t="n">
        <v>0</v>
      </c>
      <c r="Q138" t="n">
        <v>0</v>
      </c>
      <c r="R138" s="2" t="inlineStr"/>
    </row>
    <row r="139" ht="15" customHeight="1">
      <c r="A139" t="inlineStr">
        <is>
          <t>A 45750-2019</t>
        </is>
      </c>
      <c r="B139" s="1" t="n">
        <v>43717</v>
      </c>
      <c r="C139" s="1" t="n">
        <v>45841</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45697-2019</t>
        </is>
      </c>
      <c r="B140" s="1" t="n">
        <v>43717</v>
      </c>
      <c r="C140" s="1" t="n">
        <v>45841</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47068-2019</t>
        </is>
      </c>
      <c r="B141" s="1" t="n">
        <v>43720</v>
      </c>
      <c r="C141" s="1" t="n">
        <v>45841</v>
      </c>
      <c r="D141" t="inlineStr">
        <is>
          <t>DALARNAS LÄN</t>
        </is>
      </c>
      <c r="E141" t="inlineStr">
        <is>
          <t>MALUNG-SÄLEN</t>
        </is>
      </c>
      <c r="G141" t="n">
        <v>4.2</v>
      </c>
      <c r="H141" t="n">
        <v>0</v>
      </c>
      <c r="I141" t="n">
        <v>0</v>
      </c>
      <c r="J141" t="n">
        <v>0</v>
      </c>
      <c r="K141" t="n">
        <v>0</v>
      </c>
      <c r="L141" t="n">
        <v>0</v>
      </c>
      <c r="M141" t="n">
        <v>0</v>
      </c>
      <c r="N141" t="n">
        <v>0</v>
      </c>
      <c r="O141" t="n">
        <v>0</v>
      </c>
      <c r="P141" t="n">
        <v>0</v>
      </c>
      <c r="Q141" t="n">
        <v>0</v>
      </c>
      <c r="R141" s="2" t="inlineStr"/>
    </row>
    <row r="142" ht="15" customHeight="1">
      <c r="A142" t="inlineStr">
        <is>
          <t>A 47067-2019</t>
        </is>
      </c>
      <c r="B142" s="1" t="n">
        <v>43720</v>
      </c>
      <c r="C142" s="1" t="n">
        <v>45841</v>
      </c>
      <c r="D142" t="inlineStr">
        <is>
          <t>DALARNAS LÄN</t>
        </is>
      </c>
      <c r="E142" t="inlineStr">
        <is>
          <t>MALUNG-SÄLEN</t>
        </is>
      </c>
      <c r="G142" t="n">
        <v>3.7</v>
      </c>
      <c r="H142" t="n">
        <v>0</v>
      </c>
      <c r="I142" t="n">
        <v>0</v>
      </c>
      <c r="J142" t="n">
        <v>0</v>
      </c>
      <c r="K142" t="n">
        <v>0</v>
      </c>
      <c r="L142" t="n">
        <v>0</v>
      </c>
      <c r="M142" t="n">
        <v>0</v>
      </c>
      <c r="N142" t="n">
        <v>0</v>
      </c>
      <c r="O142" t="n">
        <v>0</v>
      </c>
      <c r="P142" t="n">
        <v>0</v>
      </c>
      <c r="Q142" t="n">
        <v>0</v>
      </c>
      <c r="R142" s="2" t="inlineStr"/>
    </row>
    <row r="143" ht="15" customHeight="1">
      <c r="A143" t="inlineStr">
        <is>
          <t>A 48275-2019</t>
        </is>
      </c>
      <c r="B143" s="1" t="n">
        <v>43726</v>
      </c>
      <c r="C143" s="1" t="n">
        <v>45841</v>
      </c>
      <c r="D143" t="inlineStr">
        <is>
          <t>DALARNAS LÄN</t>
        </is>
      </c>
      <c r="E143" t="inlineStr">
        <is>
          <t>MALUNG-SÄLEN</t>
        </is>
      </c>
      <c r="G143" t="n">
        <v>5.2</v>
      </c>
      <c r="H143" t="n">
        <v>0</v>
      </c>
      <c r="I143" t="n">
        <v>0</v>
      </c>
      <c r="J143" t="n">
        <v>0</v>
      </c>
      <c r="K143" t="n">
        <v>0</v>
      </c>
      <c r="L143" t="n">
        <v>0</v>
      </c>
      <c r="M143" t="n">
        <v>0</v>
      </c>
      <c r="N143" t="n">
        <v>0</v>
      </c>
      <c r="O143" t="n">
        <v>0</v>
      </c>
      <c r="P143" t="n">
        <v>0</v>
      </c>
      <c r="Q143" t="n">
        <v>0</v>
      </c>
      <c r="R143" s="2" t="inlineStr"/>
    </row>
    <row r="144" ht="15" customHeight="1">
      <c r="A144" t="inlineStr">
        <is>
          <t>A 49736-2019</t>
        </is>
      </c>
      <c r="B144" s="1" t="n">
        <v>43733</v>
      </c>
      <c r="C144" s="1" t="n">
        <v>45841</v>
      </c>
      <c r="D144" t="inlineStr">
        <is>
          <t>DALARNAS LÄN</t>
        </is>
      </c>
      <c r="E144" t="inlineStr">
        <is>
          <t>MALUNG-SÄLEN</t>
        </is>
      </c>
      <c r="G144" t="n">
        <v>6.5</v>
      </c>
      <c r="H144" t="n">
        <v>0</v>
      </c>
      <c r="I144" t="n">
        <v>0</v>
      </c>
      <c r="J144" t="n">
        <v>0</v>
      </c>
      <c r="K144" t="n">
        <v>0</v>
      </c>
      <c r="L144" t="n">
        <v>0</v>
      </c>
      <c r="M144" t="n">
        <v>0</v>
      </c>
      <c r="N144" t="n">
        <v>0</v>
      </c>
      <c r="O144" t="n">
        <v>0</v>
      </c>
      <c r="P144" t="n">
        <v>0</v>
      </c>
      <c r="Q144" t="n">
        <v>0</v>
      </c>
      <c r="R144" s="2" t="inlineStr"/>
    </row>
    <row r="145" ht="15" customHeight="1">
      <c r="A145" t="inlineStr">
        <is>
          <t>A 49817-2019</t>
        </is>
      </c>
      <c r="B145" s="1" t="n">
        <v>43733</v>
      </c>
      <c r="C145" s="1" t="n">
        <v>45841</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50160-2019</t>
        </is>
      </c>
      <c r="B146" s="1" t="n">
        <v>43734</v>
      </c>
      <c r="C146" s="1" t="n">
        <v>45841</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50408-2019</t>
        </is>
      </c>
      <c r="B147" s="1" t="n">
        <v>43735</v>
      </c>
      <c r="C147" s="1" t="n">
        <v>45841</v>
      </c>
      <c r="D147" t="inlineStr">
        <is>
          <t>DALARNAS LÄN</t>
        </is>
      </c>
      <c r="E147" t="inlineStr">
        <is>
          <t>MALUNG-SÄLEN</t>
        </is>
      </c>
      <c r="G147" t="n">
        <v>7.3</v>
      </c>
      <c r="H147" t="n">
        <v>0</v>
      </c>
      <c r="I147" t="n">
        <v>0</v>
      </c>
      <c r="J147" t="n">
        <v>0</v>
      </c>
      <c r="K147" t="n">
        <v>0</v>
      </c>
      <c r="L147" t="n">
        <v>0</v>
      </c>
      <c r="M147" t="n">
        <v>0</v>
      </c>
      <c r="N147" t="n">
        <v>0</v>
      </c>
      <c r="O147" t="n">
        <v>0</v>
      </c>
      <c r="P147" t="n">
        <v>0</v>
      </c>
      <c r="Q147" t="n">
        <v>0</v>
      </c>
      <c r="R147" s="2" t="inlineStr"/>
    </row>
    <row r="148" ht="15" customHeight="1">
      <c r="A148" t="inlineStr">
        <is>
          <t>A 50418-2019</t>
        </is>
      </c>
      <c r="B148" s="1" t="n">
        <v>43735</v>
      </c>
      <c r="C148" s="1" t="n">
        <v>45841</v>
      </c>
      <c r="D148" t="inlineStr">
        <is>
          <t>DALARNAS LÄN</t>
        </is>
      </c>
      <c r="E148" t="inlineStr">
        <is>
          <t>MALUNG-SÄLEN</t>
        </is>
      </c>
      <c r="G148" t="n">
        <v>2.5</v>
      </c>
      <c r="H148" t="n">
        <v>0</v>
      </c>
      <c r="I148" t="n">
        <v>0</v>
      </c>
      <c r="J148" t="n">
        <v>0</v>
      </c>
      <c r="K148" t="n">
        <v>0</v>
      </c>
      <c r="L148" t="n">
        <v>0</v>
      </c>
      <c r="M148" t="n">
        <v>0</v>
      </c>
      <c r="N148" t="n">
        <v>0</v>
      </c>
      <c r="O148" t="n">
        <v>0</v>
      </c>
      <c r="P148" t="n">
        <v>0</v>
      </c>
      <c r="Q148" t="n">
        <v>0</v>
      </c>
      <c r="R148" s="2" t="inlineStr"/>
    </row>
    <row r="149" ht="15" customHeight="1">
      <c r="A149" t="inlineStr">
        <is>
          <t>A 50424-2019</t>
        </is>
      </c>
      <c r="B149" s="1" t="n">
        <v>43735</v>
      </c>
      <c r="C149" s="1" t="n">
        <v>45841</v>
      </c>
      <c r="D149" t="inlineStr">
        <is>
          <t>DALARNAS LÄN</t>
        </is>
      </c>
      <c r="E149" t="inlineStr">
        <is>
          <t>MALUNG-SÄLEN</t>
        </is>
      </c>
      <c r="G149" t="n">
        <v>1.6</v>
      </c>
      <c r="H149" t="n">
        <v>0</v>
      </c>
      <c r="I149" t="n">
        <v>0</v>
      </c>
      <c r="J149" t="n">
        <v>0</v>
      </c>
      <c r="K149" t="n">
        <v>0</v>
      </c>
      <c r="L149" t="n">
        <v>0</v>
      </c>
      <c r="M149" t="n">
        <v>0</v>
      </c>
      <c r="N149" t="n">
        <v>0</v>
      </c>
      <c r="O149" t="n">
        <v>0</v>
      </c>
      <c r="P149" t="n">
        <v>0</v>
      </c>
      <c r="Q149" t="n">
        <v>0</v>
      </c>
      <c r="R149" s="2" t="inlineStr"/>
    </row>
    <row r="150" ht="15" customHeight="1">
      <c r="A150" t="inlineStr">
        <is>
          <t>A 50486-2019</t>
        </is>
      </c>
      <c r="B150" s="1" t="n">
        <v>43735</v>
      </c>
      <c r="C150" s="1" t="n">
        <v>45841</v>
      </c>
      <c r="D150" t="inlineStr">
        <is>
          <t>DALARNAS LÄN</t>
        </is>
      </c>
      <c r="E150" t="inlineStr">
        <is>
          <t>MALUNG-SÄLEN</t>
        </is>
      </c>
      <c r="G150" t="n">
        <v>1</v>
      </c>
      <c r="H150" t="n">
        <v>0</v>
      </c>
      <c r="I150" t="n">
        <v>0</v>
      </c>
      <c r="J150" t="n">
        <v>0</v>
      </c>
      <c r="K150" t="n">
        <v>0</v>
      </c>
      <c r="L150" t="n">
        <v>0</v>
      </c>
      <c r="M150" t="n">
        <v>0</v>
      </c>
      <c r="N150" t="n">
        <v>0</v>
      </c>
      <c r="O150" t="n">
        <v>0</v>
      </c>
      <c r="P150" t="n">
        <v>0</v>
      </c>
      <c r="Q150" t="n">
        <v>0</v>
      </c>
      <c r="R150" s="2" t="inlineStr"/>
    </row>
    <row r="151" ht="15" customHeight="1">
      <c r="A151" t="inlineStr">
        <is>
          <t>A 50479-2019</t>
        </is>
      </c>
      <c r="B151" s="1" t="n">
        <v>43735</v>
      </c>
      <c r="C151" s="1" t="n">
        <v>45841</v>
      </c>
      <c r="D151" t="inlineStr">
        <is>
          <t>DALARNAS LÄN</t>
        </is>
      </c>
      <c r="E151" t="inlineStr">
        <is>
          <t>MALUNG-SÄLEN</t>
        </is>
      </c>
      <c r="G151" t="n">
        <v>1.1</v>
      </c>
      <c r="H151" t="n">
        <v>0</v>
      </c>
      <c r="I151" t="n">
        <v>0</v>
      </c>
      <c r="J151" t="n">
        <v>0</v>
      </c>
      <c r="K151" t="n">
        <v>0</v>
      </c>
      <c r="L151" t="n">
        <v>0</v>
      </c>
      <c r="M151" t="n">
        <v>0</v>
      </c>
      <c r="N151" t="n">
        <v>0</v>
      </c>
      <c r="O151" t="n">
        <v>0</v>
      </c>
      <c r="P151" t="n">
        <v>0</v>
      </c>
      <c r="Q151" t="n">
        <v>0</v>
      </c>
      <c r="R151" s="2" t="inlineStr"/>
    </row>
    <row r="152" ht="15" customHeight="1">
      <c r="A152" t="inlineStr">
        <is>
          <t>A 50437-2019</t>
        </is>
      </c>
      <c r="B152" s="1" t="n">
        <v>43735</v>
      </c>
      <c r="C152" s="1" t="n">
        <v>45841</v>
      </c>
      <c r="D152" t="inlineStr">
        <is>
          <t>DALARNAS LÄN</t>
        </is>
      </c>
      <c r="E152" t="inlineStr">
        <is>
          <t>MALUNG-SÄLEN</t>
        </is>
      </c>
      <c r="G152" t="n">
        <v>1.9</v>
      </c>
      <c r="H152" t="n">
        <v>0</v>
      </c>
      <c r="I152" t="n">
        <v>0</v>
      </c>
      <c r="J152" t="n">
        <v>0</v>
      </c>
      <c r="K152" t="n">
        <v>0</v>
      </c>
      <c r="L152" t="n">
        <v>0</v>
      </c>
      <c r="M152" t="n">
        <v>0</v>
      </c>
      <c r="N152" t="n">
        <v>0</v>
      </c>
      <c r="O152" t="n">
        <v>0</v>
      </c>
      <c r="P152" t="n">
        <v>0</v>
      </c>
      <c r="Q152" t="n">
        <v>0</v>
      </c>
      <c r="R152" s="2" t="inlineStr"/>
    </row>
    <row r="153" ht="15" customHeight="1">
      <c r="A153" t="inlineStr">
        <is>
          <t>A 52706-2019</t>
        </is>
      </c>
      <c r="B153" s="1" t="n">
        <v>43739</v>
      </c>
      <c r="C153" s="1" t="n">
        <v>45841</v>
      </c>
      <c r="D153" t="inlineStr">
        <is>
          <t>DALARNAS LÄN</t>
        </is>
      </c>
      <c r="E153" t="inlineStr">
        <is>
          <t>MALUNG-SÄLEN</t>
        </is>
      </c>
      <c r="G153" t="n">
        <v>21</v>
      </c>
      <c r="H153" t="n">
        <v>0</v>
      </c>
      <c r="I153" t="n">
        <v>0</v>
      </c>
      <c r="J153" t="n">
        <v>0</v>
      </c>
      <c r="K153" t="n">
        <v>0</v>
      </c>
      <c r="L153" t="n">
        <v>0</v>
      </c>
      <c r="M153" t="n">
        <v>0</v>
      </c>
      <c r="N153" t="n">
        <v>0</v>
      </c>
      <c r="O153" t="n">
        <v>0</v>
      </c>
      <c r="P153" t="n">
        <v>0</v>
      </c>
      <c r="Q153" t="n">
        <v>0</v>
      </c>
      <c r="R153" s="2" t="inlineStr"/>
    </row>
    <row r="154" ht="15" customHeight="1">
      <c r="A154" t="inlineStr">
        <is>
          <t>A 52719-2019</t>
        </is>
      </c>
      <c r="B154" s="1" t="n">
        <v>43739</v>
      </c>
      <c r="C154" s="1" t="n">
        <v>45841</v>
      </c>
      <c r="D154" t="inlineStr">
        <is>
          <t>DALARNAS LÄN</t>
        </is>
      </c>
      <c r="E154" t="inlineStr">
        <is>
          <t>MALUNG-SÄLEN</t>
        </is>
      </c>
      <c r="G154" t="n">
        <v>9</v>
      </c>
      <c r="H154" t="n">
        <v>0</v>
      </c>
      <c r="I154" t="n">
        <v>0</v>
      </c>
      <c r="J154" t="n">
        <v>0</v>
      </c>
      <c r="K154" t="n">
        <v>0</v>
      </c>
      <c r="L154" t="n">
        <v>0</v>
      </c>
      <c r="M154" t="n">
        <v>0</v>
      </c>
      <c r="N154" t="n">
        <v>0</v>
      </c>
      <c r="O154" t="n">
        <v>0</v>
      </c>
      <c r="P154" t="n">
        <v>0</v>
      </c>
      <c r="Q154" t="n">
        <v>0</v>
      </c>
      <c r="R154" s="2" t="inlineStr"/>
    </row>
    <row r="155" ht="15" customHeight="1">
      <c r="A155" t="inlineStr">
        <is>
          <t>A 53100-2019</t>
        </is>
      </c>
      <c r="B155" s="1" t="n">
        <v>43747</v>
      </c>
      <c r="C155" s="1" t="n">
        <v>45841</v>
      </c>
      <c r="D155" t="inlineStr">
        <is>
          <t>DALARNAS LÄN</t>
        </is>
      </c>
      <c r="E155" t="inlineStr">
        <is>
          <t>MALUNG-SÄLEN</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53740-2019</t>
        </is>
      </c>
      <c r="B156" s="1" t="n">
        <v>43749</v>
      </c>
      <c r="C156" s="1" t="n">
        <v>45841</v>
      </c>
      <c r="D156" t="inlineStr">
        <is>
          <t>DALARNAS LÄN</t>
        </is>
      </c>
      <c r="E156" t="inlineStr">
        <is>
          <t>MALUNG-SÄLEN</t>
        </is>
      </c>
      <c r="G156" t="n">
        <v>4.3</v>
      </c>
      <c r="H156" t="n">
        <v>0</v>
      </c>
      <c r="I156" t="n">
        <v>0</v>
      </c>
      <c r="J156" t="n">
        <v>0</v>
      </c>
      <c r="K156" t="n">
        <v>0</v>
      </c>
      <c r="L156" t="n">
        <v>0</v>
      </c>
      <c r="M156" t="n">
        <v>0</v>
      </c>
      <c r="N156" t="n">
        <v>0</v>
      </c>
      <c r="O156" t="n">
        <v>0</v>
      </c>
      <c r="P156" t="n">
        <v>0</v>
      </c>
      <c r="Q156" t="n">
        <v>0</v>
      </c>
      <c r="R156" s="2" t="inlineStr"/>
    </row>
    <row r="157" ht="15" customHeight="1">
      <c r="A157" t="inlineStr">
        <is>
          <t>A 57052-2019</t>
        </is>
      </c>
      <c r="B157" s="1" t="n">
        <v>43762</v>
      </c>
      <c r="C157" s="1" t="n">
        <v>45841</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56523-2019</t>
        </is>
      </c>
      <c r="B158" s="1" t="n">
        <v>43763</v>
      </c>
      <c r="C158" s="1" t="n">
        <v>45841</v>
      </c>
      <c r="D158" t="inlineStr">
        <is>
          <t>DALARNAS LÄN</t>
        </is>
      </c>
      <c r="E158" t="inlineStr">
        <is>
          <t>MALUNG-SÄLEN</t>
        </is>
      </c>
      <c r="G158" t="n">
        <v>2.2</v>
      </c>
      <c r="H158" t="n">
        <v>0</v>
      </c>
      <c r="I158" t="n">
        <v>0</v>
      </c>
      <c r="J158" t="n">
        <v>0</v>
      </c>
      <c r="K158" t="n">
        <v>0</v>
      </c>
      <c r="L158" t="n">
        <v>0</v>
      </c>
      <c r="M158" t="n">
        <v>0</v>
      </c>
      <c r="N158" t="n">
        <v>0</v>
      </c>
      <c r="O158" t="n">
        <v>0</v>
      </c>
      <c r="P158" t="n">
        <v>0</v>
      </c>
      <c r="Q158" t="n">
        <v>0</v>
      </c>
      <c r="R158" s="2" t="inlineStr"/>
    </row>
    <row r="159" ht="15" customHeight="1">
      <c r="A159" t="inlineStr">
        <is>
          <t>A 57243-2019</t>
        </is>
      </c>
      <c r="B159" s="1" t="n">
        <v>43767</v>
      </c>
      <c r="C159" s="1" t="n">
        <v>45841</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57486-2019</t>
        </is>
      </c>
      <c r="B160" s="1" t="n">
        <v>43767</v>
      </c>
      <c r="C160" s="1" t="n">
        <v>45841</v>
      </c>
      <c r="D160" t="inlineStr">
        <is>
          <t>DALARNAS LÄN</t>
        </is>
      </c>
      <c r="E160" t="inlineStr">
        <is>
          <t>MALUNG-SÄLEN</t>
        </is>
      </c>
      <c r="F160" t="inlineStr">
        <is>
          <t>Övriga statliga verk och myndigheter</t>
        </is>
      </c>
      <c r="G160" t="n">
        <v>6.9</v>
      </c>
      <c r="H160" t="n">
        <v>0</v>
      </c>
      <c r="I160" t="n">
        <v>0</v>
      </c>
      <c r="J160" t="n">
        <v>0</v>
      </c>
      <c r="K160" t="n">
        <v>0</v>
      </c>
      <c r="L160" t="n">
        <v>0</v>
      </c>
      <c r="M160" t="n">
        <v>0</v>
      </c>
      <c r="N160" t="n">
        <v>0</v>
      </c>
      <c r="O160" t="n">
        <v>0</v>
      </c>
      <c r="P160" t="n">
        <v>0</v>
      </c>
      <c r="Q160" t="n">
        <v>0</v>
      </c>
      <c r="R160" s="2" t="inlineStr"/>
    </row>
    <row r="161" ht="15" customHeight="1">
      <c r="A161" t="inlineStr">
        <is>
          <t>A 60957-2019</t>
        </is>
      </c>
      <c r="B161" s="1" t="n">
        <v>43782</v>
      </c>
      <c r="C161" s="1" t="n">
        <v>45841</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61100-2019</t>
        </is>
      </c>
      <c r="B162" s="1" t="n">
        <v>43782</v>
      </c>
      <c r="C162" s="1" t="n">
        <v>45841</v>
      </c>
      <c r="D162" t="inlineStr">
        <is>
          <t>DALARNAS LÄN</t>
        </is>
      </c>
      <c r="E162" t="inlineStr">
        <is>
          <t>MALUNG-SÄLEN</t>
        </is>
      </c>
      <c r="F162" t="inlineStr">
        <is>
          <t>Bergvik skog väst AB</t>
        </is>
      </c>
      <c r="G162" t="n">
        <v>13.7</v>
      </c>
      <c r="H162" t="n">
        <v>0</v>
      </c>
      <c r="I162" t="n">
        <v>0</v>
      </c>
      <c r="J162" t="n">
        <v>0</v>
      </c>
      <c r="K162" t="n">
        <v>0</v>
      </c>
      <c r="L162" t="n">
        <v>0</v>
      </c>
      <c r="M162" t="n">
        <v>0</v>
      </c>
      <c r="N162" t="n">
        <v>0</v>
      </c>
      <c r="O162" t="n">
        <v>0</v>
      </c>
      <c r="P162" t="n">
        <v>0</v>
      </c>
      <c r="Q162" t="n">
        <v>0</v>
      </c>
      <c r="R162" s="2" t="inlineStr"/>
    </row>
    <row r="163" ht="15" customHeight="1">
      <c r="A163" t="inlineStr">
        <is>
          <t>A 61280-2019</t>
        </is>
      </c>
      <c r="B163" s="1" t="n">
        <v>43783</v>
      </c>
      <c r="C163" s="1" t="n">
        <v>45841</v>
      </c>
      <c r="D163" t="inlineStr">
        <is>
          <t>DALARNAS LÄN</t>
        </is>
      </c>
      <c r="E163" t="inlineStr">
        <is>
          <t>MALUNG-SÄLEN</t>
        </is>
      </c>
      <c r="G163" t="n">
        <v>4.4</v>
      </c>
      <c r="H163" t="n">
        <v>0</v>
      </c>
      <c r="I163" t="n">
        <v>0</v>
      </c>
      <c r="J163" t="n">
        <v>0</v>
      </c>
      <c r="K163" t="n">
        <v>0</v>
      </c>
      <c r="L163" t="n">
        <v>0</v>
      </c>
      <c r="M163" t="n">
        <v>0</v>
      </c>
      <c r="N163" t="n">
        <v>0</v>
      </c>
      <c r="O163" t="n">
        <v>0</v>
      </c>
      <c r="P163" t="n">
        <v>0</v>
      </c>
      <c r="Q163" t="n">
        <v>0</v>
      </c>
      <c r="R163" s="2" t="inlineStr"/>
    </row>
    <row r="164" ht="15" customHeight="1">
      <c r="A164" t="inlineStr">
        <is>
          <t>A 63333-2019</t>
        </is>
      </c>
      <c r="B164" s="1" t="n">
        <v>43787</v>
      </c>
      <c r="C164" s="1" t="n">
        <v>45841</v>
      </c>
      <c r="D164" t="inlineStr">
        <is>
          <t>DALARNAS LÄN</t>
        </is>
      </c>
      <c r="E164" t="inlineStr">
        <is>
          <t>MALUNG-SÄLEN</t>
        </is>
      </c>
      <c r="F164" t="inlineStr">
        <is>
          <t>Allmännings- och besparingsskogar</t>
        </is>
      </c>
      <c r="G164" t="n">
        <v>34.6</v>
      </c>
      <c r="H164" t="n">
        <v>0</v>
      </c>
      <c r="I164" t="n">
        <v>0</v>
      </c>
      <c r="J164" t="n">
        <v>0</v>
      </c>
      <c r="K164" t="n">
        <v>0</v>
      </c>
      <c r="L164" t="n">
        <v>0</v>
      </c>
      <c r="M164" t="n">
        <v>0</v>
      </c>
      <c r="N164" t="n">
        <v>0</v>
      </c>
      <c r="O164" t="n">
        <v>0</v>
      </c>
      <c r="P164" t="n">
        <v>0</v>
      </c>
      <c r="Q164" t="n">
        <v>0</v>
      </c>
      <c r="R164" s="2" t="inlineStr"/>
    </row>
    <row r="165" ht="15" customHeight="1">
      <c r="A165" t="inlineStr">
        <is>
          <t>A 62247-2019</t>
        </is>
      </c>
      <c r="B165" s="1" t="n">
        <v>43788</v>
      </c>
      <c r="C165" s="1" t="n">
        <v>45841</v>
      </c>
      <c r="D165" t="inlineStr">
        <is>
          <t>DALARNAS LÄN</t>
        </is>
      </c>
      <c r="E165" t="inlineStr">
        <is>
          <t>MALUNG-SÄLEN</t>
        </is>
      </c>
      <c r="G165" t="n">
        <v>0.5</v>
      </c>
      <c r="H165" t="n">
        <v>0</v>
      </c>
      <c r="I165" t="n">
        <v>0</v>
      </c>
      <c r="J165" t="n">
        <v>0</v>
      </c>
      <c r="K165" t="n">
        <v>0</v>
      </c>
      <c r="L165" t="n">
        <v>0</v>
      </c>
      <c r="M165" t="n">
        <v>0</v>
      </c>
      <c r="N165" t="n">
        <v>0</v>
      </c>
      <c r="O165" t="n">
        <v>0</v>
      </c>
      <c r="P165" t="n">
        <v>0</v>
      </c>
      <c r="Q165" t="n">
        <v>0</v>
      </c>
      <c r="R165" s="2" t="inlineStr"/>
    </row>
    <row r="166" ht="15" customHeight="1">
      <c r="A166" t="inlineStr">
        <is>
          <t>A 62248-2019</t>
        </is>
      </c>
      <c r="B166" s="1" t="n">
        <v>43788</v>
      </c>
      <c r="C166" s="1" t="n">
        <v>45841</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62312-2019</t>
        </is>
      </c>
      <c r="B167" s="1" t="n">
        <v>43788</v>
      </c>
      <c r="C167" s="1" t="n">
        <v>45841</v>
      </c>
      <c r="D167" t="inlineStr">
        <is>
          <t>DALARNAS LÄN</t>
        </is>
      </c>
      <c r="E167" t="inlineStr">
        <is>
          <t>MALUNG-SÄLEN</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67339-2019</t>
        </is>
      </c>
      <c r="B168" s="1" t="n">
        <v>43812</v>
      </c>
      <c r="C168" s="1" t="n">
        <v>45841</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68789-2019</t>
        </is>
      </c>
      <c r="B169" s="1" t="n">
        <v>43819</v>
      </c>
      <c r="C169" s="1" t="n">
        <v>45841</v>
      </c>
      <c r="D169" t="inlineStr">
        <is>
          <t>DALARNAS LÄN</t>
        </is>
      </c>
      <c r="E169" t="inlineStr">
        <is>
          <t>MALUNG-SÄLEN</t>
        </is>
      </c>
      <c r="G169" t="n">
        <v>2</v>
      </c>
      <c r="H169" t="n">
        <v>0</v>
      </c>
      <c r="I169" t="n">
        <v>0</v>
      </c>
      <c r="J169" t="n">
        <v>0</v>
      </c>
      <c r="K169" t="n">
        <v>0</v>
      </c>
      <c r="L169" t="n">
        <v>0</v>
      </c>
      <c r="M169" t="n">
        <v>0</v>
      </c>
      <c r="N169" t="n">
        <v>0</v>
      </c>
      <c r="O169" t="n">
        <v>0</v>
      </c>
      <c r="P169" t="n">
        <v>0</v>
      </c>
      <c r="Q169" t="n">
        <v>0</v>
      </c>
      <c r="R169" s="2" t="inlineStr"/>
    </row>
    <row r="170" ht="15" customHeight="1">
      <c r="A170" t="inlineStr">
        <is>
          <t>A 337-2020</t>
        </is>
      </c>
      <c r="B170" s="1" t="n">
        <v>43837</v>
      </c>
      <c r="C170" s="1" t="n">
        <v>45841</v>
      </c>
      <c r="D170" t="inlineStr">
        <is>
          <t>DALARNAS LÄN</t>
        </is>
      </c>
      <c r="E170" t="inlineStr">
        <is>
          <t>MALUNG-SÄLEN</t>
        </is>
      </c>
      <c r="G170" t="n">
        <v>0.8</v>
      </c>
      <c r="H170" t="n">
        <v>0</v>
      </c>
      <c r="I170" t="n">
        <v>0</v>
      </c>
      <c r="J170" t="n">
        <v>0</v>
      </c>
      <c r="K170" t="n">
        <v>0</v>
      </c>
      <c r="L170" t="n">
        <v>0</v>
      </c>
      <c r="M170" t="n">
        <v>0</v>
      </c>
      <c r="N170" t="n">
        <v>0</v>
      </c>
      <c r="O170" t="n">
        <v>0</v>
      </c>
      <c r="P170" t="n">
        <v>0</v>
      </c>
      <c r="Q170" t="n">
        <v>0</v>
      </c>
      <c r="R170" s="2" t="inlineStr"/>
    </row>
    <row r="171" ht="15" customHeight="1">
      <c r="A171" t="inlineStr">
        <is>
          <t>A 2198-2020</t>
        </is>
      </c>
      <c r="B171" s="1" t="n">
        <v>43839</v>
      </c>
      <c r="C171" s="1" t="n">
        <v>45841</v>
      </c>
      <c r="D171" t="inlineStr">
        <is>
          <t>DALARNAS LÄN</t>
        </is>
      </c>
      <c r="E171" t="inlineStr">
        <is>
          <t>MALUNG-SÄLEN</t>
        </is>
      </c>
      <c r="G171" t="n">
        <v>0.3</v>
      </c>
      <c r="H171" t="n">
        <v>0</v>
      </c>
      <c r="I171" t="n">
        <v>0</v>
      </c>
      <c r="J171" t="n">
        <v>0</v>
      </c>
      <c r="K171" t="n">
        <v>0</v>
      </c>
      <c r="L171" t="n">
        <v>0</v>
      </c>
      <c r="M171" t="n">
        <v>0</v>
      </c>
      <c r="N171" t="n">
        <v>0</v>
      </c>
      <c r="O171" t="n">
        <v>0</v>
      </c>
      <c r="P171" t="n">
        <v>0</v>
      </c>
      <c r="Q171" t="n">
        <v>0</v>
      </c>
      <c r="R171" s="2" t="inlineStr"/>
    </row>
    <row r="172" ht="15" customHeight="1">
      <c r="A172" t="inlineStr">
        <is>
          <t>A 4747-2020</t>
        </is>
      </c>
      <c r="B172" s="1" t="n">
        <v>43859</v>
      </c>
      <c r="C172" s="1" t="n">
        <v>45841</v>
      </c>
      <c r="D172" t="inlineStr">
        <is>
          <t>DALARNAS LÄN</t>
        </is>
      </c>
      <c r="E172" t="inlineStr">
        <is>
          <t>MALUNG-SÄLEN</t>
        </is>
      </c>
      <c r="F172" t="inlineStr">
        <is>
          <t>Allmännings- och besparingsskogar</t>
        </is>
      </c>
      <c r="G172" t="n">
        <v>27.6</v>
      </c>
      <c r="H172" t="n">
        <v>0</v>
      </c>
      <c r="I172" t="n">
        <v>0</v>
      </c>
      <c r="J172" t="n">
        <v>0</v>
      </c>
      <c r="K172" t="n">
        <v>0</v>
      </c>
      <c r="L172" t="n">
        <v>0</v>
      </c>
      <c r="M172" t="n">
        <v>0</v>
      </c>
      <c r="N172" t="n">
        <v>0</v>
      </c>
      <c r="O172" t="n">
        <v>0</v>
      </c>
      <c r="P172" t="n">
        <v>0</v>
      </c>
      <c r="Q172" t="n">
        <v>0</v>
      </c>
      <c r="R172" s="2" t="inlineStr"/>
    </row>
    <row r="173" ht="15" customHeight="1">
      <c r="A173" t="inlineStr">
        <is>
          <t>A 8728-2020</t>
        </is>
      </c>
      <c r="B173" s="1" t="n">
        <v>43878</v>
      </c>
      <c r="C173" s="1" t="n">
        <v>45841</v>
      </c>
      <c r="D173" t="inlineStr">
        <is>
          <t>DALARNAS LÄN</t>
        </is>
      </c>
      <c r="E173" t="inlineStr">
        <is>
          <t>MALUNG-SÄLEN</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8737-2020</t>
        </is>
      </c>
      <c r="B174" s="1" t="n">
        <v>43878</v>
      </c>
      <c r="C174" s="1" t="n">
        <v>45841</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10447-2020</t>
        </is>
      </c>
      <c r="B175" s="1" t="n">
        <v>43886</v>
      </c>
      <c r="C175" s="1" t="n">
        <v>45841</v>
      </c>
      <c r="D175" t="inlineStr">
        <is>
          <t>DALARNAS LÄN</t>
        </is>
      </c>
      <c r="E175" t="inlineStr">
        <is>
          <t>MALUNG-SÄLEN</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11273-2020</t>
        </is>
      </c>
      <c r="B176" s="1" t="n">
        <v>43888</v>
      </c>
      <c r="C176" s="1" t="n">
        <v>45841</v>
      </c>
      <c r="D176" t="inlineStr">
        <is>
          <t>DALARNAS LÄN</t>
        </is>
      </c>
      <c r="E176" t="inlineStr">
        <is>
          <t>MALUNG-SÄLEN</t>
        </is>
      </c>
      <c r="G176" t="n">
        <v>0.6</v>
      </c>
      <c r="H176" t="n">
        <v>0</v>
      </c>
      <c r="I176" t="n">
        <v>0</v>
      </c>
      <c r="J176" t="n">
        <v>0</v>
      </c>
      <c r="K176" t="n">
        <v>0</v>
      </c>
      <c r="L176" t="n">
        <v>0</v>
      </c>
      <c r="M176" t="n">
        <v>0</v>
      </c>
      <c r="N176" t="n">
        <v>0</v>
      </c>
      <c r="O176" t="n">
        <v>0</v>
      </c>
      <c r="P176" t="n">
        <v>0</v>
      </c>
      <c r="Q176" t="n">
        <v>0</v>
      </c>
      <c r="R176" s="2" t="inlineStr"/>
    </row>
    <row r="177" ht="15" customHeight="1">
      <c r="A177" t="inlineStr">
        <is>
          <t>A 12791-2020</t>
        </is>
      </c>
      <c r="B177" s="1" t="n">
        <v>43894</v>
      </c>
      <c r="C177" s="1" t="n">
        <v>45841</v>
      </c>
      <c r="D177" t="inlineStr">
        <is>
          <t>DALARNAS LÄN</t>
        </is>
      </c>
      <c r="E177" t="inlineStr">
        <is>
          <t>MALUNG-SÄLEN</t>
        </is>
      </c>
      <c r="F177" t="inlineStr">
        <is>
          <t>Allmännings- och besparingsskogar</t>
        </is>
      </c>
      <c r="G177" t="n">
        <v>0.6</v>
      </c>
      <c r="H177" t="n">
        <v>0</v>
      </c>
      <c r="I177" t="n">
        <v>0</v>
      </c>
      <c r="J177" t="n">
        <v>0</v>
      </c>
      <c r="K177" t="n">
        <v>0</v>
      </c>
      <c r="L177" t="n">
        <v>0</v>
      </c>
      <c r="M177" t="n">
        <v>0</v>
      </c>
      <c r="N177" t="n">
        <v>0</v>
      </c>
      <c r="O177" t="n">
        <v>0</v>
      </c>
      <c r="P177" t="n">
        <v>0</v>
      </c>
      <c r="Q177" t="n">
        <v>0</v>
      </c>
      <c r="R177" s="2" t="inlineStr"/>
    </row>
    <row r="178" ht="15" customHeight="1">
      <c r="A178" t="inlineStr">
        <is>
          <t>A 14922-2020</t>
        </is>
      </c>
      <c r="B178" s="1" t="n">
        <v>43906</v>
      </c>
      <c r="C178" s="1" t="n">
        <v>45841</v>
      </c>
      <c r="D178" t="inlineStr">
        <is>
          <t>DALARNAS LÄN</t>
        </is>
      </c>
      <c r="E178" t="inlineStr">
        <is>
          <t>MALUNG-SÄLEN</t>
        </is>
      </c>
      <c r="G178" t="n">
        <v>2.3</v>
      </c>
      <c r="H178" t="n">
        <v>0</v>
      </c>
      <c r="I178" t="n">
        <v>0</v>
      </c>
      <c r="J178" t="n">
        <v>0</v>
      </c>
      <c r="K178" t="n">
        <v>0</v>
      </c>
      <c r="L178" t="n">
        <v>0</v>
      </c>
      <c r="M178" t="n">
        <v>0</v>
      </c>
      <c r="N178" t="n">
        <v>0</v>
      </c>
      <c r="O178" t="n">
        <v>0</v>
      </c>
      <c r="P178" t="n">
        <v>0</v>
      </c>
      <c r="Q178" t="n">
        <v>0</v>
      </c>
      <c r="R178" s="2" t="inlineStr"/>
    </row>
    <row r="179" ht="15" customHeight="1">
      <c r="A179" t="inlineStr">
        <is>
          <t>A 14265-2020</t>
        </is>
      </c>
      <c r="B179" s="1" t="n">
        <v>43907</v>
      </c>
      <c r="C179" s="1" t="n">
        <v>45841</v>
      </c>
      <c r="D179" t="inlineStr">
        <is>
          <t>DALARNAS LÄN</t>
        </is>
      </c>
      <c r="E179" t="inlineStr">
        <is>
          <t>MALUNG-SÄLEN</t>
        </is>
      </c>
      <c r="G179" t="n">
        <v>0.9</v>
      </c>
      <c r="H179" t="n">
        <v>0</v>
      </c>
      <c r="I179" t="n">
        <v>0</v>
      </c>
      <c r="J179" t="n">
        <v>0</v>
      </c>
      <c r="K179" t="n">
        <v>0</v>
      </c>
      <c r="L179" t="n">
        <v>0</v>
      </c>
      <c r="M179" t="n">
        <v>0</v>
      </c>
      <c r="N179" t="n">
        <v>0</v>
      </c>
      <c r="O179" t="n">
        <v>0</v>
      </c>
      <c r="P179" t="n">
        <v>0</v>
      </c>
      <c r="Q179" t="n">
        <v>0</v>
      </c>
      <c r="R179" s="2" t="inlineStr"/>
    </row>
    <row r="180" ht="15" customHeight="1">
      <c r="A180" t="inlineStr">
        <is>
          <t>A 14260-2020</t>
        </is>
      </c>
      <c r="B180" s="1" t="n">
        <v>43907</v>
      </c>
      <c r="C180" s="1" t="n">
        <v>45841</v>
      </c>
      <c r="D180" t="inlineStr">
        <is>
          <t>DALARNAS LÄN</t>
        </is>
      </c>
      <c r="E180" t="inlineStr">
        <is>
          <t>MALUNG-SÄLEN</t>
        </is>
      </c>
      <c r="G180" t="n">
        <v>2.8</v>
      </c>
      <c r="H180" t="n">
        <v>0</v>
      </c>
      <c r="I180" t="n">
        <v>0</v>
      </c>
      <c r="J180" t="n">
        <v>0</v>
      </c>
      <c r="K180" t="n">
        <v>0</v>
      </c>
      <c r="L180" t="n">
        <v>0</v>
      </c>
      <c r="M180" t="n">
        <v>0</v>
      </c>
      <c r="N180" t="n">
        <v>0</v>
      </c>
      <c r="O180" t="n">
        <v>0</v>
      </c>
      <c r="P180" t="n">
        <v>0</v>
      </c>
      <c r="Q180" t="n">
        <v>0</v>
      </c>
      <c r="R180" s="2" t="inlineStr"/>
    </row>
    <row r="181" ht="15" customHeight="1">
      <c r="A181" t="inlineStr">
        <is>
          <t>A 15207-2020</t>
        </is>
      </c>
      <c r="B181" s="1" t="n">
        <v>43909</v>
      </c>
      <c r="C181" s="1" t="n">
        <v>45841</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17366-2020</t>
        </is>
      </c>
      <c r="B182" s="1" t="n">
        <v>43923</v>
      </c>
      <c r="C182" s="1" t="n">
        <v>45841</v>
      </c>
      <c r="D182" t="inlineStr">
        <is>
          <t>DALARNAS LÄN</t>
        </is>
      </c>
      <c r="E182" t="inlineStr">
        <is>
          <t>MALUNG-SÄLEN</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17712-2020</t>
        </is>
      </c>
      <c r="B183" s="1" t="n">
        <v>43924</v>
      </c>
      <c r="C183" s="1" t="n">
        <v>45841</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18150-2020</t>
        </is>
      </c>
      <c r="B184" s="1" t="n">
        <v>43927</v>
      </c>
      <c r="C184" s="1" t="n">
        <v>45841</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18625-2020</t>
        </is>
      </c>
      <c r="B185" s="1" t="n">
        <v>43928</v>
      </c>
      <c r="C185" s="1" t="n">
        <v>45841</v>
      </c>
      <c r="D185" t="inlineStr">
        <is>
          <t>DALARNAS LÄN</t>
        </is>
      </c>
      <c r="E185" t="inlineStr">
        <is>
          <t>MALUNG-SÄLEN</t>
        </is>
      </c>
      <c r="G185" t="n">
        <v>1.1</v>
      </c>
      <c r="H185" t="n">
        <v>0</v>
      </c>
      <c r="I185" t="n">
        <v>0</v>
      </c>
      <c r="J185" t="n">
        <v>0</v>
      </c>
      <c r="K185" t="n">
        <v>0</v>
      </c>
      <c r="L185" t="n">
        <v>0</v>
      </c>
      <c r="M185" t="n">
        <v>0</v>
      </c>
      <c r="N185" t="n">
        <v>0</v>
      </c>
      <c r="O185" t="n">
        <v>0</v>
      </c>
      <c r="P185" t="n">
        <v>0</v>
      </c>
      <c r="Q185" t="n">
        <v>0</v>
      </c>
      <c r="R185" s="2" t="inlineStr"/>
    </row>
    <row r="186" ht="15" customHeight="1">
      <c r="A186" t="inlineStr">
        <is>
          <t>A 18751-2020</t>
        </is>
      </c>
      <c r="B186" s="1" t="n">
        <v>43930</v>
      </c>
      <c r="C186" s="1" t="n">
        <v>45841</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19366-2020</t>
        </is>
      </c>
      <c r="B187" s="1" t="n">
        <v>43938</v>
      </c>
      <c r="C187" s="1" t="n">
        <v>45841</v>
      </c>
      <c r="D187" t="inlineStr">
        <is>
          <t>DALARNAS LÄN</t>
        </is>
      </c>
      <c r="E187" t="inlineStr">
        <is>
          <t>MALUNG-SÄLEN</t>
        </is>
      </c>
      <c r="G187" t="n">
        <v>2.9</v>
      </c>
      <c r="H187" t="n">
        <v>0</v>
      </c>
      <c r="I187" t="n">
        <v>0</v>
      </c>
      <c r="J187" t="n">
        <v>0</v>
      </c>
      <c r="K187" t="n">
        <v>0</v>
      </c>
      <c r="L187" t="n">
        <v>0</v>
      </c>
      <c r="M187" t="n">
        <v>0</v>
      </c>
      <c r="N187" t="n">
        <v>0</v>
      </c>
      <c r="O187" t="n">
        <v>0</v>
      </c>
      <c r="P187" t="n">
        <v>0</v>
      </c>
      <c r="Q187" t="n">
        <v>0</v>
      </c>
      <c r="R187" s="2" t="inlineStr"/>
    </row>
    <row r="188" ht="15" customHeight="1">
      <c r="A188" t="inlineStr">
        <is>
          <t>A 20042-2020</t>
        </is>
      </c>
      <c r="B188" s="1" t="n">
        <v>43943</v>
      </c>
      <c r="C188" s="1" t="n">
        <v>45841</v>
      </c>
      <c r="D188" t="inlineStr">
        <is>
          <t>DALARNAS LÄN</t>
        </is>
      </c>
      <c r="E188" t="inlineStr">
        <is>
          <t>MALUNG-SÄLEN</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20360-2020</t>
        </is>
      </c>
      <c r="B189" s="1" t="n">
        <v>43945</v>
      </c>
      <c r="C189" s="1" t="n">
        <v>45841</v>
      </c>
      <c r="D189" t="inlineStr">
        <is>
          <t>DALARNAS LÄN</t>
        </is>
      </c>
      <c r="E189" t="inlineStr">
        <is>
          <t>MALUNG-SÄLEN</t>
        </is>
      </c>
      <c r="G189" t="n">
        <v>4.2</v>
      </c>
      <c r="H189" t="n">
        <v>0</v>
      </c>
      <c r="I189" t="n">
        <v>0</v>
      </c>
      <c r="J189" t="n">
        <v>0</v>
      </c>
      <c r="K189" t="n">
        <v>0</v>
      </c>
      <c r="L189" t="n">
        <v>0</v>
      </c>
      <c r="M189" t="n">
        <v>0</v>
      </c>
      <c r="N189" t="n">
        <v>0</v>
      </c>
      <c r="O189" t="n">
        <v>0</v>
      </c>
      <c r="P189" t="n">
        <v>0</v>
      </c>
      <c r="Q189" t="n">
        <v>0</v>
      </c>
      <c r="R189" s="2" t="inlineStr"/>
    </row>
    <row r="190" ht="15" customHeight="1">
      <c r="A190" t="inlineStr">
        <is>
          <t>A 23815-2020</t>
        </is>
      </c>
      <c r="B190" s="1" t="n">
        <v>43970</v>
      </c>
      <c r="C190" s="1" t="n">
        <v>45841</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24942-2020</t>
        </is>
      </c>
      <c r="B191" s="1" t="n">
        <v>43979</v>
      </c>
      <c r="C191" s="1" t="n">
        <v>45841</v>
      </c>
      <c r="D191" t="inlineStr">
        <is>
          <t>DALARNAS LÄN</t>
        </is>
      </c>
      <c r="E191" t="inlineStr">
        <is>
          <t>MALUNG-SÄLEN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26299-2020</t>
        </is>
      </c>
      <c r="B192" s="1" t="n">
        <v>43986</v>
      </c>
      <c r="C192" s="1" t="n">
        <v>45841</v>
      </c>
      <c r="D192" t="inlineStr">
        <is>
          <t>DALARNAS LÄN</t>
        </is>
      </c>
      <c r="E192" t="inlineStr">
        <is>
          <t>MALUNG-SÄLEN</t>
        </is>
      </c>
      <c r="G192" t="n">
        <v>1.9</v>
      </c>
      <c r="H192" t="n">
        <v>0</v>
      </c>
      <c r="I192" t="n">
        <v>0</v>
      </c>
      <c r="J192" t="n">
        <v>0</v>
      </c>
      <c r="K192" t="n">
        <v>0</v>
      </c>
      <c r="L192" t="n">
        <v>0</v>
      </c>
      <c r="M192" t="n">
        <v>0</v>
      </c>
      <c r="N192" t="n">
        <v>0</v>
      </c>
      <c r="O192" t="n">
        <v>0</v>
      </c>
      <c r="P192" t="n">
        <v>0</v>
      </c>
      <c r="Q192" t="n">
        <v>0</v>
      </c>
      <c r="R192" s="2" t="inlineStr"/>
    </row>
    <row r="193" ht="15" customHeight="1">
      <c r="A193" t="inlineStr">
        <is>
          <t>A 26305-2020</t>
        </is>
      </c>
      <c r="B193" s="1" t="n">
        <v>43986</v>
      </c>
      <c r="C193" s="1" t="n">
        <v>45841</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26303-2020</t>
        </is>
      </c>
      <c r="B194" s="1" t="n">
        <v>43986</v>
      </c>
      <c r="C194" s="1" t="n">
        <v>45841</v>
      </c>
      <c r="D194" t="inlineStr">
        <is>
          <t>DALARNAS LÄN</t>
        </is>
      </c>
      <c r="E194" t="inlineStr">
        <is>
          <t>MALUNG-SÄLEN</t>
        </is>
      </c>
      <c r="G194" t="n">
        <v>1.6</v>
      </c>
      <c r="H194" t="n">
        <v>0</v>
      </c>
      <c r="I194" t="n">
        <v>0</v>
      </c>
      <c r="J194" t="n">
        <v>0</v>
      </c>
      <c r="K194" t="n">
        <v>0</v>
      </c>
      <c r="L194" t="n">
        <v>0</v>
      </c>
      <c r="M194" t="n">
        <v>0</v>
      </c>
      <c r="N194" t="n">
        <v>0</v>
      </c>
      <c r="O194" t="n">
        <v>0</v>
      </c>
      <c r="P194" t="n">
        <v>0</v>
      </c>
      <c r="Q194" t="n">
        <v>0</v>
      </c>
      <c r="R194" s="2" t="inlineStr"/>
    </row>
    <row r="195" ht="15" customHeight="1">
      <c r="A195" t="inlineStr">
        <is>
          <t>A 26546-2020</t>
        </is>
      </c>
      <c r="B195" s="1" t="n">
        <v>43987</v>
      </c>
      <c r="C195" s="1" t="n">
        <v>45841</v>
      </c>
      <c r="D195" t="inlineStr">
        <is>
          <t>DALARNAS LÄN</t>
        </is>
      </c>
      <c r="E195" t="inlineStr">
        <is>
          <t>MALUNG-SÄLEN</t>
        </is>
      </c>
      <c r="G195" t="n">
        <v>0.4</v>
      </c>
      <c r="H195" t="n">
        <v>0</v>
      </c>
      <c r="I195" t="n">
        <v>0</v>
      </c>
      <c r="J195" t="n">
        <v>0</v>
      </c>
      <c r="K195" t="n">
        <v>0</v>
      </c>
      <c r="L195" t="n">
        <v>0</v>
      </c>
      <c r="M195" t="n">
        <v>0</v>
      </c>
      <c r="N195" t="n">
        <v>0</v>
      </c>
      <c r="O195" t="n">
        <v>0</v>
      </c>
      <c r="P195" t="n">
        <v>0</v>
      </c>
      <c r="Q195" t="n">
        <v>0</v>
      </c>
      <c r="R195" s="2" t="inlineStr"/>
    </row>
    <row r="196" ht="15" customHeight="1">
      <c r="A196" t="inlineStr">
        <is>
          <t>A 26898-2020</t>
        </is>
      </c>
      <c r="B196" s="1" t="n">
        <v>43990</v>
      </c>
      <c r="C196" s="1" t="n">
        <v>45841</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26697-2020</t>
        </is>
      </c>
      <c r="B197" s="1" t="n">
        <v>43990</v>
      </c>
      <c r="C197" s="1" t="n">
        <v>45841</v>
      </c>
      <c r="D197" t="inlineStr">
        <is>
          <t>DALARNAS LÄN</t>
        </is>
      </c>
      <c r="E197" t="inlineStr">
        <is>
          <t>MALUNG-SÄLEN</t>
        </is>
      </c>
      <c r="F197" t="inlineStr">
        <is>
          <t>Allmännings- och besparingsskogar</t>
        </is>
      </c>
      <c r="G197" t="n">
        <v>1.2</v>
      </c>
      <c r="H197" t="n">
        <v>0</v>
      </c>
      <c r="I197" t="n">
        <v>0</v>
      </c>
      <c r="J197" t="n">
        <v>0</v>
      </c>
      <c r="K197" t="n">
        <v>0</v>
      </c>
      <c r="L197" t="n">
        <v>0</v>
      </c>
      <c r="M197" t="n">
        <v>0</v>
      </c>
      <c r="N197" t="n">
        <v>0</v>
      </c>
      <c r="O197" t="n">
        <v>0</v>
      </c>
      <c r="P197" t="n">
        <v>0</v>
      </c>
      <c r="Q197" t="n">
        <v>0</v>
      </c>
      <c r="R197" s="2" t="inlineStr"/>
    </row>
    <row r="198" ht="15" customHeight="1">
      <c r="A198" t="inlineStr">
        <is>
          <t>A 26910-2020</t>
        </is>
      </c>
      <c r="B198" s="1" t="n">
        <v>43990</v>
      </c>
      <c r="C198" s="1" t="n">
        <v>45841</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26905-2020</t>
        </is>
      </c>
      <c r="B199" s="1" t="n">
        <v>43990</v>
      </c>
      <c r="C199" s="1" t="n">
        <v>45841</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27125-2020</t>
        </is>
      </c>
      <c r="B200" s="1" t="n">
        <v>43990</v>
      </c>
      <c r="C200" s="1" t="n">
        <v>45841</v>
      </c>
      <c r="D200" t="inlineStr">
        <is>
          <t>DALARNAS LÄN</t>
        </is>
      </c>
      <c r="E200" t="inlineStr">
        <is>
          <t>MALUNG-SÄLEN</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27020-2020</t>
        </is>
      </c>
      <c r="B201" s="1" t="n">
        <v>43991</v>
      </c>
      <c r="C201" s="1" t="n">
        <v>45841</v>
      </c>
      <c r="D201" t="inlineStr">
        <is>
          <t>DALARNAS LÄN</t>
        </is>
      </c>
      <c r="E201" t="inlineStr">
        <is>
          <t>MALUNG-SÄLEN</t>
        </is>
      </c>
      <c r="G201" t="n">
        <v>2.4</v>
      </c>
      <c r="H201" t="n">
        <v>0</v>
      </c>
      <c r="I201" t="n">
        <v>0</v>
      </c>
      <c r="J201" t="n">
        <v>0</v>
      </c>
      <c r="K201" t="n">
        <v>0</v>
      </c>
      <c r="L201" t="n">
        <v>0</v>
      </c>
      <c r="M201" t="n">
        <v>0</v>
      </c>
      <c r="N201" t="n">
        <v>0</v>
      </c>
      <c r="O201" t="n">
        <v>0</v>
      </c>
      <c r="P201" t="n">
        <v>0</v>
      </c>
      <c r="Q201" t="n">
        <v>0</v>
      </c>
      <c r="R201" s="2" t="inlineStr"/>
    </row>
    <row r="202" ht="15" customHeight="1">
      <c r="A202" t="inlineStr">
        <is>
          <t>A 28171-2020</t>
        </is>
      </c>
      <c r="B202" s="1" t="n">
        <v>43997</v>
      </c>
      <c r="C202" s="1" t="n">
        <v>45841</v>
      </c>
      <c r="D202" t="inlineStr">
        <is>
          <t>DALARNAS LÄN</t>
        </is>
      </c>
      <c r="E202" t="inlineStr">
        <is>
          <t>MALUNG-SÄLEN</t>
        </is>
      </c>
      <c r="G202" t="n">
        <v>7</v>
      </c>
      <c r="H202" t="n">
        <v>0</v>
      </c>
      <c r="I202" t="n">
        <v>0</v>
      </c>
      <c r="J202" t="n">
        <v>0</v>
      </c>
      <c r="K202" t="n">
        <v>0</v>
      </c>
      <c r="L202" t="n">
        <v>0</v>
      </c>
      <c r="M202" t="n">
        <v>0</v>
      </c>
      <c r="N202" t="n">
        <v>0</v>
      </c>
      <c r="O202" t="n">
        <v>0</v>
      </c>
      <c r="P202" t="n">
        <v>0</v>
      </c>
      <c r="Q202" t="n">
        <v>0</v>
      </c>
      <c r="R202" s="2" t="inlineStr"/>
    </row>
    <row r="203" ht="15" customHeight="1">
      <c r="A203" t="inlineStr">
        <is>
          <t>A 28377-2020</t>
        </is>
      </c>
      <c r="B203" s="1" t="n">
        <v>43998</v>
      </c>
      <c r="C203" s="1" t="n">
        <v>45841</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28515-2020</t>
        </is>
      </c>
      <c r="B204" s="1" t="n">
        <v>43999</v>
      </c>
      <c r="C204" s="1" t="n">
        <v>45841</v>
      </c>
      <c r="D204" t="inlineStr">
        <is>
          <t>DALARNAS LÄN</t>
        </is>
      </c>
      <c r="E204" t="inlineStr">
        <is>
          <t>MALUNG-SÄLEN</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28696-2020</t>
        </is>
      </c>
      <c r="B205" s="1" t="n">
        <v>43999</v>
      </c>
      <c r="C205" s="1" t="n">
        <v>45841</v>
      </c>
      <c r="D205" t="inlineStr">
        <is>
          <t>DALARNAS LÄN</t>
        </is>
      </c>
      <c r="E205" t="inlineStr">
        <is>
          <t>MALUNG-SÄLEN</t>
        </is>
      </c>
      <c r="G205" t="n">
        <v>4.1</v>
      </c>
      <c r="H205" t="n">
        <v>0</v>
      </c>
      <c r="I205" t="n">
        <v>0</v>
      </c>
      <c r="J205" t="n">
        <v>0</v>
      </c>
      <c r="K205" t="n">
        <v>0</v>
      </c>
      <c r="L205" t="n">
        <v>0</v>
      </c>
      <c r="M205" t="n">
        <v>0</v>
      </c>
      <c r="N205" t="n">
        <v>0</v>
      </c>
      <c r="O205" t="n">
        <v>0</v>
      </c>
      <c r="P205" t="n">
        <v>0</v>
      </c>
      <c r="Q205" t="n">
        <v>0</v>
      </c>
      <c r="R205" s="2" t="inlineStr"/>
    </row>
    <row r="206" ht="15" customHeight="1">
      <c r="A206" t="inlineStr">
        <is>
          <t>A 28836-2020</t>
        </is>
      </c>
      <c r="B206" s="1" t="n">
        <v>44000</v>
      </c>
      <c r="C206" s="1" t="n">
        <v>45841</v>
      </c>
      <c r="D206" t="inlineStr">
        <is>
          <t>DALARNAS LÄN</t>
        </is>
      </c>
      <c r="E206" t="inlineStr">
        <is>
          <t>MALUNG-SÄLEN</t>
        </is>
      </c>
      <c r="G206" t="n">
        <v>16.6</v>
      </c>
      <c r="H206" t="n">
        <v>0</v>
      </c>
      <c r="I206" t="n">
        <v>0</v>
      </c>
      <c r="J206" t="n">
        <v>0</v>
      </c>
      <c r="K206" t="n">
        <v>0</v>
      </c>
      <c r="L206" t="n">
        <v>0</v>
      </c>
      <c r="M206" t="n">
        <v>0</v>
      </c>
      <c r="N206" t="n">
        <v>0</v>
      </c>
      <c r="O206" t="n">
        <v>0</v>
      </c>
      <c r="P206" t="n">
        <v>0</v>
      </c>
      <c r="Q206" t="n">
        <v>0</v>
      </c>
      <c r="R206" s="2" t="inlineStr"/>
    </row>
    <row r="207" ht="15" customHeight="1">
      <c r="A207" t="inlineStr">
        <is>
          <t>A 29551-2020</t>
        </is>
      </c>
      <c r="B207" s="1" t="n">
        <v>44005</v>
      </c>
      <c r="C207" s="1" t="n">
        <v>45841</v>
      </c>
      <c r="D207" t="inlineStr">
        <is>
          <t>DALARNAS LÄN</t>
        </is>
      </c>
      <c r="E207" t="inlineStr">
        <is>
          <t>MALUNG-SÄLEN</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30262-2020</t>
        </is>
      </c>
      <c r="B208" s="1" t="n">
        <v>44007</v>
      </c>
      <c r="C208" s="1" t="n">
        <v>45841</v>
      </c>
      <c r="D208" t="inlineStr">
        <is>
          <t>DALARNAS LÄN</t>
        </is>
      </c>
      <c r="E208" t="inlineStr">
        <is>
          <t>MALUNG-SÄLEN</t>
        </is>
      </c>
      <c r="G208" t="n">
        <v>7.1</v>
      </c>
      <c r="H208" t="n">
        <v>0</v>
      </c>
      <c r="I208" t="n">
        <v>0</v>
      </c>
      <c r="J208" t="n">
        <v>0</v>
      </c>
      <c r="K208" t="n">
        <v>0</v>
      </c>
      <c r="L208" t="n">
        <v>0</v>
      </c>
      <c r="M208" t="n">
        <v>0</v>
      </c>
      <c r="N208" t="n">
        <v>0</v>
      </c>
      <c r="O208" t="n">
        <v>0</v>
      </c>
      <c r="P208" t="n">
        <v>0</v>
      </c>
      <c r="Q208" t="n">
        <v>0</v>
      </c>
      <c r="R208" s="2" t="inlineStr"/>
    </row>
    <row r="209" ht="15" customHeight="1">
      <c r="A209" t="inlineStr">
        <is>
          <t>A 31075-2020</t>
        </is>
      </c>
      <c r="B209" s="1" t="n">
        <v>44012</v>
      </c>
      <c r="C209" s="1" t="n">
        <v>45841</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31161-2020</t>
        </is>
      </c>
      <c r="B210" s="1" t="n">
        <v>44012</v>
      </c>
      <c r="C210" s="1" t="n">
        <v>45841</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32815-2020</t>
        </is>
      </c>
      <c r="B211" s="1" t="n">
        <v>44020</v>
      </c>
      <c r="C211" s="1" t="n">
        <v>45841</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33065-2020</t>
        </is>
      </c>
      <c r="B212" s="1" t="n">
        <v>44021</v>
      </c>
      <c r="C212" s="1" t="n">
        <v>45841</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33071-2020</t>
        </is>
      </c>
      <c r="B213" s="1" t="n">
        <v>44021</v>
      </c>
      <c r="C213" s="1" t="n">
        <v>45841</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35536-2020</t>
        </is>
      </c>
      <c r="B214" s="1" t="n">
        <v>44043</v>
      </c>
      <c r="C214" s="1" t="n">
        <v>45841</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36308-2020</t>
        </is>
      </c>
      <c r="B215" s="1" t="n">
        <v>44049</v>
      </c>
      <c r="C215" s="1" t="n">
        <v>45841</v>
      </c>
      <c r="D215" t="inlineStr">
        <is>
          <t>DALARNAS LÄN</t>
        </is>
      </c>
      <c r="E215" t="inlineStr">
        <is>
          <t>MALUNG-SÄLEN</t>
        </is>
      </c>
      <c r="G215" t="n">
        <v>1.2</v>
      </c>
      <c r="H215" t="n">
        <v>0</v>
      </c>
      <c r="I215" t="n">
        <v>0</v>
      </c>
      <c r="J215" t="n">
        <v>0</v>
      </c>
      <c r="K215" t="n">
        <v>0</v>
      </c>
      <c r="L215" t="n">
        <v>0</v>
      </c>
      <c r="M215" t="n">
        <v>0</v>
      </c>
      <c r="N215" t="n">
        <v>0</v>
      </c>
      <c r="O215" t="n">
        <v>0</v>
      </c>
      <c r="P215" t="n">
        <v>0</v>
      </c>
      <c r="Q215" t="n">
        <v>0</v>
      </c>
      <c r="R215" s="2" t="inlineStr"/>
    </row>
    <row r="216" ht="15" customHeight="1">
      <c r="A216" t="inlineStr">
        <is>
          <t>A 37574-2020</t>
        </is>
      </c>
      <c r="B216" s="1" t="n">
        <v>44056</v>
      </c>
      <c r="C216" s="1" t="n">
        <v>45841</v>
      </c>
      <c r="D216" t="inlineStr">
        <is>
          <t>DALARNAS LÄN</t>
        </is>
      </c>
      <c r="E216" t="inlineStr">
        <is>
          <t>MALUNG-SÄLEN</t>
        </is>
      </c>
      <c r="G216" t="n">
        <v>0.8</v>
      </c>
      <c r="H216" t="n">
        <v>0</v>
      </c>
      <c r="I216" t="n">
        <v>0</v>
      </c>
      <c r="J216" t="n">
        <v>0</v>
      </c>
      <c r="K216" t="n">
        <v>0</v>
      </c>
      <c r="L216" t="n">
        <v>0</v>
      </c>
      <c r="M216" t="n">
        <v>0</v>
      </c>
      <c r="N216" t="n">
        <v>0</v>
      </c>
      <c r="O216" t="n">
        <v>0</v>
      </c>
      <c r="P216" t="n">
        <v>0</v>
      </c>
      <c r="Q216" t="n">
        <v>0</v>
      </c>
      <c r="R216" s="2" t="inlineStr"/>
    </row>
    <row r="217" ht="15" customHeight="1">
      <c r="A217" t="inlineStr">
        <is>
          <t>A 37587-2020</t>
        </is>
      </c>
      <c r="B217" s="1" t="n">
        <v>44056</v>
      </c>
      <c r="C217" s="1" t="n">
        <v>45841</v>
      </c>
      <c r="D217" t="inlineStr">
        <is>
          <t>DALARNAS LÄN</t>
        </is>
      </c>
      <c r="E217" t="inlineStr">
        <is>
          <t>MALUNG-SÄLEN</t>
        </is>
      </c>
      <c r="G217" t="n">
        <v>0.3</v>
      </c>
      <c r="H217" t="n">
        <v>0</v>
      </c>
      <c r="I217" t="n">
        <v>0</v>
      </c>
      <c r="J217" t="n">
        <v>0</v>
      </c>
      <c r="K217" t="n">
        <v>0</v>
      </c>
      <c r="L217" t="n">
        <v>0</v>
      </c>
      <c r="M217" t="n">
        <v>0</v>
      </c>
      <c r="N217" t="n">
        <v>0</v>
      </c>
      <c r="O217" t="n">
        <v>0</v>
      </c>
      <c r="P217" t="n">
        <v>0</v>
      </c>
      <c r="Q217" t="n">
        <v>0</v>
      </c>
      <c r="R217" s="2" t="inlineStr"/>
    </row>
    <row r="218" ht="15" customHeight="1">
      <c r="A218" t="inlineStr">
        <is>
          <t>A 37740-2020</t>
        </is>
      </c>
      <c r="B218" s="1" t="n">
        <v>44056</v>
      </c>
      <c r="C218" s="1" t="n">
        <v>45841</v>
      </c>
      <c r="D218" t="inlineStr">
        <is>
          <t>DALARNAS LÄN</t>
        </is>
      </c>
      <c r="E218" t="inlineStr">
        <is>
          <t>MALUNG-SÄLEN</t>
        </is>
      </c>
      <c r="G218" t="n">
        <v>22.5</v>
      </c>
      <c r="H218" t="n">
        <v>0</v>
      </c>
      <c r="I218" t="n">
        <v>0</v>
      </c>
      <c r="J218" t="n">
        <v>0</v>
      </c>
      <c r="K218" t="n">
        <v>0</v>
      </c>
      <c r="L218" t="n">
        <v>0</v>
      </c>
      <c r="M218" t="n">
        <v>0</v>
      </c>
      <c r="N218" t="n">
        <v>0</v>
      </c>
      <c r="O218" t="n">
        <v>0</v>
      </c>
      <c r="P218" t="n">
        <v>0</v>
      </c>
      <c r="Q218" t="n">
        <v>0</v>
      </c>
      <c r="R218" s="2" t="inlineStr"/>
    </row>
    <row r="219" ht="15" customHeight="1">
      <c r="A219" t="inlineStr">
        <is>
          <t>A 38169-2020</t>
        </is>
      </c>
      <c r="B219" s="1" t="n">
        <v>44057</v>
      </c>
      <c r="C219" s="1" t="n">
        <v>45841</v>
      </c>
      <c r="D219" t="inlineStr">
        <is>
          <t>DALARNAS LÄN</t>
        </is>
      </c>
      <c r="E219" t="inlineStr">
        <is>
          <t>MALUNG-SÄLEN</t>
        </is>
      </c>
      <c r="F219" t="inlineStr">
        <is>
          <t>Allmännings- och besparingsskogar</t>
        </is>
      </c>
      <c r="G219" t="n">
        <v>32.1</v>
      </c>
      <c r="H219" t="n">
        <v>0</v>
      </c>
      <c r="I219" t="n">
        <v>0</v>
      </c>
      <c r="J219" t="n">
        <v>0</v>
      </c>
      <c r="K219" t="n">
        <v>0</v>
      </c>
      <c r="L219" t="n">
        <v>0</v>
      </c>
      <c r="M219" t="n">
        <v>0</v>
      </c>
      <c r="N219" t="n">
        <v>0</v>
      </c>
      <c r="O219" t="n">
        <v>0</v>
      </c>
      <c r="P219" t="n">
        <v>0</v>
      </c>
      <c r="Q219" t="n">
        <v>0</v>
      </c>
      <c r="R219" s="2" t="inlineStr"/>
    </row>
    <row r="220" ht="15" customHeight="1">
      <c r="A220" t="inlineStr">
        <is>
          <t>A 38604-2020</t>
        </is>
      </c>
      <c r="B220" s="1" t="n">
        <v>44061</v>
      </c>
      <c r="C220" s="1" t="n">
        <v>45841</v>
      </c>
      <c r="D220" t="inlineStr">
        <is>
          <t>DALARNAS LÄN</t>
        </is>
      </c>
      <c r="E220" t="inlineStr">
        <is>
          <t>MALUNG-SÄLEN</t>
        </is>
      </c>
      <c r="G220" t="n">
        <v>0.9</v>
      </c>
      <c r="H220" t="n">
        <v>0</v>
      </c>
      <c r="I220" t="n">
        <v>0</v>
      </c>
      <c r="J220" t="n">
        <v>0</v>
      </c>
      <c r="K220" t="n">
        <v>0</v>
      </c>
      <c r="L220" t="n">
        <v>0</v>
      </c>
      <c r="M220" t="n">
        <v>0</v>
      </c>
      <c r="N220" t="n">
        <v>0</v>
      </c>
      <c r="O220" t="n">
        <v>0</v>
      </c>
      <c r="P220" t="n">
        <v>0</v>
      </c>
      <c r="Q220" t="n">
        <v>0</v>
      </c>
      <c r="R220" s="2" t="inlineStr"/>
    </row>
    <row r="221" ht="15" customHeight="1">
      <c r="A221" t="inlineStr">
        <is>
          <t>A 40350-2020</t>
        </is>
      </c>
      <c r="B221" s="1" t="n">
        <v>44068</v>
      </c>
      <c r="C221" s="1" t="n">
        <v>45841</v>
      </c>
      <c r="D221" t="inlineStr">
        <is>
          <t>DALARNAS LÄN</t>
        </is>
      </c>
      <c r="E221" t="inlineStr">
        <is>
          <t>MALUNG-SÄLEN</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40354-2020</t>
        </is>
      </c>
      <c r="B222" s="1" t="n">
        <v>44068</v>
      </c>
      <c r="C222" s="1" t="n">
        <v>45841</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42116-2020</t>
        </is>
      </c>
      <c r="B223" s="1" t="n">
        <v>44071</v>
      </c>
      <c r="C223" s="1" t="n">
        <v>45841</v>
      </c>
      <c r="D223" t="inlineStr">
        <is>
          <t>DALARNAS LÄN</t>
        </is>
      </c>
      <c r="E223" t="inlineStr">
        <is>
          <t>MALUNG-SÄLEN</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42985-2020</t>
        </is>
      </c>
      <c r="B224" s="1" t="n">
        <v>44078</v>
      </c>
      <c r="C224" s="1" t="n">
        <v>45841</v>
      </c>
      <c r="D224" t="inlineStr">
        <is>
          <t>DALARNAS LÄN</t>
        </is>
      </c>
      <c r="E224" t="inlineStr">
        <is>
          <t>MALUNG-SÄLEN</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44448-2020</t>
        </is>
      </c>
      <c r="B225" s="1" t="n">
        <v>44084</v>
      </c>
      <c r="C225" s="1" t="n">
        <v>45841</v>
      </c>
      <c r="D225" t="inlineStr">
        <is>
          <t>DALARNAS LÄN</t>
        </is>
      </c>
      <c r="E225" t="inlineStr">
        <is>
          <t>MALUNG-SÄLEN</t>
        </is>
      </c>
      <c r="G225" t="n">
        <v>3.6</v>
      </c>
      <c r="H225" t="n">
        <v>0</v>
      </c>
      <c r="I225" t="n">
        <v>0</v>
      </c>
      <c r="J225" t="n">
        <v>0</v>
      </c>
      <c r="K225" t="n">
        <v>0</v>
      </c>
      <c r="L225" t="n">
        <v>0</v>
      </c>
      <c r="M225" t="n">
        <v>0</v>
      </c>
      <c r="N225" t="n">
        <v>0</v>
      </c>
      <c r="O225" t="n">
        <v>0</v>
      </c>
      <c r="P225" t="n">
        <v>0</v>
      </c>
      <c r="Q225" t="n">
        <v>0</v>
      </c>
      <c r="R225" s="2" t="inlineStr"/>
    </row>
    <row r="226" ht="15" customHeight="1">
      <c r="A226" t="inlineStr">
        <is>
          <t>A 44935-2020</t>
        </is>
      </c>
      <c r="B226" s="1" t="n">
        <v>44088</v>
      </c>
      <c r="C226" s="1" t="n">
        <v>45841</v>
      </c>
      <c r="D226" t="inlineStr">
        <is>
          <t>DALARNAS LÄN</t>
        </is>
      </c>
      <c r="E226" t="inlineStr">
        <is>
          <t>MALUNG-SÄLEN</t>
        </is>
      </c>
      <c r="G226" t="n">
        <v>11.8</v>
      </c>
      <c r="H226" t="n">
        <v>0</v>
      </c>
      <c r="I226" t="n">
        <v>0</v>
      </c>
      <c r="J226" t="n">
        <v>0</v>
      </c>
      <c r="K226" t="n">
        <v>0</v>
      </c>
      <c r="L226" t="n">
        <v>0</v>
      </c>
      <c r="M226" t="n">
        <v>0</v>
      </c>
      <c r="N226" t="n">
        <v>0</v>
      </c>
      <c r="O226" t="n">
        <v>0</v>
      </c>
      <c r="P226" t="n">
        <v>0</v>
      </c>
      <c r="Q226" t="n">
        <v>0</v>
      </c>
      <c r="R226" s="2" t="inlineStr"/>
    </row>
    <row r="227" ht="15" customHeight="1">
      <c r="A227" t="inlineStr">
        <is>
          <t>A 45722-2020</t>
        </is>
      </c>
      <c r="B227" s="1" t="n">
        <v>44090</v>
      </c>
      <c r="C227" s="1" t="n">
        <v>45841</v>
      </c>
      <c r="D227" t="inlineStr">
        <is>
          <t>DALARNAS LÄN</t>
        </is>
      </c>
      <c r="E227" t="inlineStr">
        <is>
          <t>MALUNG-SÄLEN</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46832-2020</t>
        </is>
      </c>
      <c r="B228" s="1" t="n">
        <v>44090</v>
      </c>
      <c r="C228" s="1" t="n">
        <v>45841</v>
      </c>
      <c r="D228" t="inlineStr">
        <is>
          <t>DALARNAS LÄN</t>
        </is>
      </c>
      <c r="E228" t="inlineStr">
        <is>
          <t>MALUNG-SÄLEN</t>
        </is>
      </c>
      <c r="F228" t="inlineStr">
        <is>
          <t>Allmännings- och besparingsskogar</t>
        </is>
      </c>
      <c r="G228" t="n">
        <v>62.4</v>
      </c>
      <c r="H228" t="n">
        <v>0</v>
      </c>
      <c r="I228" t="n">
        <v>0</v>
      </c>
      <c r="J228" t="n">
        <v>0</v>
      </c>
      <c r="K228" t="n">
        <v>0</v>
      </c>
      <c r="L228" t="n">
        <v>0</v>
      </c>
      <c r="M228" t="n">
        <v>0</v>
      </c>
      <c r="N228" t="n">
        <v>0</v>
      </c>
      <c r="O228" t="n">
        <v>0</v>
      </c>
      <c r="P228" t="n">
        <v>0</v>
      </c>
      <c r="Q228" t="n">
        <v>0</v>
      </c>
      <c r="R228" s="2" t="inlineStr"/>
    </row>
    <row r="229" ht="15" customHeight="1">
      <c r="A229" t="inlineStr">
        <is>
          <t>A 47073-2020</t>
        </is>
      </c>
      <c r="B229" s="1" t="n">
        <v>44096</v>
      </c>
      <c r="C229" s="1" t="n">
        <v>45841</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47190-2020</t>
        </is>
      </c>
      <c r="B230" s="1" t="n">
        <v>44097</v>
      </c>
      <c r="C230" s="1" t="n">
        <v>45841</v>
      </c>
      <c r="D230" t="inlineStr">
        <is>
          <t>DALARNAS LÄN</t>
        </is>
      </c>
      <c r="E230" t="inlineStr">
        <is>
          <t>MALUNG-SÄLEN</t>
        </is>
      </c>
      <c r="G230" t="n">
        <v>6</v>
      </c>
      <c r="H230" t="n">
        <v>0</v>
      </c>
      <c r="I230" t="n">
        <v>0</v>
      </c>
      <c r="J230" t="n">
        <v>0</v>
      </c>
      <c r="K230" t="n">
        <v>0</v>
      </c>
      <c r="L230" t="n">
        <v>0</v>
      </c>
      <c r="M230" t="n">
        <v>0</v>
      </c>
      <c r="N230" t="n">
        <v>0</v>
      </c>
      <c r="O230" t="n">
        <v>0</v>
      </c>
      <c r="P230" t="n">
        <v>0</v>
      </c>
      <c r="Q230" t="n">
        <v>0</v>
      </c>
      <c r="R230" s="2" t="inlineStr"/>
    </row>
    <row r="231" ht="15" customHeight="1">
      <c r="A231" t="inlineStr">
        <is>
          <t>A 47254-2020</t>
        </is>
      </c>
      <c r="B231" s="1" t="n">
        <v>44097</v>
      </c>
      <c r="C231" s="1" t="n">
        <v>45841</v>
      </c>
      <c r="D231" t="inlineStr">
        <is>
          <t>DALARNAS LÄN</t>
        </is>
      </c>
      <c r="E231" t="inlineStr">
        <is>
          <t>MALUNG-SÄLEN</t>
        </is>
      </c>
      <c r="G231" t="n">
        <v>5.3</v>
      </c>
      <c r="H231" t="n">
        <v>0</v>
      </c>
      <c r="I231" t="n">
        <v>0</v>
      </c>
      <c r="J231" t="n">
        <v>0</v>
      </c>
      <c r="K231" t="n">
        <v>0</v>
      </c>
      <c r="L231" t="n">
        <v>0</v>
      </c>
      <c r="M231" t="n">
        <v>0</v>
      </c>
      <c r="N231" t="n">
        <v>0</v>
      </c>
      <c r="O231" t="n">
        <v>0</v>
      </c>
      <c r="P231" t="n">
        <v>0</v>
      </c>
      <c r="Q231" t="n">
        <v>0</v>
      </c>
      <c r="R231" s="2" t="inlineStr"/>
    </row>
    <row r="232" ht="15" customHeight="1">
      <c r="A232" t="inlineStr">
        <is>
          <t>A 47986-2020</t>
        </is>
      </c>
      <c r="B232" s="1" t="n">
        <v>44099</v>
      </c>
      <c r="C232" s="1" t="n">
        <v>45841</v>
      </c>
      <c r="D232" t="inlineStr">
        <is>
          <t>DALARNAS LÄN</t>
        </is>
      </c>
      <c r="E232" t="inlineStr">
        <is>
          <t>MALUNG-SÄLEN</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48525-2020</t>
        </is>
      </c>
      <c r="B233" s="1" t="n">
        <v>44103</v>
      </c>
      <c r="C233" s="1" t="n">
        <v>45841</v>
      </c>
      <c r="D233" t="inlineStr">
        <is>
          <t>DALARNAS LÄN</t>
        </is>
      </c>
      <c r="E233" t="inlineStr">
        <is>
          <t>MALUNG-SÄLEN</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49375-2020</t>
        </is>
      </c>
      <c r="B234" s="1" t="n">
        <v>44105</v>
      </c>
      <c r="C234" s="1" t="n">
        <v>45841</v>
      </c>
      <c r="D234" t="inlineStr">
        <is>
          <t>DALARNAS LÄN</t>
        </is>
      </c>
      <c r="E234" t="inlineStr">
        <is>
          <t>MALUNG-SÄLEN</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50436-2020</t>
        </is>
      </c>
      <c r="B235" s="1" t="n">
        <v>44110</v>
      </c>
      <c r="C235" s="1" t="n">
        <v>45841</v>
      </c>
      <c r="D235" t="inlineStr">
        <is>
          <t>DALARNAS LÄN</t>
        </is>
      </c>
      <c r="E235" t="inlineStr">
        <is>
          <t>MALUNG-SÄLEN</t>
        </is>
      </c>
      <c r="F235" t="inlineStr">
        <is>
          <t>Övriga statliga verk och myndigheter</t>
        </is>
      </c>
      <c r="G235" t="n">
        <v>2.9</v>
      </c>
      <c r="H235" t="n">
        <v>0</v>
      </c>
      <c r="I235" t="n">
        <v>0</v>
      </c>
      <c r="J235" t="n">
        <v>0</v>
      </c>
      <c r="K235" t="n">
        <v>0</v>
      </c>
      <c r="L235" t="n">
        <v>0</v>
      </c>
      <c r="M235" t="n">
        <v>0</v>
      </c>
      <c r="N235" t="n">
        <v>0</v>
      </c>
      <c r="O235" t="n">
        <v>0</v>
      </c>
      <c r="P235" t="n">
        <v>0</v>
      </c>
      <c r="Q235" t="n">
        <v>0</v>
      </c>
      <c r="R235" s="2" t="inlineStr"/>
    </row>
    <row r="236" ht="15" customHeight="1">
      <c r="A236" t="inlineStr">
        <is>
          <t>A 50397-2020</t>
        </is>
      </c>
      <c r="B236" s="1" t="n">
        <v>44110</v>
      </c>
      <c r="C236" s="1" t="n">
        <v>45841</v>
      </c>
      <c r="D236" t="inlineStr">
        <is>
          <t>DALARNAS LÄN</t>
        </is>
      </c>
      <c r="E236" t="inlineStr">
        <is>
          <t>MALUNG-SÄLEN</t>
        </is>
      </c>
      <c r="G236" t="n">
        <v>6.8</v>
      </c>
      <c r="H236" t="n">
        <v>0</v>
      </c>
      <c r="I236" t="n">
        <v>0</v>
      </c>
      <c r="J236" t="n">
        <v>0</v>
      </c>
      <c r="K236" t="n">
        <v>0</v>
      </c>
      <c r="L236" t="n">
        <v>0</v>
      </c>
      <c r="M236" t="n">
        <v>0</v>
      </c>
      <c r="N236" t="n">
        <v>0</v>
      </c>
      <c r="O236" t="n">
        <v>0</v>
      </c>
      <c r="P236" t="n">
        <v>0</v>
      </c>
      <c r="Q236" t="n">
        <v>0</v>
      </c>
      <c r="R236" s="2" t="inlineStr"/>
    </row>
    <row r="237" ht="15" customHeight="1">
      <c r="A237" t="inlineStr">
        <is>
          <t>A 52009-2020</t>
        </is>
      </c>
      <c r="B237" s="1" t="n">
        <v>44111</v>
      </c>
      <c r="C237" s="1" t="n">
        <v>45841</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55488-2020</t>
        </is>
      </c>
      <c r="B238" s="1" t="n">
        <v>44131</v>
      </c>
      <c r="C238" s="1" t="n">
        <v>45841</v>
      </c>
      <c r="D238" t="inlineStr">
        <is>
          <t>DALARNAS LÄN</t>
        </is>
      </c>
      <c r="E238" t="inlineStr">
        <is>
          <t>MALUNG-SÄLEN</t>
        </is>
      </c>
      <c r="G238" t="n">
        <v>1.4</v>
      </c>
      <c r="H238" t="n">
        <v>0</v>
      </c>
      <c r="I238" t="n">
        <v>0</v>
      </c>
      <c r="J238" t="n">
        <v>0</v>
      </c>
      <c r="K238" t="n">
        <v>0</v>
      </c>
      <c r="L238" t="n">
        <v>0</v>
      </c>
      <c r="M238" t="n">
        <v>0</v>
      </c>
      <c r="N238" t="n">
        <v>0</v>
      </c>
      <c r="O238" t="n">
        <v>0</v>
      </c>
      <c r="P238" t="n">
        <v>0</v>
      </c>
      <c r="Q238" t="n">
        <v>0</v>
      </c>
      <c r="R238" s="2" t="inlineStr"/>
    </row>
    <row r="239" ht="15" customHeight="1">
      <c r="A239" t="inlineStr">
        <is>
          <t>A 55535-2020</t>
        </is>
      </c>
      <c r="B239" s="1" t="n">
        <v>44131</v>
      </c>
      <c r="C239" s="1" t="n">
        <v>45841</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56332-2020</t>
        </is>
      </c>
      <c r="B240" s="1" t="n">
        <v>44134</v>
      </c>
      <c r="C240" s="1" t="n">
        <v>45841</v>
      </c>
      <c r="D240" t="inlineStr">
        <is>
          <t>DALARNAS LÄN</t>
        </is>
      </c>
      <c r="E240" t="inlineStr">
        <is>
          <t>MALUNG-SÄLEN</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56561-2020</t>
        </is>
      </c>
      <c r="B241" s="1" t="n">
        <v>44137</v>
      </c>
      <c r="C241" s="1" t="n">
        <v>45841</v>
      </c>
      <c r="D241" t="inlineStr">
        <is>
          <t>DALARNAS LÄN</t>
        </is>
      </c>
      <c r="E241" t="inlineStr">
        <is>
          <t>MALUNG-SÄLEN</t>
        </is>
      </c>
      <c r="G241" t="n">
        <v>1</v>
      </c>
      <c r="H241" t="n">
        <v>0</v>
      </c>
      <c r="I241" t="n">
        <v>0</v>
      </c>
      <c r="J241" t="n">
        <v>0</v>
      </c>
      <c r="K241" t="n">
        <v>0</v>
      </c>
      <c r="L241" t="n">
        <v>0</v>
      </c>
      <c r="M241" t="n">
        <v>0</v>
      </c>
      <c r="N241" t="n">
        <v>0</v>
      </c>
      <c r="O241" t="n">
        <v>0</v>
      </c>
      <c r="P241" t="n">
        <v>0</v>
      </c>
      <c r="Q241" t="n">
        <v>0</v>
      </c>
      <c r="R241" s="2" t="inlineStr"/>
    </row>
    <row r="242" ht="15" customHeight="1">
      <c r="A242" t="inlineStr">
        <is>
          <t>A 56584-2020</t>
        </is>
      </c>
      <c r="B242" s="1" t="n">
        <v>44137</v>
      </c>
      <c r="C242" s="1" t="n">
        <v>45841</v>
      </c>
      <c r="D242" t="inlineStr">
        <is>
          <t>DALARNAS LÄN</t>
        </is>
      </c>
      <c r="E242" t="inlineStr">
        <is>
          <t>MALUNG-SÄLEN</t>
        </is>
      </c>
      <c r="G242" t="n">
        <v>4.1</v>
      </c>
      <c r="H242" t="n">
        <v>0</v>
      </c>
      <c r="I242" t="n">
        <v>0</v>
      </c>
      <c r="J242" t="n">
        <v>0</v>
      </c>
      <c r="K242" t="n">
        <v>0</v>
      </c>
      <c r="L242" t="n">
        <v>0</v>
      </c>
      <c r="M242" t="n">
        <v>0</v>
      </c>
      <c r="N242" t="n">
        <v>0</v>
      </c>
      <c r="O242" t="n">
        <v>0</v>
      </c>
      <c r="P242" t="n">
        <v>0</v>
      </c>
      <c r="Q242" t="n">
        <v>0</v>
      </c>
      <c r="R242" s="2" t="inlineStr"/>
    </row>
    <row r="243" ht="15" customHeight="1">
      <c r="A243" t="inlineStr">
        <is>
          <t>A 56590-2020</t>
        </is>
      </c>
      <c r="B243" s="1" t="n">
        <v>44137</v>
      </c>
      <c r="C243" s="1" t="n">
        <v>45841</v>
      </c>
      <c r="D243" t="inlineStr">
        <is>
          <t>DALARNAS LÄN</t>
        </is>
      </c>
      <c r="E243" t="inlineStr">
        <is>
          <t>MALUNG-SÄLEN</t>
        </is>
      </c>
      <c r="G243" t="n">
        <v>2.4</v>
      </c>
      <c r="H243" t="n">
        <v>0</v>
      </c>
      <c r="I243" t="n">
        <v>0</v>
      </c>
      <c r="J243" t="n">
        <v>0</v>
      </c>
      <c r="K243" t="n">
        <v>0</v>
      </c>
      <c r="L243" t="n">
        <v>0</v>
      </c>
      <c r="M243" t="n">
        <v>0</v>
      </c>
      <c r="N243" t="n">
        <v>0</v>
      </c>
      <c r="O243" t="n">
        <v>0</v>
      </c>
      <c r="P243" t="n">
        <v>0</v>
      </c>
      <c r="Q243" t="n">
        <v>0</v>
      </c>
      <c r="R243" s="2" t="inlineStr"/>
    </row>
    <row r="244" ht="15" customHeight="1">
      <c r="A244" t="inlineStr">
        <is>
          <t>A 58169-2020</t>
        </is>
      </c>
      <c r="B244" s="1" t="n">
        <v>44144</v>
      </c>
      <c r="C244" s="1" t="n">
        <v>45841</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58462-2020</t>
        </is>
      </c>
      <c r="B245" s="1" t="n">
        <v>44144</v>
      </c>
      <c r="C245" s="1" t="n">
        <v>45841</v>
      </c>
      <c r="D245" t="inlineStr">
        <is>
          <t>DALARNAS LÄN</t>
        </is>
      </c>
      <c r="E245" t="inlineStr">
        <is>
          <t>MALUNG-SÄLEN</t>
        </is>
      </c>
      <c r="F245" t="inlineStr">
        <is>
          <t>Allmännings- och besparingsskogar</t>
        </is>
      </c>
      <c r="G245" t="n">
        <v>25.2</v>
      </c>
      <c r="H245" t="n">
        <v>0</v>
      </c>
      <c r="I245" t="n">
        <v>0</v>
      </c>
      <c r="J245" t="n">
        <v>0</v>
      </c>
      <c r="K245" t="n">
        <v>0</v>
      </c>
      <c r="L245" t="n">
        <v>0</v>
      </c>
      <c r="M245" t="n">
        <v>0</v>
      </c>
      <c r="N245" t="n">
        <v>0</v>
      </c>
      <c r="O245" t="n">
        <v>0</v>
      </c>
      <c r="P245" t="n">
        <v>0</v>
      </c>
      <c r="Q245" t="n">
        <v>0</v>
      </c>
      <c r="R245" s="2" t="inlineStr"/>
    </row>
    <row r="246" ht="15" customHeight="1">
      <c r="A246" t="inlineStr">
        <is>
          <t>A 58821-2020</t>
        </is>
      </c>
      <c r="B246" s="1" t="n">
        <v>44146</v>
      </c>
      <c r="C246" s="1" t="n">
        <v>45841</v>
      </c>
      <c r="D246" t="inlineStr">
        <is>
          <t>DALARNAS LÄN</t>
        </is>
      </c>
      <c r="E246" t="inlineStr">
        <is>
          <t>MALUNG-SÄLEN</t>
        </is>
      </c>
      <c r="G246" t="n">
        <v>0.3</v>
      </c>
      <c r="H246" t="n">
        <v>0</v>
      </c>
      <c r="I246" t="n">
        <v>0</v>
      </c>
      <c r="J246" t="n">
        <v>0</v>
      </c>
      <c r="K246" t="n">
        <v>0</v>
      </c>
      <c r="L246" t="n">
        <v>0</v>
      </c>
      <c r="M246" t="n">
        <v>0</v>
      </c>
      <c r="N246" t="n">
        <v>0</v>
      </c>
      <c r="O246" t="n">
        <v>0</v>
      </c>
      <c r="P246" t="n">
        <v>0</v>
      </c>
      <c r="Q246" t="n">
        <v>0</v>
      </c>
      <c r="R246" s="2" t="inlineStr"/>
    </row>
    <row r="247" ht="15" customHeight="1">
      <c r="A247" t="inlineStr">
        <is>
          <t>A 59345-2020</t>
        </is>
      </c>
      <c r="B247" s="1" t="n">
        <v>44148</v>
      </c>
      <c r="C247" s="1" t="n">
        <v>45841</v>
      </c>
      <c r="D247" t="inlineStr">
        <is>
          <t>DALARNAS LÄN</t>
        </is>
      </c>
      <c r="E247" t="inlineStr">
        <is>
          <t>MALUNG-SÄLEN</t>
        </is>
      </c>
      <c r="G247" t="n">
        <v>2.2</v>
      </c>
      <c r="H247" t="n">
        <v>0</v>
      </c>
      <c r="I247" t="n">
        <v>0</v>
      </c>
      <c r="J247" t="n">
        <v>0</v>
      </c>
      <c r="K247" t="n">
        <v>0</v>
      </c>
      <c r="L247" t="n">
        <v>0</v>
      </c>
      <c r="M247" t="n">
        <v>0</v>
      </c>
      <c r="N247" t="n">
        <v>0</v>
      </c>
      <c r="O247" t="n">
        <v>0</v>
      </c>
      <c r="P247" t="n">
        <v>0</v>
      </c>
      <c r="Q247" t="n">
        <v>0</v>
      </c>
      <c r="R247" s="2" t="inlineStr"/>
    </row>
    <row r="248" ht="15" customHeight="1">
      <c r="A248" t="inlineStr">
        <is>
          <t>A 59612-2020</t>
        </is>
      </c>
      <c r="B248" s="1" t="n">
        <v>44149</v>
      </c>
      <c r="C248" s="1" t="n">
        <v>45841</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60903-2020</t>
        </is>
      </c>
      <c r="B249" s="1" t="n">
        <v>44153</v>
      </c>
      <c r="C249" s="1" t="n">
        <v>45841</v>
      </c>
      <c r="D249" t="inlineStr">
        <is>
          <t>DALARNAS LÄN</t>
        </is>
      </c>
      <c r="E249" t="inlineStr">
        <is>
          <t>MALUNG-SÄLEN</t>
        </is>
      </c>
      <c r="G249" t="n">
        <v>1.9</v>
      </c>
      <c r="H249" t="n">
        <v>0</v>
      </c>
      <c r="I249" t="n">
        <v>0</v>
      </c>
      <c r="J249" t="n">
        <v>0</v>
      </c>
      <c r="K249" t="n">
        <v>0</v>
      </c>
      <c r="L249" t="n">
        <v>0</v>
      </c>
      <c r="M249" t="n">
        <v>0</v>
      </c>
      <c r="N249" t="n">
        <v>0</v>
      </c>
      <c r="O249" t="n">
        <v>0</v>
      </c>
      <c r="P249" t="n">
        <v>0</v>
      </c>
      <c r="Q249" t="n">
        <v>0</v>
      </c>
      <c r="R249" s="2" t="inlineStr"/>
    </row>
    <row r="250" ht="15" customHeight="1">
      <c r="A250" t="inlineStr">
        <is>
          <t>A 60818-2020</t>
        </is>
      </c>
      <c r="B250" s="1" t="n">
        <v>44154</v>
      </c>
      <c r="C250" s="1" t="n">
        <v>45841</v>
      </c>
      <c r="D250" t="inlineStr">
        <is>
          <t>DALARNAS LÄN</t>
        </is>
      </c>
      <c r="E250" t="inlineStr">
        <is>
          <t>MALUNG-SÄLEN</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63352-2020</t>
        </is>
      </c>
      <c r="B251" s="1" t="n">
        <v>44165</v>
      </c>
      <c r="C251" s="1" t="n">
        <v>45841</v>
      </c>
      <c r="D251" t="inlineStr">
        <is>
          <t>DALARNAS LÄN</t>
        </is>
      </c>
      <c r="E251" t="inlineStr">
        <is>
          <t>MALUNG-SÄLEN</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63508-2020</t>
        </is>
      </c>
      <c r="B252" s="1" t="n">
        <v>44165</v>
      </c>
      <c r="C252" s="1" t="n">
        <v>45841</v>
      </c>
      <c r="D252" t="inlineStr">
        <is>
          <t>DALARNAS LÄN</t>
        </is>
      </c>
      <c r="E252" t="inlineStr">
        <is>
          <t>MALUNG-SÄLEN</t>
        </is>
      </c>
      <c r="G252" t="n">
        <v>2</v>
      </c>
      <c r="H252" t="n">
        <v>0</v>
      </c>
      <c r="I252" t="n">
        <v>0</v>
      </c>
      <c r="J252" t="n">
        <v>0</v>
      </c>
      <c r="K252" t="n">
        <v>0</v>
      </c>
      <c r="L252" t="n">
        <v>0</v>
      </c>
      <c r="M252" t="n">
        <v>0</v>
      </c>
      <c r="N252" t="n">
        <v>0</v>
      </c>
      <c r="O252" t="n">
        <v>0</v>
      </c>
      <c r="P252" t="n">
        <v>0</v>
      </c>
      <c r="Q252" t="n">
        <v>0</v>
      </c>
      <c r="R252" s="2" t="inlineStr"/>
    </row>
    <row r="253" ht="15" customHeight="1">
      <c r="A253" t="inlineStr">
        <is>
          <t>A 63903-2020</t>
        </is>
      </c>
      <c r="B253" s="1" t="n">
        <v>44166</v>
      </c>
      <c r="C253" s="1" t="n">
        <v>45841</v>
      </c>
      <c r="D253" t="inlineStr">
        <is>
          <t>DALARNAS LÄN</t>
        </is>
      </c>
      <c r="E253" t="inlineStr">
        <is>
          <t>MALUNG-SÄLEN</t>
        </is>
      </c>
      <c r="G253" t="n">
        <v>1.3</v>
      </c>
      <c r="H253" t="n">
        <v>0</v>
      </c>
      <c r="I253" t="n">
        <v>0</v>
      </c>
      <c r="J253" t="n">
        <v>0</v>
      </c>
      <c r="K253" t="n">
        <v>0</v>
      </c>
      <c r="L253" t="n">
        <v>0</v>
      </c>
      <c r="M253" t="n">
        <v>0</v>
      </c>
      <c r="N253" t="n">
        <v>0</v>
      </c>
      <c r="O253" t="n">
        <v>0</v>
      </c>
      <c r="P253" t="n">
        <v>0</v>
      </c>
      <c r="Q253" t="n">
        <v>0</v>
      </c>
      <c r="R253" s="2" t="inlineStr"/>
    </row>
    <row r="254" ht="15" customHeight="1">
      <c r="A254" t="inlineStr">
        <is>
          <t>A 63896-2020</t>
        </is>
      </c>
      <c r="B254" s="1" t="n">
        <v>44166</v>
      </c>
      <c r="C254" s="1" t="n">
        <v>45841</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63890-2020</t>
        </is>
      </c>
      <c r="B255" s="1" t="n">
        <v>44166</v>
      </c>
      <c r="C255" s="1" t="n">
        <v>45841</v>
      </c>
      <c r="D255" t="inlineStr">
        <is>
          <t>DALARNAS LÄN</t>
        </is>
      </c>
      <c r="E255" t="inlineStr">
        <is>
          <t>MALUNG-SÄLEN</t>
        </is>
      </c>
      <c r="G255" t="n">
        <v>2.7</v>
      </c>
      <c r="H255" t="n">
        <v>0</v>
      </c>
      <c r="I255" t="n">
        <v>0</v>
      </c>
      <c r="J255" t="n">
        <v>0</v>
      </c>
      <c r="K255" t="n">
        <v>0</v>
      </c>
      <c r="L255" t="n">
        <v>0</v>
      </c>
      <c r="M255" t="n">
        <v>0</v>
      </c>
      <c r="N255" t="n">
        <v>0</v>
      </c>
      <c r="O255" t="n">
        <v>0</v>
      </c>
      <c r="P255" t="n">
        <v>0</v>
      </c>
      <c r="Q255" t="n">
        <v>0</v>
      </c>
      <c r="R255" s="2" t="inlineStr"/>
    </row>
    <row r="256" ht="15" customHeight="1">
      <c r="A256" t="inlineStr">
        <is>
          <t>A 66163-2020</t>
        </is>
      </c>
      <c r="B256" s="1" t="n">
        <v>44175</v>
      </c>
      <c r="C256" s="1" t="n">
        <v>45841</v>
      </c>
      <c r="D256" t="inlineStr">
        <is>
          <t>DALARNAS LÄN</t>
        </is>
      </c>
      <c r="E256" t="inlineStr">
        <is>
          <t>MALUNG-SÄLEN</t>
        </is>
      </c>
      <c r="G256" t="n">
        <v>3.3</v>
      </c>
      <c r="H256" t="n">
        <v>0</v>
      </c>
      <c r="I256" t="n">
        <v>0</v>
      </c>
      <c r="J256" t="n">
        <v>0</v>
      </c>
      <c r="K256" t="n">
        <v>0</v>
      </c>
      <c r="L256" t="n">
        <v>0</v>
      </c>
      <c r="M256" t="n">
        <v>0</v>
      </c>
      <c r="N256" t="n">
        <v>0</v>
      </c>
      <c r="O256" t="n">
        <v>0</v>
      </c>
      <c r="P256" t="n">
        <v>0</v>
      </c>
      <c r="Q256" t="n">
        <v>0</v>
      </c>
      <c r="R256" s="2" t="inlineStr"/>
    </row>
    <row r="257" ht="15" customHeight="1">
      <c r="A257" t="inlineStr">
        <is>
          <t>A 67774-2020</t>
        </is>
      </c>
      <c r="B257" s="1" t="n">
        <v>44182</v>
      </c>
      <c r="C257" s="1" t="n">
        <v>45841</v>
      </c>
      <c r="D257" t="inlineStr">
        <is>
          <t>DALARNAS LÄN</t>
        </is>
      </c>
      <c r="E257" t="inlineStr">
        <is>
          <t>MALUNG-SÄLEN</t>
        </is>
      </c>
      <c r="F257" t="inlineStr">
        <is>
          <t>Bergvik skog öst AB</t>
        </is>
      </c>
      <c r="G257" t="n">
        <v>4.9</v>
      </c>
      <c r="H257" t="n">
        <v>0</v>
      </c>
      <c r="I257" t="n">
        <v>0</v>
      </c>
      <c r="J257" t="n">
        <v>0</v>
      </c>
      <c r="K257" t="n">
        <v>0</v>
      </c>
      <c r="L257" t="n">
        <v>0</v>
      </c>
      <c r="M257" t="n">
        <v>0</v>
      </c>
      <c r="N257" t="n">
        <v>0</v>
      </c>
      <c r="O257" t="n">
        <v>0</v>
      </c>
      <c r="P257" t="n">
        <v>0</v>
      </c>
      <c r="Q257" t="n">
        <v>0</v>
      </c>
      <c r="R257" s="2" t="inlineStr"/>
    </row>
    <row r="258" ht="15" customHeight="1">
      <c r="A258" t="inlineStr">
        <is>
          <t>A 68150-2020</t>
        </is>
      </c>
      <c r="B258" s="1" t="n">
        <v>44183</v>
      </c>
      <c r="C258" s="1" t="n">
        <v>45841</v>
      </c>
      <c r="D258" t="inlineStr">
        <is>
          <t>DALARNAS LÄN</t>
        </is>
      </c>
      <c r="E258" t="inlineStr">
        <is>
          <t>MALUNG-SÄLEN</t>
        </is>
      </c>
      <c r="G258" t="n">
        <v>4.1</v>
      </c>
      <c r="H258" t="n">
        <v>0</v>
      </c>
      <c r="I258" t="n">
        <v>0</v>
      </c>
      <c r="J258" t="n">
        <v>0</v>
      </c>
      <c r="K258" t="n">
        <v>0</v>
      </c>
      <c r="L258" t="n">
        <v>0</v>
      </c>
      <c r="M258" t="n">
        <v>0</v>
      </c>
      <c r="N258" t="n">
        <v>0</v>
      </c>
      <c r="O258" t="n">
        <v>0</v>
      </c>
      <c r="P258" t="n">
        <v>0</v>
      </c>
      <c r="Q258" t="n">
        <v>0</v>
      </c>
      <c r="R258" s="2" t="inlineStr"/>
    </row>
    <row r="259" ht="15" customHeight="1">
      <c r="A259" t="inlineStr">
        <is>
          <t>A 68326-2020</t>
        </is>
      </c>
      <c r="B259" s="1" t="n">
        <v>44185</v>
      </c>
      <c r="C259" s="1" t="n">
        <v>45841</v>
      </c>
      <c r="D259" t="inlineStr">
        <is>
          <t>DALARNAS LÄN</t>
        </is>
      </c>
      <c r="E259" t="inlineStr">
        <is>
          <t>MALUNG-SÄLEN</t>
        </is>
      </c>
      <c r="G259" t="n">
        <v>2.3</v>
      </c>
      <c r="H259" t="n">
        <v>0</v>
      </c>
      <c r="I259" t="n">
        <v>0</v>
      </c>
      <c r="J259" t="n">
        <v>0</v>
      </c>
      <c r="K259" t="n">
        <v>0</v>
      </c>
      <c r="L259" t="n">
        <v>0</v>
      </c>
      <c r="M259" t="n">
        <v>0</v>
      </c>
      <c r="N259" t="n">
        <v>0</v>
      </c>
      <c r="O259" t="n">
        <v>0</v>
      </c>
      <c r="P259" t="n">
        <v>0</v>
      </c>
      <c r="Q259" t="n">
        <v>0</v>
      </c>
      <c r="R259" s="2" t="inlineStr"/>
    </row>
    <row r="260" ht="15" customHeight="1">
      <c r="A260" t="inlineStr">
        <is>
          <t>A 68323-2020</t>
        </is>
      </c>
      <c r="B260" s="1" t="n">
        <v>44185</v>
      </c>
      <c r="C260" s="1" t="n">
        <v>45841</v>
      </c>
      <c r="D260" t="inlineStr">
        <is>
          <t>DALARNAS LÄN</t>
        </is>
      </c>
      <c r="E260" t="inlineStr">
        <is>
          <t>MALUNG-SÄLEN</t>
        </is>
      </c>
      <c r="G260" t="n">
        <v>2.6</v>
      </c>
      <c r="H260" t="n">
        <v>0</v>
      </c>
      <c r="I260" t="n">
        <v>0</v>
      </c>
      <c r="J260" t="n">
        <v>0</v>
      </c>
      <c r="K260" t="n">
        <v>0</v>
      </c>
      <c r="L260" t="n">
        <v>0</v>
      </c>
      <c r="M260" t="n">
        <v>0</v>
      </c>
      <c r="N260" t="n">
        <v>0</v>
      </c>
      <c r="O260" t="n">
        <v>0</v>
      </c>
      <c r="P260" t="n">
        <v>0</v>
      </c>
      <c r="Q260" t="n">
        <v>0</v>
      </c>
      <c r="R260" s="2" t="inlineStr"/>
    </row>
    <row r="261" ht="15" customHeight="1">
      <c r="A261" t="inlineStr">
        <is>
          <t>A 68325-2020</t>
        </is>
      </c>
      <c r="B261" s="1" t="n">
        <v>44185</v>
      </c>
      <c r="C261" s="1" t="n">
        <v>45841</v>
      </c>
      <c r="D261" t="inlineStr">
        <is>
          <t>DALARNAS LÄN</t>
        </is>
      </c>
      <c r="E261" t="inlineStr">
        <is>
          <t>MALUNG-SÄLEN</t>
        </is>
      </c>
      <c r="G261" t="n">
        <v>1.4</v>
      </c>
      <c r="H261" t="n">
        <v>0</v>
      </c>
      <c r="I261" t="n">
        <v>0</v>
      </c>
      <c r="J261" t="n">
        <v>0</v>
      </c>
      <c r="K261" t="n">
        <v>0</v>
      </c>
      <c r="L261" t="n">
        <v>0</v>
      </c>
      <c r="M261" t="n">
        <v>0</v>
      </c>
      <c r="N261" t="n">
        <v>0</v>
      </c>
      <c r="O261" t="n">
        <v>0</v>
      </c>
      <c r="P261" t="n">
        <v>0</v>
      </c>
      <c r="Q261" t="n">
        <v>0</v>
      </c>
      <c r="R261" s="2" t="inlineStr"/>
    </row>
    <row r="262" ht="15" customHeight="1">
      <c r="A262" t="inlineStr">
        <is>
          <t>A 68324-2020</t>
        </is>
      </c>
      <c r="B262" s="1" t="n">
        <v>44185</v>
      </c>
      <c r="C262" s="1" t="n">
        <v>45841</v>
      </c>
      <c r="D262" t="inlineStr">
        <is>
          <t>DALARNAS LÄN</t>
        </is>
      </c>
      <c r="E262" t="inlineStr">
        <is>
          <t>MALUNG-SÄLEN</t>
        </is>
      </c>
      <c r="G262" t="n">
        <v>3.2</v>
      </c>
      <c r="H262" t="n">
        <v>0</v>
      </c>
      <c r="I262" t="n">
        <v>0</v>
      </c>
      <c r="J262" t="n">
        <v>0</v>
      </c>
      <c r="K262" t="n">
        <v>0</v>
      </c>
      <c r="L262" t="n">
        <v>0</v>
      </c>
      <c r="M262" t="n">
        <v>0</v>
      </c>
      <c r="N262" t="n">
        <v>0</v>
      </c>
      <c r="O262" t="n">
        <v>0</v>
      </c>
      <c r="P262" t="n">
        <v>0</v>
      </c>
      <c r="Q262" t="n">
        <v>0</v>
      </c>
      <c r="R262" s="2" t="inlineStr"/>
    </row>
    <row r="263" ht="15" customHeight="1">
      <c r="A263" t="inlineStr">
        <is>
          <t>A 69555-2020</t>
        </is>
      </c>
      <c r="B263" s="1" t="n">
        <v>44194</v>
      </c>
      <c r="C263" s="1" t="n">
        <v>45841</v>
      </c>
      <c r="D263" t="inlineStr">
        <is>
          <t>DALARNAS LÄN</t>
        </is>
      </c>
      <c r="E263" t="inlineStr">
        <is>
          <t>MALUNG-SÄLEN</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185-2021</t>
        </is>
      </c>
      <c r="B264" s="1" t="n">
        <v>44200</v>
      </c>
      <c r="C264" s="1" t="n">
        <v>45841</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283-2021</t>
        </is>
      </c>
      <c r="B265" s="1" t="n">
        <v>44201</v>
      </c>
      <c r="C265" s="1" t="n">
        <v>45841</v>
      </c>
      <c r="D265" t="inlineStr">
        <is>
          <t>DALARNAS LÄN</t>
        </is>
      </c>
      <c r="E265" t="inlineStr">
        <is>
          <t>MALUNG-SÄLEN</t>
        </is>
      </c>
      <c r="G265" t="n">
        <v>4.8</v>
      </c>
      <c r="H265" t="n">
        <v>0</v>
      </c>
      <c r="I265" t="n">
        <v>0</v>
      </c>
      <c r="J265" t="n">
        <v>0</v>
      </c>
      <c r="K265" t="n">
        <v>0</v>
      </c>
      <c r="L265" t="n">
        <v>0</v>
      </c>
      <c r="M265" t="n">
        <v>0</v>
      </c>
      <c r="N265" t="n">
        <v>0</v>
      </c>
      <c r="O265" t="n">
        <v>0</v>
      </c>
      <c r="P265" t="n">
        <v>0</v>
      </c>
      <c r="Q265" t="n">
        <v>0</v>
      </c>
      <c r="R265" s="2" t="inlineStr"/>
    </row>
    <row r="266" ht="15" customHeight="1">
      <c r="A266" t="inlineStr">
        <is>
          <t>A 560-2021</t>
        </is>
      </c>
      <c r="B266" s="1" t="n">
        <v>44203</v>
      </c>
      <c r="C266" s="1" t="n">
        <v>45841</v>
      </c>
      <c r="D266" t="inlineStr">
        <is>
          <t>DALARNAS LÄN</t>
        </is>
      </c>
      <c r="E266" t="inlineStr">
        <is>
          <t>MALUNG-SÄLEN</t>
        </is>
      </c>
      <c r="G266" t="n">
        <v>5.8</v>
      </c>
      <c r="H266" t="n">
        <v>0</v>
      </c>
      <c r="I266" t="n">
        <v>0</v>
      </c>
      <c r="J266" t="n">
        <v>0</v>
      </c>
      <c r="K266" t="n">
        <v>0</v>
      </c>
      <c r="L266" t="n">
        <v>0</v>
      </c>
      <c r="M266" t="n">
        <v>0</v>
      </c>
      <c r="N266" t="n">
        <v>0</v>
      </c>
      <c r="O266" t="n">
        <v>0</v>
      </c>
      <c r="P266" t="n">
        <v>0</v>
      </c>
      <c r="Q266" t="n">
        <v>0</v>
      </c>
      <c r="R266" s="2" t="inlineStr"/>
    </row>
    <row r="267" ht="15" customHeight="1">
      <c r="A267" t="inlineStr">
        <is>
          <t>A 1286-2021</t>
        </is>
      </c>
      <c r="B267" s="1" t="n">
        <v>44208</v>
      </c>
      <c r="C267" s="1" t="n">
        <v>45841</v>
      </c>
      <c r="D267" t="inlineStr">
        <is>
          <t>DALARNAS LÄN</t>
        </is>
      </c>
      <c r="E267" t="inlineStr">
        <is>
          <t>MALUNG-SÄLEN</t>
        </is>
      </c>
      <c r="G267" t="n">
        <v>7.7</v>
      </c>
      <c r="H267" t="n">
        <v>0</v>
      </c>
      <c r="I267" t="n">
        <v>0</v>
      </c>
      <c r="J267" t="n">
        <v>0</v>
      </c>
      <c r="K267" t="n">
        <v>0</v>
      </c>
      <c r="L267" t="n">
        <v>0</v>
      </c>
      <c r="M267" t="n">
        <v>0</v>
      </c>
      <c r="N267" t="n">
        <v>0</v>
      </c>
      <c r="O267" t="n">
        <v>0</v>
      </c>
      <c r="P267" t="n">
        <v>0</v>
      </c>
      <c r="Q267" t="n">
        <v>0</v>
      </c>
      <c r="R267" s="2" t="inlineStr"/>
    </row>
    <row r="268" ht="15" customHeight="1">
      <c r="A268" t="inlineStr">
        <is>
          <t>A 1837-2021</t>
        </is>
      </c>
      <c r="B268" s="1" t="n">
        <v>44210</v>
      </c>
      <c r="C268" s="1" t="n">
        <v>45841</v>
      </c>
      <c r="D268" t="inlineStr">
        <is>
          <t>DALARNAS LÄN</t>
        </is>
      </c>
      <c r="E268" t="inlineStr">
        <is>
          <t>MALUNG-SÄLEN</t>
        </is>
      </c>
      <c r="G268" t="n">
        <v>1.9</v>
      </c>
      <c r="H268" t="n">
        <v>0</v>
      </c>
      <c r="I268" t="n">
        <v>0</v>
      </c>
      <c r="J268" t="n">
        <v>0</v>
      </c>
      <c r="K268" t="n">
        <v>0</v>
      </c>
      <c r="L268" t="n">
        <v>0</v>
      </c>
      <c r="M268" t="n">
        <v>0</v>
      </c>
      <c r="N268" t="n">
        <v>0</v>
      </c>
      <c r="O268" t="n">
        <v>0</v>
      </c>
      <c r="P268" t="n">
        <v>0</v>
      </c>
      <c r="Q268" t="n">
        <v>0</v>
      </c>
      <c r="R268" s="2" t="inlineStr"/>
    </row>
    <row r="269" ht="15" customHeight="1">
      <c r="A269" t="inlineStr">
        <is>
          <t>A 2208-2021</t>
        </is>
      </c>
      <c r="B269" s="1" t="n">
        <v>44211</v>
      </c>
      <c r="C269" s="1" t="n">
        <v>45841</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2390-2021</t>
        </is>
      </c>
      <c r="B270" s="1" t="n">
        <v>44214</v>
      </c>
      <c r="C270" s="1" t="n">
        <v>45841</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2406-2021</t>
        </is>
      </c>
      <c r="B271" s="1" t="n">
        <v>44214</v>
      </c>
      <c r="C271" s="1" t="n">
        <v>45841</v>
      </c>
      <c r="D271" t="inlineStr">
        <is>
          <t>DALARNAS LÄN</t>
        </is>
      </c>
      <c r="E271" t="inlineStr">
        <is>
          <t>MALUNG-SÄLEN</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2391-2021</t>
        </is>
      </c>
      <c r="B272" s="1" t="n">
        <v>44214</v>
      </c>
      <c r="C272" s="1" t="n">
        <v>45841</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3132-2021</t>
        </is>
      </c>
      <c r="B273" s="1" t="n">
        <v>44217</v>
      </c>
      <c r="C273" s="1" t="n">
        <v>45841</v>
      </c>
      <c r="D273" t="inlineStr">
        <is>
          <t>DALARNAS LÄN</t>
        </is>
      </c>
      <c r="E273" t="inlineStr">
        <is>
          <t>MALUNG-SÄLEN</t>
        </is>
      </c>
      <c r="G273" t="n">
        <v>1</v>
      </c>
      <c r="H273" t="n">
        <v>0</v>
      </c>
      <c r="I273" t="n">
        <v>0</v>
      </c>
      <c r="J273" t="n">
        <v>0</v>
      </c>
      <c r="K273" t="n">
        <v>0</v>
      </c>
      <c r="L273" t="n">
        <v>0</v>
      </c>
      <c r="M273" t="n">
        <v>0</v>
      </c>
      <c r="N273" t="n">
        <v>0</v>
      </c>
      <c r="O273" t="n">
        <v>0</v>
      </c>
      <c r="P273" t="n">
        <v>0</v>
      </c>
      <c r="Q273" t="n">
        <v>0</v>
      </c>
      <c r="R273" s="2" t="inlineStr"/>
    </row>
    <row r="274" ht="15" customHeight="1">
      <c r="A274" t="inlineStr">
        <is>
          <t>A 3941-2021</t>
        </is>
      </c>
      <c r="B274" s="1" t="n">
        <v>44222</v>
      </c>
      <c r="C274" s="1" t="n">
        <v>45841</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4030-2021</t>
        </is>
      </c>
      <c r="B275" s="1" t="n">
        <v>44222</v>
      </c>
      <c r="C275" s="1" t="n">
        <v>45841</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4525-2021</t>
        </is>
      </c>
      <c r="B276" s="1" t="n">
        <v>44224</v>
      </c>
      <c r="C276" s="1" t="n">
        <v>45841</v>
      </c>
      <c r="D276" t="inlineStr">
        <is>
          <t>DALARNAS LÄN</t>
        </is>
      </c>
      <c r="E276" t="inlineStr">
        <is>
          <t>MALUNG-SÄLEN</t>
        </is>
      </c>
      <c r="G276" t="n">
        <v>5.3</v>
      </c>
      <c r="H276" t="n">
        <v>0</v>
      </c>
      <c r="I276" t="n">
        <v>0</v>
      </c>
      <c r="J276" t="n">
        <v>0</v>
      </c>
      <c r="K276" t="n">
        <v>0</v>
      </c>
      <c r="L276" t="n">
        <v>0</v>
      </c>
      <c r="M276" t="n">
        <v>0</v>
      </c>
      <c r="N276" t="n">
        <v>0</v>
      </c>
      <c r="O276" t="n">
        <v>0</v>
      </c>
      <c r="P276" t="n">
        <v>0</v>
      </c>
      <c r="Q276" t="n">
        <v>0</v>
      </c>
      <c r="R276" s="2" t="inlineStr"/>
    </row>
    <row r="277" ht="15" customHeight="1">
      <c r="A277" t="inlineStr">
        <is>
          <t>A 5215-2021</t>
        </is>
      </c>
      <c r="B277" s="1" t="n">
        <v>44229</v>
      </c>
      <c r="C277" s="1" t="n">
        <v>45841</v>
      </c>
      <c r="D277" t="inlineStr">
        <is>
          <t>DALARNAS LÄN</t>
        </is>
      </c>
      <c r="E277" t="inlineStr">
        <is>
          <t>MALUNG-SÄLEN</t>
        </is>
      </c>
      <c r="G277" t="n">
        <v>1.7</v>
      </c>
      <c r="H277" t="n">
        <v>0</v>
      </c>
      <c r="I277" t="n">
        <v>0</v>
      </c>
      <c r="J277" t="n">
        <v>0</v>
      </c>
      <c r="K277" t="n">
        <v>0</v>
      </c>
      <c r="L277" t="n">
        <v>0</v>
      </c>
      <c r="M277" t="n">
        <v>0</v>
      </c>
      <c r="N277" t="n">
        <v>0</v>
      </c>
      <c r="O277" t="n">
        <v>0</v>
      </c>
      <c r="P277" t="n">
        <v>0</v>
      </c>
      <c r="Q277" t="n">
        <v>0</v>
      </c>
      <c r="R277" s="2" t="inlineStr"/>
    </row>
    <row r="278" ht="15" customHeight="1">
      <c r="A278" t="inlineStr">
        <is>
          <t>A 6254-2021</t>
        </is>
      </c>
      <c r="B278" s="1" t="n">
        <v>44235</v>
      </c>
      <c r="C278" s="1" t="n">
        <v>45841</v>
      </c>
      <c r="D278" t="inlineStr">
        <is>
          <t>DALARNAS LÄN</t>
        </is>
      </c>
      <c r="E278" t="inlineStr">
        <is>
          <t>MALUNG-SÄLEN</t>
        </is>
      </c>
      <c r="G278" t="n">
        <v>0.8</v>
      </c>
      <c r="H278" t="n">
        <v>0</v>
      </c>
      <c r="I278" t="n">
        <v>0</v>
      </c>
      <c r="J278" t="n">
        <v>0</v>
      </c>
      <c r="K278" t="n">
        <v>0</v>
      </c>
      <c r="L278" t="n">
        <v>0</v>
      </c>
      <c r="M278" t="n">
        <v>0</v>
      </c>
      <c r="N278" t="n">
        <v>0</v>
      </c>
      <c r="O278" t="n">
        <v>0</v>
      </c>
      <c r="P278" t="n">
        <v>0</v>
      </c>
      <c r="Q278" t="n">
        <v>0</v>
      </c>
      <c r="R278" s="2" t="inlineStr"/>
    </row>
    <row r="279" ht="15" customHeight="1">
      <c r="A279" t="inlineStr">
        <is>
          <t>A 7859-2021</t>
        </is>
      </c>
      <c r="B279" s="1" t="n">
        <v>44242</v>
      </c>
      <c r="C279" s="1" t="n">
        <v>45841</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12376-2021</t>
        </is>
      </c>
      <c r="B280" s="1" t="n">
        <v>44267</v>
      </c>
      <c r="C280" s="1" t="n">
        <v>45841</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12375-2021</t>
        </is>
      </c>
      <c r="B281" s="1" t="n">
        <v>44267</v>
      </c>
      <c r="C281" s="1" t="n">
        <v>45841</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12985-2021</t>
        </is>
      </c>
      <c r="B282" s="1" t="n">
        <v>44271</v>
      </c>
      <c r="C282" s="1" t="n">
        <v>45841</v>
      </c>
      <c r="D282" t="inlineStr">
        <is>
          <t>DALARNAS LÄN</t>
        </is>
      </c>
      <c r="E282" t="inlineStr">
        <is>
          <t>MALUNG-SÄLEN</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13934-2021</t>
        </is>
      </c>
      <c r="B283" s="1" t="n">
        <v>44277</v>
      </c>
      <c r="C283" s="1" t="n">
        <v>45841</v>
      </c>
      <c r="D283" t="inlineStr">
        <is>
          <t>DALARNAS LÄN</t>
        </is>
      </c>
      <c r="E283" t="inlineStr">
        <is>
          <t>MALUNG-SÄLEN</t>
        </is>
      </c>
      <c r="G283" t="n">
        <v>0.6</v>
      </c>
      <c r="H283" t="n">
        <v>0</v>
      </c>
      <c r="I283" t="n">
        <v>0</v>
      </c>
      <c r="J283" t="n">
        <v>0</v>
      </c>
      <c r="K283" t="n">
        <v>0</v>
      </c>
      <c r="L283" t="n">
        <v>0</v>
      </c>
      <c r="M283" t="n">
        <v>0</v>
      </c>
      <c r="N283" t="n">
        <v>0</v>
      </c>
      <c r="O283" t="n">
        <v>0</v>
      </c>
      <c r="P283" t="n">
        <v>0</v>
      </c>
      <c r="Q283" t="n">
        <v>0</v>
      </c>
      <c r="R283" s="2" t="inlineStr"/>
    </row>
    <row r="284" ht="15" customHeight="1">
      <c r="A284" t="inlineStr">
        <is>
          <t>A 14035-2021</t>
        </is>
      </c>
      <c r="B284" s="1" t="n">
        <v>44277</v>
      </c>
      <c r="C284" s="1" t="n">
        <v>45841</v>
      </c>
      <c r="D284" t="inlineStr">
        <is>
          <t>DALARNAS LÄN</t>
        </is>
      </c>
      <c r="E284" t="inlineStr">
        <is>
          <t>MALUNG-SÄLEN</t>
        </is>
      </c>
      <c r="G284" t="n">
        <v>6.9</v>
      </c>
      <c r="H284" t="n">
        <v>0</v>
      </c>
      <c r="I284" t="n">
        <v>0</v>
      </c>
      <c r="J284" t="n">
        <v>0</v>
      </c>
      <c r="K284" t="n">
        <v>0</v>
      </c>
      <c r="L284" t="n">
        <v>0</v>
      </c>
      <c r="M284" t="n">
        <v>0</v>
      </c>
      <c r="N284" t="n">
        <v>0</v>
      </c>
      <c r="O284" t="n">
        <v>0</v>
      </c>
      <c r="P284" t="n">
        <v>0</v>
      </c>
      <c r="Q284" t="n">
        <v>0</v>
      </c>
      <c r="R284" s="2" t="inlineStr"/>
    </row>
    <row r="285" ht="15" customHeight="1">
      <c r="A285" t="inlineStr">
        <is>
          <t>A 15734-2021</t>
        </is>
      </c>
      <c r="B285" s="1" t="n">
        <v>44286</v>
      </c>
      <c r="C285" s="1" t="n">
        <v>45841</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17502-2021</t>
        </is>
      </c>
      <c r="B286" s="1" t="n">
        <v>44299</v>
      </c>
      <c r="C286" s="1" t="n">
        <v>45841</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17763-2021</t>
        </is>
      </c>
      <c r="B287" s="1" t="n">
        <v>44300</v>
      </c>
      <c r="C287" s="1" t="n">
        <v>45841</v>
      </c>
      <c r="D287" t="inlineStr">
        <is>
          <t>DALARNAS LÄN</t>
        </is>
      </c>
      <c r="E287" t="inlineStr">
        <is>
          <t>MALUNG-SÄLEN</t>
        </is>
      </c>
      <c r="G287" t="n">
        <v>3</v>
      </c>
      <c r="H287" t="n">
        <v>0</v>
      </c>
      <c r="I287" t="n">
        <v>0</v>
      </c>
      <c r="J287" t="n">
        <v>0</v>
      </c>
      <c r="K287" t="n">
        <v>0</v>
      </c>
      <c r="L287" t="n">
        <v>0</v>
      </c>
      <c r="M287" t="n">
        <v>0</v>
      </c>
      <c r="N287" t="n">
        <v>0</v>
      </c>
      <c r="O287" t="n">
        <v>0</v>
      </c>
      <c r="P287" t="n">
        <v>0</v>
      </c>
      <c r="Q287" t="n">
        <v>0</v>
      </c>
      <c r="R287" s="2" t="inlineStr"/>
    </row>
    <row r="288" ht="15" customHeight="1">
      <c r="A288" t="inlineStr">
        <is>
          <t>A 18637-2021</t>
        </is>
      </c>
      <c r="B288" s="1" t="n">
        <v>44306</v>
      </c>
      <c r="C288" s="1" t="n">
        <v>45841</v>
      </c>
      <c r="D288" t="inlineStr">
        <is>
          <t>DALARNAS LÄN</t>
        </is>
      </c>
      <c r="E288" t="inlineStr">
        <is>
          <t>MALUNG-SÄLEN</t>
        </is>
      </c>
      <c r="G288" t="n">
        <v>1.9</v>
      </c>
      <c r="H288" t="n">
        <v>0</v>
      </c>
      <c r="I288" t="n">
        <v>0</v>
      </c>
      <c r="J288" t="n">
        <v>0</v>
      </c>
      <c r="K288" t="n">
        <v>0</v>
      </c>
      <c r="L288" t="n">
        <v>0</v>
      </c>
      <c r="M288" t="n">
        <v>0</v>
      </c>
      <c r="N288" t="n">
        <v>0</v>
      </c>
      <c r="O288" t="n">
        <v>0</v>
      </c>
      <c r="P288" t="n">
        <v>0</v>
      </c>
      <c r="Q288" t="n">
        <v>0</v>
      </c>
      <c r="R288" s="2" t="inlineStr"/>
    </row>
    <row r="289" ht="15" customHeight="1">
      <c r="A289" t="inlineStr">
        <is>
          <t>A 19768-2021</t>
        </is>
      </c>
      <c r="B289" s="1" t="n">
        <v>44312</v>
      </c>
      <c r="C289" s="1" t="n">
        <v>45841</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19764-2021</t>
        </is>
      </c>
      <c r="B290" s="1" t="n">
        <v>44313</v>
      </c>
      <c r="C290" s="1" t="n">
        <v>45841</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19944-2021</t>
        </is>
      </c>
      <c r="B291" s="1" t="n">
        <v>44313</v>
      </c>
      <c r="C291" s="1" t="n">
        <v>45841</v>
      </c>
      <c r="D291" t="inlineStr">
        <is>
          <t>DALARNAS LÄN</t>
        </is>
      </c>
      <c r="E291" t="inlineStr">
        <is>
          <t>MALUNG-SÄLEN</t>
        </is>
      </c>
      <c r="G291" t="n">
        <v>10.7</v>
      </c>
      <c r="H291" t="n">
        <v>0</v>
      </c>
      <c r="I291" t="n">
        <v>0</v>
      </c>
      <c r="J291" t="n">
        <v>0</v>
      </c>
      <c r="K291" t="n">
        <v>0</v>
      </c>
      <c r="L291" t="n">
        <v>0</v>
      </c>
      <c r="M291" t="n">
        <v>0</v>
      </c>
      <c r="N291" t="n">
        <v>0</v>
      </c>
      <c r="O291" t="n">
        <v>0</v>
      </c>
      <c r="P291" t="n">
        <v>0</v>
      </c>
      <c r="Q291" t="n">
        <v>0</v>
      </c>
      <c r="R291" s="2" t="inlineStr"/>
    </row>
    <row r="292" ht="15" customHeight="1">
      <c r="A292" t="inlineStr">
        <is>
          <t>A 19924-2021</t>
        </is>
      </c>
      <c r="B292" s="1" t="n">
        <v>44313</v>
      </c>
      <c r="C292" s="1" t="n">
        <v>45841</v>
      </c>
      <c r="D292" t="inlineStr">
        <is>
          <t>DALARNAS LÄN</t>
        </is>
      </c>
      <c r="E292" t="inlineStr">
        <is>
          <t>MALUNG-SÄLEN</t>
        </is>
      </c>
      <c r="G292" t="n">
        <v>17.3</v>
      </c>
      <c r="H292" t="n">
        <v>0</v>
      </c>
      <c r="I292" t="n">
        <v>0</v>
      </c>
      <c r="J292" t="n">
        <v>0</v>
      </c>
      <c r="K292" t="n">
        <v>0</v>
      </c>
      <c r="L292" t="n">
        <v>0</v>
      </c>
      <c r="M292" t="n">
        <v>0</v>
      </c>
      <c r="N292" t="n">
        <v>0</v>
      </c>
      <c r="O292" t="n">
        <v>0</v>
      </c>
      <c r="P292" t="n">
        <v>0</v>
      </c>
      <c r="Q292" t="n">
        <v>0</v>
      </c>
      <c r="R292" s="2" t="inlineStr"/>
    </row>
    <row r="293" ht="15" customHeight="1">
      <c r="A293" t="inlineStr">
        <is>
          <t>A 20228-2021</t>
        </is>
      </c>
      <c r="B293" s="1" t="n">
        <v>44314</v>
      </c>
      <c r="C293" s="1" t="n">
        <v>45841</v>
      </c>
      <c r="D293" t="inlineStr">
        <is>
          <t>DALARNAS LÄN</t>
        </is>
      </c>
      <c r="E293" t="inlineStr">
        <is>
          <t>MALUNG-SÄLEN</t>
        </is>
      </c>
      <c r="G293" t="n">
        <v>2</v>
      </c>
      <c r="H293" t="n">
        <v>0</v>
      </c>
      <c r="I293" t="n">
        <v>0</v>
      </c>
      <c r="J293" t="n">
        <v>0</v>
      </c>
      <c r="K293" t="n">
        <v>0</v>
      </c>
      <c r="L293" t="n">
        <v>0</v>
      </c>
      <c r="M293" t="n">
        <v>0</v>
      </c>
      <c r="N293" t="n">
        <v>0</v>
      </c>
      <c r="O293" t="n">
        <v>0</v>
      </c>
      <c r="P293" t="n">
        <v>0</v>
      </c>
      <c r="Q293" t="n">
        <v>0</v>
      </c>
      <c r="R293" s="2" t="inlineStr"/>
    </row>
    <row r="294" ht="15" customHeight="1">
      <c r="A294" t="inlineStr">
        <is>
          <t>A 20427-2021</t>
        </is>
      </c>
      <c r="B294" s="1" t="n">
        <v>44315</v>
      </c>
      <c r="C294" s="1" t="n">
        <v>45841</v>
      </c>
      <c r="D294" t="inlineStr">
        <is>
          <t>DALARNAS LÄN</t>
        </is>
      </c>
      <c r="E294" t="inlineStr">
        <is>
          <t>MALUNG-SÄLEN</t>
        </is>
      </c>
      <c r="F294" t="inlineStr">
        <is>
          <t>Bergvik skog väst AB</t>
        </is>
      </c>
      <c r="G294" t="n">
        <v>13.1</v>
      </c>
      <c r="H294" t="n">
        <v>0</v>
      </c>
      <c r="I294" t="n">
        <v>0</v>
      </c>
      <c r="J294" t="n">
        <v>0</v>
      </c>
      <c r="K294" t="n">
        <v>0</v>
      </c>
      <c r="L294" t="n">
        <v>0</v>
      </c>
      <c r="M294" t="n">
        <v>0</v>
      </c>
      <c r="N294" t="n">
        <v>0</v>
      </c>
      <c r="O294" t="n">
        <v>0</v>
      </c>
      <c r="P294" t="n">
        <v>0</v>
      </c>
      <c r="Q294" t="n">
        <v>0</v>
      </c>
      <c r="R294" s="2" t="inlineStr"/>
    </row>
    <row r="295" ht="15" customHeight="1">
      <c r="A295" t="inlineStr">
        <is>
          <t>A 21011-2021</t>
        </is>
      </c>
      <c r="B295" s="1" t="n">
        <v>44319</v>
      </c>
      <c r="C295" s="1" t="n">
        <v>45841</v>
      </c>
      <c r="D295" t="inlineStr">
        <is>
          <t>DALARNAS LÄN</t>
        </is>
      </c>
      <c r="E295" t="inlineStr">
        <is>
          <t>MALUNG-SÄLEN</t>
        </is>
      </c>
      <c r="G295" t="n">
        <v>1.5</v>
      </c>
      <c r="H295" t="n">
        <v>0</v>
      </c>
      <c r="I295" t="n">
        <v>0</v>
      </c>
      <c r="J295" t="n">
        <v>0</v>
      </c>
      <c r="K295" t="n">
        <v>0</v>
      </c>
      <c r="L295" t="n">
        <v>0</v>
      </c>
      <c r="M295" t="n">
        <v>0</v>
      </c>
      <c r="N295" t="n">
        <v>0</v>
      </c>
      <c r="O295" t="n">
        <v>0</v>
      </c>
      <c r="P295" t="n">
        <v>0</v>
      </c>
      <c r="Q295" t="n">
        <v>0</v>
      </c>
      <c r="R295" s="2" t="inlineStr"/>
    </row>
    <row r="296" ht="15" customHeight="1">
      <c r="A296" t="inlineStr">
        <is>
          <t>A 21018-2021</t>
        </is>
      </c>
      <c r="B296" s="1" t="n">
        <v>44319</v>
      </c>
      <c r="C296" s="1" t="n">
        <v>45841</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21368-2021</t>
        </is>
      </c>
      <c r="B297" s="1" t="n">
        <v>44321</v>
      </c>
      <c r="C297" s="1" t="n">
        <v>45841</v>
      </c>
      <c r="D297" t="inlineStr">
        <is>
          <t>DALARNAS LÄN</t>
        </is>
      </c>
      <c r="E297" t="inlineStr">
        <is>
          <t>MALUNG-SÄLEN</t>
        </is>
      </c>
      <c r="G297" t="n">
        <v>6.2</v>
      </c>
      <c r="H297" t="n">
        <v>0</v>
      </c>
      <c r="I297" t="n">
        <v>0</v>
      </c>
      <c r="J297" t="n">
        <v>0</v>
      </c>
      <c r="K297" t="n">
        <v>0</v>
      </c>
      <c r="L297" t="n">
        <v>0</v>
      </c>
      <c r="M297" t="n">
        <v>0</v>
      </c>
      <c r="N297" t="n">
        <v>0</v>
      </c>
      <c r="O297" t="n">
        <v>0</v>
      </c>
      <c r="P297" t="n">
        <v>0</v>
      </c>
      <c r="Q297" t="n">
        <v>0</v>
      </c>
      <c r="R297" s="2" t="inlineStr"/>
    </row>
    <row r="298" ht="15" customHeight="1">
      <c r="A298" t="inlineStr">
        <is>
          <t>A 21566-2021</t>
        </is>
      </c>
      <c r="B298" s="1" t="n">
        <v>44321</v>
      </c>
      <c r="C298" s="1" t="n">
        <v>45841</v>
      </c>
      <c r="D298" t="inlineStr">
        <is>
          <t>DALARNAS LÄN</t>
        </is>
      </c>
      <c r="E298" t="inlineStr">
        <is>
          <t>MALUNG-SÄLEN</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22455-2021</t>
        </is>
      </c>
      <c r="B299" s="1" t="n">
        <v>44321</v>
      </c>
      <c r="C299" s="1" t="n">
        <v>45841</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22721-2021</t>
        </is>
      </c>
      <c r="B300" s="1" t="n">
        <v>44325</v>
      </c>
      <c r="C300" s="1" t="n">
        <v>45841</v>
      </c>
      <c r="D300" t="inlineStr">
        <is>
          <t>DALARNAS LÄN</t>
        </is>
      </c>
      <c r="E300" t="inlineStr">
        <is>
          <t>MALUNG-SÄLEN</t>
        </is>
      </c>
      <c r="G300" t="n">
        <v>0.2</v>
      </c>
      <c r="H300" t="n">
        <v>0</v>
      </c>
      <c r="I300" t="n">
        <v>0</v>
      </c>
      <c r="J300" t="n">
        <v>0</v>
      </c>
      <c r="K300" t="n">
        <v>0</v>
      </c>
      <c r="L300" t="n">
        <v>0</v>
      </c>
      <c r="M300" t="n">
        <v>0</v>
      </c>
      <c r="N300" t="n">
        <v>0</v>
      </c>
      <c r="O300" t="n">
        <v>0</v>
      </c>
      <c r="P300" t="n">
        <v>0</v>
      </c>
      <c r="Q300" t="n">
        <v>0</v>
      </c>
      <c r="R300" s="2" t="inlineStr"/>
    </row>
    <row r="301" ht="15" customHeight="1">
      <c r="A301" t="inlineStr">
        <is>
          <t>A 22329-2021</t>
        </is>
      </c>
      <c r="B301" s="1" t="n">
        <v>44326</v>
      </c>
      <c r="C301" s="1" t="n">
        <v>45841</v>
      </c>
      <c r="D301" t="inlineStr">
        <is>
          <t>DALARNAS LÄN</t>
        </is>
      </c>
      <c r="E301" t="inlineStr">
        <is>
          <t>MALUNG-SÄLEN</t>
        </is>
      </c>
      <c r="G301" t="n">
        <v>2.1</v>
      </c>
      <c r="H301" t="n">
        <v>0</v>
      </c>
      <c r="I301" t="n">
        <v>0</v>
      </c>
      <c r="J301" t="n">
        <v>0</v>
      </c>
      <c r="K301" t="n">
        <v>0</v>
      </c>
      <c r="L301" t="n">
        <v>0</v>
      </c>
      <c r="M301" t="n">
        <v>0</v>
      </c>
      <c r="N301" t="n">
        <v>0</v>
      </c>
      <c r="O301" t="n">
        <v>0</v>
      </c>
      <c r="P301" t="n">
        <v>0</v>
      </c>
      <c r="Q301" t="n">
        <v>0</v>
      </c>
      <c r="R301" s="2" t="inlineStr"/>
    </row>
    <row r="302" ht="15" customHeight="1">
      <c r="A302" t="inlineStr">
        <is>
          <t>A 22258-2021</t>
        </is>
      </c>
      <c r="B302" s="1" t="n">
        <v>44326</v>
      </c>
      <c r="C302" s="1" t="n">
        <v>45841</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22855-2021</t>
        </is>
      </c>
      <c r="B303" s="1" t="n">
        <v>44328</v>
      </c>
      <c r="C303" s="1" t="n">
        <v>45841</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23161-2021</t>
        </is>
      </c>
      <c r="B304" s="1" t="n">
        <v>44332</v>
      </c>
      <c r="C304" s="1" t="n">
        <v>45841</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23162-2021</t>
        </is>
      </c>
      <c r="B305" s="1" t="n">
        <v>44332</v>
      </c>
      <c r="C305" s="1" t="n">
        <v>45841</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23281-2021</t>
        </is>
      </c>
      <c r="B306" s="1" t="n">
        <v>44333</v>
      </c>
      <c r="C306" s="1" t="n">
        <v>45841</v>
      </c>
      <c r="D306" t="inlineStr">
        <is>
          <t>DALARNAS LÄN</t>
        </is>
      </c>
      <c r="E306" t="inlineStr">
        <is>
          <t>MALUNG-SÄLEN</t>
        </is>
      </c>
      <c r="G306" t="n">
        <v>2.9</v>
      </c>
      <c r="H306" t="n">
        <v>0</v>
      </c>
      <c r="I306" t="n">
        <v>0</v>
      </c>
      <c r="J306" t="n">
        <v>0</v>
      </c>
      <c r="K306" t="n">
        <v>0</v>
      </c>
      <c r="L306" t="n">
        <v>0</v>
      </c>
      <c r="M306" t="n">
        <v>0</v>
      </c>
      <c r="N306" t="n">
        <v>0</v>
      </c>
      <c r="O306" t="n">
        <v>0</v>
      </c>
      <c r="P306" t="n">
        <v>0</v>
      </c>
      <c r="Q306" t="n">
        <v>0</v>
      </c>
      <c r="R306" s="2" t="inlineStr"/>
    </row>
    <row r="307" ht="15" customHeight="1">
      <c r="A307" t="inlineStr">
        <is>
          <t>A 23953-2021</t>
        </is>
      </c>
      <c r="B307" s="1" t="n">
        <v>44335</v>
      </c>
      <c r="C307" s="1" t="n">
        <v>45841</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25285-2021</t>
        </is>
      </c>
      <c r="B308" s="1" t="n">
        <v>44342</v>
      </c>
      <c r="C308" s="1" t="n">
        <v>45841</v>
      </c>
      <c r="D308" t="inlineStr">
        <is>
          <t>DALARNAS LÄN</t>
        </is>
      </c>
      <c r="E308" t="inlineStr">
        <is>
          <t>MALUNG-SÄLEN</t>
        </is>
      </c>
      <c r="G308" t="n">
        <v>1.4</v>
      </c>
      <c r="H308" t="n">
        <v>0</v>
      </c>
      <c r="I308" t="n">
        <v>0</v>
      </c>
      <c r="J308" t="n">
        <v>0</v>
      </c>
      <c r="K308" t="n">
        <v>0</v>
      </c>
      <c r="L308" t="n">
        <v>0</v>
      </c>
      <c r="M308" t="n">
        <v>0</v>
      </c>
      <c r="N308" t="n">
        <v>0</v>
      </c>
      <c r="O308" t="n">
        <v>0</v>
      </c>
      <c r="P308" t="n">
        <v>0</v>
      </c>
      <c r="Q308" t="n">
        <v>0</v>
      </c>
      <c r="R308" s="2" t="inlineStr"/>
    </row>
    <row r="309" ht="15" customHeight="1">
      <c r="A309" t="inlineStr">
        <is>
          <t>A 26341-2021</t>
        </is>
      </c>
      <c r="B309" s="1" t="n">
        <v>44347</v>
      </c>
      <c r="C309" s="1" t="n">
        <v>45841</v>
      </c>
      <c r="D309" t="inlineStr">
        <is>
          <t>DALARNAS LÄN</t>
        </is>
      </c>
      <c r="E309" t="inlineStr">
        <is>
          <t>MALUNG-SÄLEN</t>
        </is>
      </c>
      <c r="G309" t="n">
        <v>2.4</v>
      </c>
      <c r="H309" t="n">
        <v>0</v>
      </c>
      <c r="I309" t="n">
        <v>0</v>
      </c>
      <c r="J309" t="n">
        <v>0</v>
      </c>
      <c r="K309" t="n">
        <v>0</v>
      </c>
      <c r="L309" t="n">
        <v>0</v>
      </c>
      <c r="M309" t="n">
        <v>0</v>
      </c>
      <c r="N309" t="n">
        <v>0</v>
      </c>
      <c r="O309" t="n">
        <v>0</v>
      </c>
      <c r="P309" t="n">
        <v>0</v>
      </c>
      <c r="Q309" t="n">
        <v>0</v>
      </c>
      <c r="R309" s="2" t="inlineStr"/>
    </row>
    <row r="310" ht="15" customHeight="1">
      <c r="A310" t="inlineStr">
        <is>
          <t>A 26568-2021</t>
        </is>
      </c>
      <c r="B310" s="1" t="n">
        <v>44348</v>
      </c>
      <c r="C310" s="1" t="n">
        <v>45841</v>
      </c>
      <c r="D310" t="inlineStr">
        <is>
          <t>DALARNAS LÄN</t>
        </is>
      </c>
      <c r="E310" t="inlineStr">
        <is>
          <t>MALUNG-SÄLEN</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26693-2021</t>
        </is>
      </c>
      <c r="B311" s="1" t="n">
        <v>44349</v>
      </c>
      <c r="C311" s="1" t="n">
        <v>45841</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27047-2021</t>
        </is>
      </c>
      <c r="B312" s="1" t="n">
        <v>44350</v>
      </c>
      <c r="C312" s="1" t="n">
        <v>45841</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27470-2021</t>
        </is>
      </c>
      <c r="B313" s="1" t="n">
        <v>44351</v>
      </c>
      <c r="C313" s="1" t="n">
        <v>45841</v>
      </c>
      <c r="D313" t="inlineStr">
        <is>
          <t>DALARNAS LÄN</t>
        </is>
      </c>
      <c r="E313" t="inlineStr">
        <is>
          <t>MALUNG-SÄLEN</t>
        </is>
      </c>
      <c r="F313" t="inlineStr">
        <is>
          <t>Allmännings- och besparingsskogar</t>
        </is>
      </c>
      <c r="G313" t="n">
        <v>14.8</v>
      </c>
      <c r="H313" t="n">
        <v>0</v>
      </c>
      <c r="I313" t="n">
        <v>0</v>
      </c>
      <c r="J313" t="n">
        <v>0</v>
      </c>
      <c r="K313" t="n">
        <v>0</v>
      </c>
      <c r="L313" t="n">
        <v>0</v>
      </c>
      <c r="M313" t="n">
        <v>0</v>
      </c>
      <c r="N313" t="n">
        <v>0</v>
      </c>
      <c r="O313" t="n">
        <v>0</v>
      </c>
      <c r="P313" t="n">
        <v>0</v>
      </c>
      <c r="Q313" t="n">
        <v>0</v>
      </c>
      <c r="R313" s="2" t="inlineStr"/>
    </row>
    <row r="314" ht="15" customHeight="1">
      <c r="A314" t="inlineStr">
        <is>
          <t>A 27302-2021</t>
        </is>
      </c>
      <c r="B314" s="1" t="n">
        <v>44351</v>
      </c>
      <c r="C314" s="1" t="n">
        <v>45841</v>
      </c>
      <c r="D314" t="inlineStr">
        <is>
          <t>DALARNAS LÄN</t>
        </is>
      </c>
      <c r="E314" t="inlineStr">
        <is>
          <t>MALUNG-SÄLEN</t>
        </is>
      </c>
      <c r="F314" t="inlineStr">
        <is>
          <t>Allmännings- och besparingsskogar</t>
        </is>
      </c>
      <c r="G314" t="n">
        <v>5.7</v>
      </c>
      <c r="H314" t="n">
        <v>0</v>
      </c>
      <c r="I314" t="n">
        <v>0</v>
      </c>
      <c r="J314" t="n">
        <v>0</v>
      </c>
      <c r="K314" t="n">
        <v>0</v>
      </c>
      <c r="L314" t="n">
        <v>0</v>
      </c>
      <c r="M314" t="n">
        <v>0</v>
      </c>
      <c r="N314" t="n">
        <v>0</v>
      </c>
      <c r="O314" t="n">
        <v>0</v>
      </c>
      <c r="P314" t="n">
        <v>0</v>
      </c>
      <c r="Q314" t="n">
        <v>0</v>
      </c>
      <c r="R314" s="2" t="inlineStr"/>
    </row>
    <row r="315" ht="15" customHeight="1">
      <c r="A315" t="inlineStr">
        <is>
          <t>A 27466-2021</t>
        </is>
      </c>
      <c r="B315" s="1" t="n">
        <v>44351</v>
      </c>
      <c r="C315" s="1" t="n">
        <v>45841</v>
      </c>
      <c r="D315" t="inlineStr">
        <is>
          <t>DALARNAS LÄN</t>
        </is>
      </c>
      <c r="E315" t="inlineStr">
        <is>
          <t>MALUNG-SÄLEN</t>
        </is>
      </c>
      <c r="G315" t="n">
        <v>1.8</v>
      </c>
      <c r="H315" t="n">
        <v>0</v>
      </c>
      <c r="I315" t="n">
        <v>0</v>
      </c>
      <c r="J315" t="n">
        <v>0</v>
      </c>
      <c r="K315" t="n">
        <v>0</v>
      </c>
      <c r="L315" t="n">
        <v>0</v>
      </c>
      <c r="M315" t="n">
        <v>0</v>
      </c>
      <c r="N315" t="n">
        <v>0</v>
      </c>
      <c r="O315" t="n">
        <v>0</v>
      </c>
      <c r="P315" t="n">
        <v>0</v>
      </c>
      <c r="Q315" t="n">
        <v>0</v>
      </c>
      <c r="R315" s="2" t="inlineStr"/>
    </row>
    <row r="316" ht="15" customHeight="1">
      <c r="A316" t="inlineStr">
        <is>
          <t>A 27656-2021</t>
        </is>
      </c>
      <c r="B316" s="1" t="n">
        <v>44354</v>
      </c>
      <c r="C316" s="1" t="n">
        <v>45841</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28204-2021</t>
        </is>
      </c>
      <c r="B317" s="1" t="n">
        <v>44355</v>
      </c>
      <c r="C317" s="1" t="n">
        <v>45841</v>
      </c>
      <c r="D317" t="inlineStr">
        <is>
          <t>DALARNAS LÄN</t>
        </is>
      </c>
      <c r="E317" t="inlineStr">
        <is>
          <t>MALUNG-SÄLEN</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28396-2021</t>
        </is>
      </c>
      <c r="B318" s="1" t="n">
        <v>44356</v>
      </c>
      <c r="C318" s="1" t="n">
        <v>45841</v>
      </c>
      <c r="D318" t="inlineStr">
        <is>
          <t>DALARNAS LÄN</t>
        </is>
      </c>
      <c r="E318" t="inlineStr">
        <is>
          <t>MALUNG-SÄLEN</t>
        </is>
      </c>
      <c r="G318" t="n">
        <v>0.6</v>
      </c>
      <c r="H318" t="n">
        <v>0</v>
      </c>
      <c r="I318" t="n">
        <v>0</v>
      </c>
      <c r="J318" t="n">
        <v>0</v>
      </c>
      <c r="K318" t="n">
        <v>0</v>
      </c>
      <c r="L318" t="n">
        <v>0</v>
      </c>
      <c r="M318" t="n">
        <v>0</v>
      </c>
      <c r="N318" t="n">
        <v>0</v>
      </c>
      <c r="O318" t="n">
        <v>0</v>
      </c>
      <c r="P318" t="n">
        <v>0</v>
      </c>
      <c r="Q318" t="n">
        <v>0</v>
      </c>
      <c r="R318" s="2" t="inlineStr"/>
    </row>
    <row r="319" ht="15" customHeight="1">
      <c r="A319" t="inlineStr">
        <is>
          <t>A 28415-2021</t>
        </is>
      </c>
      <c r="B319" s="1" t="n">
        <v>44356</v>
      </c>
      <c r="C319" s="1" t="n">
        <v>45841</v>
      </c>
      <c r="D319" t="inlineStr">
        <is>
          <t>DALARNAS LÄN</t>
        </is>
      </c>
      <c r="E319" t="inlineStr">
        <is>
          <t>MALUNG-SÄLEN</t>
        </is>
      </c>
      <c r="G319" t="n">
        <v>2</v>
      </c>
      <c r="H319" t="n">
        <v>0</v>
      </c>
      <c r="I319" t="n">
        <v>0</v>
      </c>
      <c r="J319" t="n">
        <v>0</v>
      </c>
      <c r="K319" t="n">
        <v>0</v>
      </c>
      <c r="L319" t="n">
        <v>0</v>
      </c>
      <c r="M319" t="n">
        <v>0</v>
      </c>
      <c r="N319" t="n">
        <v>0</v>
      </c>
      <c r="O319" t="n">
        <v>0</v>
      </c>
      <c r="P319" t="n">
        <v>0</v>
      </c>
      <c r="Q319" t="n">
        <v>0</v>
      </c>
      <c r="R319" s="2" t="inlineStr"/>
    </row>
    <row r="320" ht="15" customHeight="1">
      <c r="A320" t="inlineStr">
        <is>
          <t>A 30006-2021</t>
        </is>
      </c>
      <c r="B320" s="1" t="n">
        <v>44363</v>
      </c>
      <c r="C320" s="1" t="n">
        <v>45841</v>
      </c>
      <c r="D320" t="inlineStr">
        <is>
          <t>DALARNAS LÄN</t>
        </is>
      </c>
      <c r="E320" t="inlineStr">
        <is>
          <t>MALUNG-SÄLEN</t>
        </is>
      </c>
      <c r="G320" t="n">
        <v>1.2</v>
      </c>
      <c r="H320" t="n">
        <v>0</v>
      </c>
      <c r="I320" t="n">
        <v>0</v>
      </c>
      <c r="J320" t="n">
        <v>0</v>
      </c>
      <c r="K320" t="n">
        <v>0</v>
      </c>
      <c r="L320" t="n">
        <v>0</v>
      </c>
      <c r="M320" t="n">
        <v>0</v>
      </c>
      <c r="N320" t="n">
        <v>0</v>
      </c>
      <c r="O320" t="n">
        <v>0</v>
      </c>
      <c r="P320" t="n">
        <v>0</v>
      </c>
      <c r="Q320" t="n">
        <v>0</v>
      </c>
      <c r="R320" s="2" t="inlineStr"/>
    </row>
    <row r="321" ht="15" customHeight="1">
      <c r="A321" t="inlineStr">
        <is>
          <t>A 30140-2021</t>
        </is>
      </c>
      <c r="B321" s="1" t="n">
        <v>44363</v>
      </c>
      <c r="C321" s="1" t="n">
        <v>45841</v>
      </c>
      <c r="D321" t="inlineStr">
        <is>
          <t>DALARNAS LÄN</t>
        </is>
      </c>
      <c r="E321" t="inlineStr">
        <is>
          <t>MALUNG-SÄLEN</t>
        </is>
      </c>
      <c r="G321" t="n">
        <v>1.6</v>
      </c>
      <c r="H321" t="n">
        <v>0</v>
      </c>
      <c r="I321" t="n">
        <v>0</v>
      </c>
      <c r="J321" t="n">
        <v>0</v>
      </c>
      <c r="K321" t="n">
        <v>0</v>
      </c>
      <c r="L321" t="n">
        <v>0</v>
      </c>
      <c r="M321" t="n">
        <v>0</v>
      </c>
      <c r="N321" t="n">
        <v>0</v>
      </c>
      <c r="O321" t="n">
        <v>0</v>
      </c>
      <c r="P321" t="n">
        <v>0</v>
      </c>
      <c r="Q321" t="n">
        <v>0</v>
      </c>
      <c r="R321" s="2" t="inlineStr"/>
    </row>
    <row r="322" ht="15" customHeight="1">
      <c r="A322" t="inlineStr">
        <is>
          <t>A 30079-2021</t>
        </is>
      </c>
      <c r="B322" s="1" t="n">
        <v>44363</v>
      </c>
      <c r="C322" s="1" t="n">
        <v>45841</v>
      </c>
      <c r="D322" t="inlineStr">
        <is>
          <t>DALARNAS LÄN</t>
        </is>
      </c>
      <c r="E322" t="inlineStr">
        <is>
          <t>MALUNG-SÄLEN</t>
        </is>
      </c>
      <c r="G322" t="n">
        <v>4.9</v>
      </c>
      <c r="H322" t="n">
        <v>0</v>
      </c>
      <c r="I322" t="n">
        <v>0</v>
      </c>
      <c r="J322" t="n">
        <v>0</v>
      </c>
      <c r="K322" t="n">
        <v>0</v>
      </c>
      <c r="L322" t="n">
        <v>0</v>
      </c>
      <c r="M322" t="n">
        <v>0</v>
      </c>
      <c r="N322" t="n">
        <v>0</v>
      </c>
      <c r="O322" t="n">
        <v>0</v>
      </c>
      <c r="P322" t="n">
        <v>0</v>
      </c>
      <c r="Q322" t="n">
        <v>0</v>
      </c>
      <c r="R322" s="2" t="inlineStr"/>
    </row>
    <row r="323" ht="15" customHeight="1">
      <c r="A323" t="inlineStr">
        <is>
          <t>A 30405-2021</t>
        </is>
      </c>
      <c r="B323" s="1" t="n">
        <v>44364</v>
      </c>
      <c r="C323" s="1" t="n">
        <v>45841</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32548-2021</t>
        </is>
      </c>
      <c r="B324" s="1" t="n">
        <v>44375</v>
      </c>
      <c r="C324" s="1" t="n">
        <v>45841</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32869-2021</t>
        </is>
      </c>
      <c r="B325" s="1" t="n">
        <v>44375</v>
      </c>
      <c r="C325" s="1" t="n">
        <v>45841</v>
      </c>
      <c r="D325" t="inlineStr">
        <is>
          <t>DALARNAS LÄN</t>
        </is>
      </c>
      <c r="E325" t="inlineStr">
        <is>
          <t>MALUNG-SÄLEN</t>
        </is>
      </c>
      <c r="G325" t="n">
        <v>1.1</v>
      </c>
      <c r="H325" t="n">
        <v>0</v>
      </c>
      <c r="I325" t="n">
        <v>0</v>
      </c>
      <c r="J325" t="n">
        <v>0</v>
      </c>
      <c r="K325" t="n">
        <v>0</v>
      </c>
      <c r="L325" t="n">
        <v>0</v>
      </c>
      <c r="M325" t="n">
        <v>0</v>
      </c>
      <c r="N325" t="n">
        <v>0</v>
      </c>
      <c r="O325" t="n">
        <v>0</v>
      </c>
      <c r="P325" t="n">
        <v>0</v>
      </c>
      <c r="Q325" t="n">
        <v>0</v>
      </c>
      <c r="R325" s="2" t="inlineStr"/>
    </row>
    <row r="326" ht="15" customHeight="1">
      <c r="A326" t="inlineStr">
        <is>
          <t>A 32863-2021</t>
        </is>
      </c>
      <c r="B326" s="1" t="n">
        <v>44375</v>
      </c>
      <c r="C326" s="1" t="n">
        <v>45841</v>
      </c>
      <c r="D326" t="inlineStr">
        <is>
          <t>DALARNAS LÄN</t>
        </is>
      </c>
      <c r="E326" t="inlineStr">
        <is>
          <t>MALUNG-SÄLEN</t>
        </is>
      </c>
      <c r="G326" t="n">
        <v>3.5</v>
      </c>
      <c r="H326" t="n">
        <v>0</v>
      </c>
      <c r="I326" t="n">
        <v>0</v>
      </c>
      <c r="J326" t="n">
        <v>0</v>
      </c>
      <c r="K326" t="n">
        <v>0</v>
      </c>
      <c r="L326" t="n">
        <v>0</v>
      </c>
      <c r="M326" t="n">
        <v>0</v>
      </c>
      <c r="N326" t="n">
        <v>0</v>
      </c>
      <c r="O326" t="n">
        <v>0</v>
      </c>
      <c r="P326" t="n">
        <v>0</v>
      </c>
      <c r="Q326" t="n">
        <v>0</v>
      </c>
      <c r="R326" s="2" t="inlineStr"/>
    </row>
    <row r="327" ht="15" customHeight="1">
      <c r="A327" t="inlineStr">
        <is>
          <t>A 34091-2021</t>
        </is>
      </c>
      <c r="B327" s="1" t="n">
        <v>44379</v>
      </c>
      <c r="C327" s="1" t="n">
        <v>45841</v>
      </c>
      <c r="D327" t="inlineStr">
        <is>
          <t>DALARNAS LÄN</t>
        </is>
      </c>
      <c r="E327" t="inlineStr">
        <is>
          <t>MALUNG-SÄLEN</t>
        </is>
      </c>
      <c r="G327" t="n">
        <v>3.7</v>
      </c>
      <c r="H327" t="n">
        <v>0</v>
      </c>
      <c r="I327" t="n">
        <v>0</v>
      </c>
      <c r="J327" t="n">
        <v>0</v>
      </c>
      <c r="K327" t="n">
        <v>0</v>
      </c>
      <c r="L327" t="n">
        <v>0</v>
      </c>
      <c r="M327" t="n">
        <v>0</v>
      </c>
      <c r="N327" t="n">
        <v>0</v>
      </c>
      <c r="O327" t="n">
        <v>0</v>
      </c>
      <c r="P327" t="n">
        <v>0</v>
      </c>
      <c r="Q327" t="n">
        <v>0</v>
      </c>
      <c r="R327" s="2" t="inlineStr"/>
    </row>
    <row r="328" ht="15" customHeight="1">
      <c r="A328" t="inlineStr">
        <is>
          <t>A 35217-2021</t>
        </is>
      </c>
      <c r="B328" s="1" t="n">
        <v>44384</v>
      </c>
      <c r="C328" s="1" t="n">
        <v>45841</v>
      </c>
      <c r="D328" t="inlineStr">
        <is>
          <t>DALARNAS LÄN</t>
        </is>
      </c>
      <c r="E328" t="inlineStr">
        <is>
          <t>MALUNG-SÄLEN</t>
        </is>
      </c>
      <c r="G328" t="n">
        <v>0.8</v>
      </c>
      <c r="H328" t="n">
        <v>0</v>
      </c>
      <c r="I328" t="n">
        <v>0</v>
      </c>
      <c r="J328" t="n">
        <v>0</v>
      </c>
      <c r="K328" t="n">
        <v>0</v>
      </c>
      <c r="L328" t="n">
        <v>0</v>
      </c>
      <c r="M328" t="n">
        <v>0</v>
      </c>
      <c r="N328" t="n">
        <v>0</v>
      </c>
      <c r="O328" t="n">
        <v>0</v>
      </c>
      <c r="P328" t="n">
        <v>0</v>
      </c>
      <c r="Q328" t="n">
        <v>0</v>
      </c>
      <c r="R328" s="2" t="inlineStr"/>
    </row>
    <row r="329" ht="15" customHeight="1">
      <c r="A329" t="inlineStr">
        <is>
          <t>A 35378-2021</t>
        </is>
      </c>
      <c r="B329" s="1" t="n">
        <v>44385</v>
      </c>
      <c r="C329" s="1" t="n">
        <v>45841</v>
      </c>
      <c r="D329" t="inlineStr">
        <is>
          <t>DALARNAS LÄN</t>
        </is>
      </c>
      <c r="E329" t="inlineStr">
        <is>
          <t>MALUNG-SÄLEN</t>
        </is>
      </c>
      <c r="F329" t="inlineStr">
        <is>
          <t>Övriga statliga verk och myndigheter</t>
        </is>
      </c>
      <c r="G329" t="n">
        <v>5.8</v>
      </c>
      <c r="H329" t="n">
        <v>0</v>
      </c>
      <c r="I329" t="n">
        <v>0</v>
      </c>
      <c r="J329" t="n">
        <v>0</v>
      </c>
      <c r="K329" t="n">
        <v>0</v>
      </c>
      <c r="L329" t="n">
        <v>0</v>
      </c>
      <c r="M329" t="n">
        <v>0</v>
      </c>
      <c r="N329" t="n">
        <v>0</v>
      </c>
      <c r="O329" t="n">
        <v>0</v>
      </c>
      <c r="P329" t="n">
        <v>0</v>
      </c>
      <c r="Q329" t="n">
        <v>0</v>
      </c>
      <c r="R329" s="2" t="inlineStr"/>
    </row>
    <row r="330" ht="15" customHeight="1">
      <c r="A330" t="inlineStr">
        <is>
          <t>A 36340-2021</t>
        </is>
      </c>
      <c r="B330" s="1" t="n">
        <v>44390</v>
      </c>
      <c r="C330" s="1" t="n">
        <v>45841</v>
      </c>
      <c r="D330" t="inlineStr">
        <is>
          <t>DALARNAS LÄN</t>
        </is>
      </c>
      <c r="E330" t="inlineStr">
        <is>
          <t>MALUNG-SÄLEN</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36411-2021</t>
        </is>
      </c>
      <c r="B331" s="1" t="n">
        <v>44390</v>
      </c>
      <c r="C331" s="1" t="n">
        <v>45841</v>
      </c>
      <c r="D331" t="inlineStr">
        <is>
          <t>DALARNAS LÄN</t>
        </is>
      </c>
      <c r="E331" t="inlineStr">
        <is>
          <t>MALUNG-SÄLEN</t>
        </is>
      </c>
      <c r="G331" t="n">
        <v>0.4</v>
      </c>
      <c r="H331" t="n">
        <v>0</v>
      </c>
      <c r="I331" t="n">
        <v>0</v>
      </c>
      <c r="J331" t="n">
        <v>0</v>
      </c>
      <c r="K331" t="n">
        <v>0</v>
      </c>
      <c r="L331" t="n">
        <v>0</v>
      </c>
      <c r="M331" t="n">
        <v>0</v>
      </c>
      <c r="N331" t="n">
        <v>0</v>
      </c>
      <c r="O331" t="n">
        <v>0</v>
      </c>
      <c r="P331" t="n">
        <v>0</v>
      </c>
      <c r="Q331" t="n">
        <v>0</v>
      </c>
      <c r="R331" s="2" t="inlineStr"/>
    </row>
    <row r="332" ht="15" customHeight="1">
      <c r="A332" t="inlineStr">
        <is>
          <t>A 38193-2021</t>
        </is>
      </c>
      <c r="B332" s="1" t="n">
        <v>44405</v>
      </c>
      <c r="C332" s="1" t="n">
        <v>45841</v>
      </c>
      <c r="D332" t="inlineStr">
        <is>
          <t>DALARNAS LÄN</t>
        </is>
      </c>
      <c r="E332" t="inlineStr">
        <is>
          <t>MALUNG-SÄLEN</t>
        </is>
      </c>
      <c r="F332" t="inlineStr">
        <is>
          <t>Naturvårdsverket</t>
        </is>
      </c>
      <c r="G332" t="n">
        <v>7.1</v>
      </c>
      <c r="H332" t="n">
        <v>0</v>
      </c>
      <c r="I332" t="n">
        <v>0</v>
      </c>
      <c r="J332" t="n">
        <v>0</v>
      </c>
      <c r="K332" t="n">
        <v>0</v>
      </c>
      <c r="L332" t="n">
        <v>0</v>
      </c>
      <c r="M332" t="n">
        <v>0</v>
      </c>
      <c r="N332" t="n">
        <v>0</v>
      </c>
      <c r="O332" t="n">
        <v>0</v>
      </c>
      <c r="P332" t="n">
        <v>0</v>
      </c>
      <c r="Q332" t="n">
        <v>0</v>
      </c>
      <c r="R332" s="2" t="inlineStr"/>
    </row>
    <row r="333" ht="15" customHeight="1">
      <c r="A333" t="inlineStr">
        <is>
          <t>A 38204-2021</t>
        </is>
      </c>
      <c r="B333" s="1" t="n">
        <v>44405</v>
      </c>
      <c r="C333" s="1" t="n">
        <v>45841</v>
      </c>
      <c r="D333" t="inlineStr">
        <is>
          <t>DALARNAS LÄN</t>
        </is>
      </c>
      <c r="E333" t="inlineStr">
        <is>
          <t>MALUNG-SÄLEN</t>
        </is>
      </c>
      <c r="F333" t="inlineStr">
        <is>
          <t>Naturvårdsverket</t>
        </is>
      </c>
      <c r="G333" t="n">
        <v>2.5</v>
      </c>
      <c r="H333" t="n">
        <v>0</v>
      </c>
      <c r="I333" t="n">
        <v>0</v>
      </c>
      <c r="J333" t="n">
        <v>0</v>
      </c>
      <c r="K333" t="n">
        <v>0</v>
      </c>
      <c r="L333" t="n">
        <v>0</v>
      </c>
      <c r="M333" t="n">
        <v>0</v>
      </c>
      <c r="N333" t="n">
        <v>0</v>
      </c>
      <c r="O333" t="n">
        <v>0</v>
      </c>
      <c r="P333" t="n">
        <v>0</v>
      </c>
      <c r="Q333" t="n">
        <v>0</v>
      </c>
      <c r="R333" s="2" t="inlineStr"/>
    </row>
    <row r="334" ht="15" customHeight="1">
      <c r="A334" t="inlineStr">
        <is>
          <t>A 38492-2021</t>
        </is>
      </c>
      <c r="B334" s="1" t="n">
        <v>44405</v>
      </c>
      <c r="C334" s="1" t="n">
        <v>45841</v>
      </c>
      <c r="D334" t="inlineStr">
        <is>
          <t>DALARNAS LÄN</t>
        </is>
      </c>
      <c r="E334" t="inlineStr">
        <is>
          <t>MALUNG-SÄLEN</t>
        </is>
      </c>
      <c r="F334" t="inlineStr">
        <is>
          <t>Naturvårdsverket</t>
        </is>
      </c>
      <c r="G334" t="n">
        <v>5.2</v>
      </c>
      <c r="H334" t="n">
        <v>0</v>
      </c>
      <c r="I334" t="n">
        <v>0</v>
      </c>
      <c r="J334" t="n">
        <v>0</v>
      </c>
      <c r="K334" t="n">
        <v>0</v>
      </c>
      <c r="L334" t="n">
        <v>0</v>
      </c>
      <c r="M334" t="n">
        <v>0</v>
      </c>
      <c r="N334" t="n">
        <v>0</v>
      </c>
      <c r="O334" t="n">
        <v>0</v>
      </c>
      <c r="P334" t="n">
        <v>0</v>
      </c>
      <c r="Q334" t="n">
        <v>0</v>
      </c>
      <c r="R334" s="2" t="inlineStr"/>
    </row>
    <row r="335" ht="15" customHeight="1">
      <c r="A335" t="inlineStr">
        <is>
          <t>A 38833-2021</t>
        </is>
      </c>
      <c r="B335" s="1" t="n">
        <v>44411</v>
      </c>
      <c r="C335" s="1" t="n">
        <v>45841</v>
      </c>
      <c r="D335" t="inlineStr">
        <is>
          <t>DALARNAS LÄN</t>
        </is>
      </c>
      <c r="E335" t="inlineStr">
        <is>
          <t>MALUNG-SÄLEN</t>
        </is>
      </c>
      <c r="G335" t="n">
        <v>7.5</v>
      </c>
      <c r="H335" t="n">
        <v>0</v>
      </c>
      <c r="I335" t="n">
        <v>0</v>
      </c>
      <c r="J335" t="n">
        <v>0</v>
      </c>
      <c r="K335" t="n">
        <v>0</v>
      </c>
      <c r="L335" t="n">
        <v>0</v>
      </c>
      <c r="M335" t="n">
        <v>0</v>
      </c>
      <c r="N335" t="n">
        <v>0</v>
      </c>
      <c r="O335" t="n">
        <v>0</v>
      </c>
      <c r="P335" t="n">
        <v>0</v>
      </c>
      <c r="Q335" t="n">
        <v>0</v>
      </c>
      <c r="R335" s="2" t="inlineStr"/>
    </row>
    <row r="336" ht="15" customHeight="1">
      <c r="A336" t="inlineStr">
        <is>
          <t>A 40320-2021</t>
        </is>
      </c>
      <c r="B336" s="1" t="n">
        <v>44419</v>
      </c>
      <c r="C336" s="1" t="n">
        <v>45841</v>
      </c>
      <c r="D336" t="inlineStr">
        <is>
          <t>DALARNAS LÄN</t>
        </is>
      </c>
      <c r="E336" t="inlineStr">
        <is>
          <t>MALUNG-SÄLEN</t>
        </is>
      </c>
      <c r="G336" t="n">
        <v>0.1</v>
      </c>
      <c r="H336" t="n">
        <v>0</v>
      </c>
      <c r="I336" t="n">
        <v>0</v>
      </c>
      <c r="J336" t="n">
        <v>0</v>
      </c>
      <c r="K336" t="n">
        <v>0</v>
      </c>
      <c r="L336" t="n">
        <v>0</v>
      </c>
      <c r="M336" t="n">
        <v>0</v>
      </c>
      <c r="N336" t="n">
        <v>0</v>
      </c>
      <c r="O336" t="n">
        <v>0</v>
      </c>
      <c r="P336" t="n">
        <v>0</v>
      </c>
      <c r="Q336" t="n">
        <v>0</v>
      </c>
      <c r="R336" s="2" t="inlineStr"/>
    </row>
    <row r="337" ht="15" customHeight="1">
      <c r="A337" t="inlineStr">
        <is>
          <t>A 41194-2021</t>
        </is>
      </c>
      <c r="B337" s="1" t="n">
        <v>44424</v>
      </c>
      <c r="C337" s="1" t="n">
        <v>45841</v>
      </c>
      <c r="D337" t="inlineStr">
        <is>
          <t>DALARNAS LÄN</t>
        </is>
      </c>
      <c r="E337" t="inlineStr">
        <is>
          <t>MALUNG-SÄLEN</t>
        </is>
      </c>
      <c r="G337" t="n">
        <v>7.4</v>
      </c>
      <c r="H337" t="n">
        <v>0</v>
      </c>
      <c r="I337" t="n">
        <v>0</v>
      </c>
      <c r="J337" t="n">
        <v>0</v>
      </c>
      <c r="K337" t="n">
        <v>0</v>
      </c>
      <c r="L337" t="n">
        <v>0</v>
      </c>
      <c r="M337" t="n">
        <v>0</v>
      </c>
      <c r="N337" t="n">
        <v>0</v>
      </c>
      <c r="O337" t="n">
        <v>0</v>
      </c>
      <c r="P337" t="n">
        <v>0</v>
      </c>
      <c r="Q337" t="n">
        <v>0</v>
      </c>
      <c r="R337" s="2" t="inlineStr"/>
    </row>
    <row r="338" ht="15" customHeight="1">
      <c r="A338" t="inlineStr">
        <is>
          <t>A 41200-2021</t>
        </is>
      </c>
      <c r="B338" s="1" t="n">
        <v>44424</v>
      </c>
      <c r="C338" s="1" t="n">
        <v>45841</v>
      </c>
      <c r="D338" t="inlineStr">
        <is>
          <t>DALARNAS LÄN</t>
        </is>
      </c>
      <c r="E338" t="inlineStr">
        <is>
          <t>MALUNG-SÄLEN</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41238-2021</t>
        </is>
      </c>
      <c r="B339" s="1" t="n">
        <v>44424</v>
      </c>
      <c r="C339" s="1" t="n">
        <v>45841</v>
      </c>
      <c r="D339" t="inlineStr">
        <is>
          <t>DALARNAS LÄN</t>
        </is>
      </c>
      <c r="E339" t="inlineStr">
        <is>
          <t>MALUNG-SÄLEN</t>
        </is>
      </c>
      <c r="F339" t="inlineStr">
        <is>
          <t>Bergvik skog öst AB</t>
        </is>
      </c>
      <c r="G339" t="n">
        <v>3</v>
      </c>
      <c r="H339" t="n">
        <v>0</v>
      </c>
      <c r="I339" t="n">
        <v>0</v>
      </c>
      <c r="J339" t="n">
        <v>0</v>
      </c>
      <c r="K339" t="n">
        <v>0</v>
      </c>
      <c r="L339" t="n">
        <v>0</v>
      </c>
      <c r="M339" t="n">
        <v>0</v>
      </c>
      <c r="N339" t="n">
        <v>0</v>
      </c>
      <c r="O339" t="n">
        <v>0</v>
      </c>
      <c r="P339" t="n">
        <v>0</v>
      </c>
      <c r="Q339" t="n">
        <v>0</v>
      </c>
      <c r="R339" s="2" t="inlineStr"/>
    </row>
    <row r="340" ht="15" customHeight="1">
      <c r="A340" t="inlineStr">
        <is>
          <t>A 41950-2021</t>
        </is>
      </c>
      <c r="B340" s="1" t="n">
        <v>44426</v>
      </c>
      <c r="C340" s="1" t="n">
        <v>45841</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43672-2021</t>
        </is>
      </c>
      <c r="B341" s="1" t="n">
        <v>44433</v>
      </c>
      <c r="C341" s="1" t="n">
        <v>45841</v>
      </c>
      <c r="D341" t="inlineStr">
        <is>
          <t>DALARNAS LÄN</t>
        </is>
      </c>
      <c r="E341" t="inlineStr">
        <is>
          <t>MALUNG-SÄLEN</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44505-2021</t>
        </is>
      </c>
      <c r="B342" s="1" t="n">
        <v>44435</v>
      </c>
      <c r="C342" s="1" t="n">
        <v>45841</v>
      </c>
      <c r="D342" t="inlineStr">
        <is>
          <t>DALARNAS LÄN</t>
        </is>
      </c>
      <c r="E342" t="inlineStr">
        <is>
          <t>MALUNG-SÄLEN</t>
        </is>
      </c>
      <c r="G342" t="n">
        <v>0.3</v>
      </c>
      <c r="H342" t="n">
        <v>0</v>
      </c>
      <c r="I342" t="n">
        <v>0</v>
      </c>
      <c r="J342" t="n">
        <v>0</v>
      </c>
      <c r="K342" t="n">
        <v>0</v>
      </c>
      <c r="L342" t="n">
        <v>0</v>
      </c>
      <c r="M342" t="n">
        <v>0</v>
      </c>
      <c r="N342" t="n">
        <v>0</v>
      </c>
      <c r="O342" t="n">
        <v>0</v>
      </c>
      <c r="P342" t="n">
        <v>0</v>
      </c>
      <c r="Q342" t="n">
        <v>0</v>
      </c>
      <c r="R342" s="2" t="inlineStr"/>
    </row>
    <row r="343" ht="15" customHeight="1">
      <c r="A343" t="inlineStr">
        <is>
          <t>A 44860-2021</t>
        </is>
      </c>
      <c r="B343" s="1" t="n">
        <v>44438</v>
      </c>
      <c r="C343" s="1" t="n">
        <v>45841</v>
      </c>
      <c r="D343" t="inlineStr">
        <is>
          <t>DALARNAS LÄN</t>
        </is>
      </c>
      <c r="E343" t="inlineStr">
        <is>
          <t>MALUNG-SÄLEN</t>
        </is>
      </c>
      <c r="G343" t="n">
        <v>14.9</v>
      </c>
      <c r="H343" t="n">
        <v>0</v>
      </c>
      <c r="I343" t="n">
        <v>0</v>
      </c>
      <c r="J343" t="n">
        <v>0</v>
      </c>
      <c r="K343" t="n">
        <v>0</v>
      </c>
      <c r="L343" t="n">
        <v>0</v>
      </c>
      <c r="M343" t="n">
        <v>0</v>
      </c>
      <c r="N343" t="n">
        <v>0</v>
      </c>
      <c r="O343" t="n">
        <v>0</v>
      </c>
      <c r="P343" t="n">
        <v>0</v>
      </c>
      <c r="Q343" t="n">
        <v>0</v>
      </c>
      <c r="R343" s="2" t="inlineStr"/>
    </row>
    <row r="344" ht="15" customHeight="1">
      <c r="A344" t="inlineStr">
        <is>
          <t>A 44946-2021</t>
        </is>
      </c>
      <c r="B344" s="1" t="n">
        <v>44438</v>
      </c>
      <c r="C344" s="1" t="n">
        <v>45841</v>
      </c>
      <c r="D344" t="inlineStr">
        <is>
          <t>DALARNAS LÄN</t>
        </is>
      </c>
      <c r="E344" t="inlineStr">
        <is>
          <t>MALUNG-SÄLEN</t>
        </is>
      </c>
      <c r="G344" t="n">
        <v>2</v>
      </c>
      <c r="H344" t="n">
        <v>0</v>
      </c>
      <c r="I344" t="n">
        <v>0</v>
      </c>
      <c r="J344" t="n">
        <v>0</v>
      </c>
      <c r="K344" t="n">
        <v>0</v>
      </c>
      <c r="L344" t="n">
        <v>0</v>
      </c>
      <c r="M344" t="n">
        <v>0</v>
      </c>
      <c r="N344" t="n">
        <v>0</v>
      </c>
      <c r="O344" t="n">
        <v>0</v>
      </c>
      <c r="P344" t="n">
        <v>0</v>
      </c>
      <c r="Q344" t="n">
        <v>0</v>
      </c>
      <c r="R344" s="2" t="inlineStr"/>
    </row>
    <row r="345" ht="15" customHeight="1">
      <c r="A345" t="inlineStr">
        <is>
          <t>A 44867-2021</t>
        </is>
      </c>
      <c r="B345" s="1" t="n">
        <v>44438</v>
      </c>
      <c r="C345" s="1" t="n">
        <v>45841</v>
      </c>
      <c r="D345" t="inlineStr">
        <is>
          <t>DALARNAS LÄN</t>
        </is>
      </c>
      <c r="E345" t="inlineStr">
        <is>
          <t>MALUNG-SÄLEN</t>
        </is>
      </c>
      <c r="G345" t="n">
        <v>12.6</v>
      </c>
      <c r="H345" t="n">
        <v>0</v>
      </c>
      <c r="I345" t="n">
        <v>0</v>
      </c>
      <c r="J345" t="n">
        <v>0</v>
      </c>
      <c r="K345" t="n">
        <v>0</v>
      </c>
      <c r="L345" t="n">
        <v>0</v>
      </c>
      <c r="M345" t="n">
        <v>0</v>
      </c>
      <c r="N345" t="n">
        <v>0</v>
      </c>
      <c r="O345" t="n">
        <v>0</v>
      </c>
      <c r="P345" t="n">
        <v>0</v>
      </c>
      <c r="Q345" t="n">
        <v>0</v>
      </c>
      <c r="R345" s="2" t="inlineStr"/>
    </row>
    <row r="346" ht="15" customHeight="1">
      <c r="A346" t="inlineStr">
        <is>
          <t>A 45195-2021</t>
        </is>
      </c>
      <c r="B346" s="1" t="n">
        <v>44439</v>
      </c>
      <c r="C346" s="1" t="n">
        <v>45841</v>
      </c>
      <c r="D346" t="inlineStr">
        <is>
          <t>DALARNAS LÄN</t>
        </is>
      </c>
      <c r="E346" t="inlineStr">
        <is>
          <t>MALUNG-SÄLEN</t>
        </is>
      </c>
      <c r="G346" t="n">
        <v>1.7</v>
      </c>
      <c r="H346" t="n">
        <v>0</v>
      </c>
      <c r="I346" t="n">
        <v>0</v>
      </c>
      <c r="J346" t="n">
        <v>0</v>
      </c>
      <c r="K346" t="n">
        <v>0</v>
      </c>
      <c r="L346" t="n">
        <v>0</v>
      </c>
      <c r="M346" t="n">
        <v>0</v>
      </c>
      <c r="N346" t="n">
        <v>0</v>
      </c>
      <c r="O346" t="n">
        <v>0</v>
      </c>
      <c r="P346" t="n">
        <v>0</v>
      </c>
      <c r="Q346" t="n">
        <v>0</v>
      </c>
      <c r="R346" s="2" t="inlineStr"/>
    </row>
    <row r="347" ht="15" customHeight="1">
      <c r="A347" t="inlineStr">
        <is>
          <t>A 45586-2021</t>
        </is>
      </c>
      <c r="B347" s="1" t="n">
        <v>44440</v>
      </c>
      <c r="C347" s="1" t="n">
        <v>45841</v>
      </c>
      <c r="D347" t="inlineStr">
        <is>
          <t>DALARNAS LÄN</t>
        </is>
      </c>
      <c r="E347" t="inlineStr">
        <is>
          <t>MALUNG-SÄLEN</t>
        </is>
      </c>
      <c r="F347" t="inlineStr">
        <is>
          <t>Bergvik skog öst AB</t>
        </is>
      </c>
      <c r="G347" t="n">
        <v>6.6</v>
      </c>
      <c r="H347" t="n">
        <v>0</v>
      </c>
      <c r="I347" t="n">
        <v>0</v>
      </c>
      <c r="J347" t="n">
        <v>0</v>
      </c>
      <c r="K347" t="n">
        <v>0</v>
      </c>
      <c r="L347" t="n">
        <v>0</v>
      </c>
      <c r="M347" t="n">
        <v>0</v>
      </c>
      <c r="N347" t="n">
        <v>0</v>
      </c>
      <c r="O347" t="n">
        <v>0</v>
      </c>
      <c r="P347" t="n">
        <v>0</v>
      </c>
      <c r="Q347" t="n">
        <v>0</v>
      </c>
      <c r="R347" s="2" t="inlineStr"/>
    </row>
    <row r="348" ht="15" customHeight="1">
      <c r="A348" t="inlineStr">
        <is>
          <t>A 45440-2021</t>
        </is>
      </c>
      <c r="B348" s="1" t="n">
        <v>44440</v>
      </c>
      <c r="C348" s="1" t="n">
        <v>45841</v>
      </c>
      <c r="D348" t="inlineStr">
        <is>
          <t>DALARNAS LÄN</t>
        </is>
      </c>
      <c r="E348" t="inlineStr">
        <is>
          <t>MALUNG-SÄLEN</t>
        </is>
      </c>
      <c r="F348" t="inlineStr">
        <is>
          <t>Kommuner</t>
        </is>
      </c>
      <c r="G348" t="n">
        <v>1</v>
      </c>
      <c r="H348" t="n">
        <v>0</v>
      </c>
      <c r="I348" t="n">
        <v>0</v>
      </c>
      <c r="J348" t="n">
        <v>0</v>
      </c>
      <c r="K348" t="n">
        <v>0</v>
      </c>
      <c r="L348" t="n">
        <v>0</v>
      </c>
      <c r="M348" t="n">
        <v>0</v>
      </c>
      <c r="N348" t="n">
        <v>0</v>
      </c>
      <c r="O348" t="n">
        <v>0</v>
      </c>
      <c r="P348" t="n">
        <v>0</v>
      </c>
      <c r="Q348" t="n">
        <v>0</v>
      </c>
      <c r="R348" s="2" t="inlineStr"/>
    </row>
    <row r="349" ht="15" customHeight="1">
      <c r="A349" t="inlineStr">
        <is>
          <t>A 47386-2021</t>
        </is>
      </c>
      <c r="B349" s="1" t="n">
        <v>44442</v>
      </c>
      <c r="C349" s="1" t="n">
        <v>45841</v>
      </c>
      <c r="D349" t="inlineStr">
        <is>
          <t>DALARNAS LÄN</t>
        </is>
      </c>
      <c r="E349" t="inlineStr">
        <is>
          <t>MALUNG-SÄLEN</t>
        </is>
      </c>
      <c r="G349" t="n">
        <v>4.3</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45841</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45841</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45841</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45841</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45841</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45841</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45841</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45841</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45841</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45841</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45841</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45841</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45841</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45841</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45841</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45841</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45841</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45841</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45841</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45841</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45841</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45841</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45841</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45841</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45841</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45841</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45841</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45841</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45841</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45841</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45841</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45841</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45841</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45841</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45841</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45841</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45841</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45841</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45841</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45841</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45841</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45841</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45841</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45841</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45841</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45841</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45841</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45841</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45841</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45841</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45841</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45841</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45841</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45841</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45841</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45841</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45841</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45841</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45841</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45841</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45841</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45841</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45841</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45841</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45841</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45841</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45841</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45841</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45841</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45841</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45841</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45841</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45841</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45841</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45841</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45841</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45841</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45841</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45841</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45841</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45841</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45841</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45841</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45841</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45841</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45841</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45841</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45841</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45841</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45841</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45841</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45841</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45841</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45841</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45841</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45841</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45841</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45841</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45841</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45841</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45841</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45841</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45841</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45841</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45841</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45841</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45841</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45841</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45841</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45841</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45841</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45841</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45841</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45841</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45841</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45841</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45841</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45841</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45841</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45841</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45841</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45841</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45841</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45841</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45841</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45841</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45841</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45841</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45841</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45841</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45841</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45841</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45841</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45841</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45841</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45841</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45841</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45841</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45841</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45841</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45841</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45841</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45841</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45841</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45841</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45841</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45841</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45841</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45841</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45841</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45841</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45841</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45841</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45841</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45841</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45841</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45841</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45841</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45841</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45841</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45841</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45841</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45841</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45841</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45841</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45841</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45841</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45841</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45841</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45841</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45841</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45841</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45841</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45841</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45841</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45841</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45841</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45841</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45841</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45841</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45841</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45841</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45841</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45841</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45841</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45841</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45841</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45841</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45841</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45841</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45841</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45841</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45841</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45841</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45841</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45841</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45841</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45841</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45841</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45841</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45841</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45841</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45841</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45841</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45841</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45841</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45841</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45841</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45841</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45841</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45841</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45841</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45841</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45841</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45841</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45841</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45841</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45841</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45841</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45841</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45841</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45841</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45841</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45841</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45841</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45841</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45841</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45841</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45841</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45841</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45841</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45841</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45841</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45841</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45841</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45841</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45841</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45841</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45841</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45841</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45841</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45841</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45841</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45841</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45841</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45841</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45841</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45841</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45841</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45841</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45841</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45841</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45841</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45841</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45841</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45841</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45841</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45841</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45841</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45841</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45841</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45841</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45841</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45841</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45841</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45841</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45841</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45841</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45841</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45841</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45841</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45841</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45841</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45841</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45841</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45841</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45841</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45841</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45841</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45841</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45841</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45841</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45841</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45841</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45841</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45841</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45841</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45841</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45841</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45841</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45841</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45841</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45841</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45841</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45841</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45841</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45841</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45841</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45841</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45841</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45841</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45841</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45841</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45841</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45841</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45841</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45841</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45841</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45841</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45841</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45841</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45841</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45841</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45841</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45841</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45841</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45841</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45841</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45841</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45841</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45841</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45841</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45841</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45841</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45841</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45841</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45841</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45841</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45841</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45841</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45841</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45841</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45841</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45841</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45841</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45841</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45841</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45841</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45841</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45841</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45841</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45841</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45841</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45841</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45841</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45841</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45841</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45841</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45841</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45841</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45841</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45841</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45841</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45841</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45841</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45841</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45841</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45841</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45841</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45841</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45841</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45841</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45841</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45841</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45841</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45841</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45841</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45841</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45841</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45841</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45841</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45841</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45841</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45841</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45841</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45841</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45841</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45841</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45841</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45841</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45841</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45841</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45841</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45841</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45841</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45841</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45841</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45841</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45841</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45841</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45841</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45841</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45841</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45841</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45841</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45841</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45841</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45841</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45841</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45841</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45841</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45841</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45841</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45841</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45841</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45841</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45841</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45841</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45841</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45841</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45841</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45841</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45841</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45841</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45841</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45841</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45841</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45841</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45841</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45841</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45841</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45841</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45841</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45841</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45841</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45841</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45841</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45841</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45841</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45841</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45841</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45841</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45841</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45841</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45841</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45841</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45841</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45841</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45841</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45841</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45841</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45841</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45841</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45841</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45841</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45841</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45841</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45841</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45841</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45841</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45841</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45841</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45841</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45841</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45841</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45841</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45841</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45841</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45841</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45841</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45841</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45841</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45841</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45841</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45841</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45841</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45841</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45841</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45841</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45841</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45841</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45841</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45841</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45841</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45841</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45841</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45841</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45841</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45841</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45841</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45841</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45841</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45841</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45841</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45841</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45841</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45841</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45841</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45841</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45841</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45841</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45841</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45841</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45841</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45841</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45841</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45841</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45841</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45841</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45841</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45841</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45841</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45841</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45841</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45841</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45841</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45841</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45841</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45841</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45841</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45841</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45841</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45841</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45841</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45841</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45841</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45841</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45841</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45841</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45841</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45841</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45841</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45841</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45841</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45841</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45841</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45841</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45841</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45841</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45841</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45841</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45841</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45841</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45841</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45841</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45841</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45841</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45841</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45841</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45841</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45841</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45841</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45841</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45841</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45841</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45841</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45841</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45841</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45841</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45841</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45841</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45841</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45841</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45841</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45841</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45841</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45841</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45841</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45841</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45841</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45841</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45841</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45841</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45841</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45841</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45841</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45841</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45841</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45841</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45841</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45841</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45841</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45841</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45841</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45841</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45841</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45841</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45841</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45841</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45841</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45841</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45841</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45841</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45841</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45841</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45841</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45841</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45841</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45841</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45841</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45841</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45841</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45841</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45841</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45841</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45841</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45841</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45841</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45841</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45841</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45841</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45841</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45841</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45841</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45841</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45841</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45841</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45841</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45841</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45841</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45841</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45841</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45841</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45841</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45841</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45841</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45841</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45841</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45841</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45841</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45841</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45841</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45841</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45841</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45841</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45841</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45841</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45841</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45841</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45841</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45841</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45841</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45841</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45841</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45841</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45841</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45841</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45841</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45841</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45841</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45841</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45841</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45841</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45841</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45841</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45841</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45841</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45841</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45841</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45841</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45841</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45841</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45841</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45841</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45841</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45841</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45841</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45841</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45841</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45841</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45841</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45841</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45841</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45841</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45841</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45841</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45841</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45841</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45841</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45841</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45841</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45841</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45841</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45841</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45841</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45841</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45841</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45841</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45841</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45841</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45841</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45841</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45841</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45841</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45841</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45841</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45841</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45841</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45841</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45841</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45841</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45841</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45841</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45841</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45841</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45841</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45841</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45841</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45841</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45841</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45841</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45841</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45841</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45841</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45841</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45841</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45841</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45841</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45841</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45841</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45841</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45841</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45841</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45841</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45841</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45841</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45841</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45841</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45841</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45841</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45841</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45841</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45841</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45841</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45841</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45841</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45841</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45841</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45841</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45841</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45841</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45841</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45841</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45841</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45841</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45841</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45841</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45841</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45841</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45841</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45841</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45841</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45841</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45841</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45841</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45841</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45841</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45841</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45841</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45841</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45841</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45841</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45841</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45841</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45841</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45841</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45841</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45841</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45841</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45841</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45841</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45841</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45841</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45841</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45841</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45841</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45841</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45841</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45841</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45841</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45841</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45841</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45841</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45841</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45841</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45841</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45841</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45841</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45841</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45841</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45841</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45841</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45841</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45841</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45841</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45841</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45841</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45841</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45841</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45841</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45841</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45841</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45841</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45841</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45841</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45841</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45841</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45841</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45841</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45841</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45841</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45841</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45841</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45841</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45841</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45841</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45841</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45841</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45841</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45841</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45841</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45841</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45841</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45841</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45841</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45841</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45841</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45841</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45841</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45841</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45841</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45841</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45841</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45841</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45841</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45841</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45841</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45841</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45841</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45841</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45841</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45841</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45841</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45841</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45841</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45841</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45841</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45841</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45841</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45841</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45841</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45841</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45841</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45841</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45841</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45841</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45841</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45841</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45841</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45841</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45841</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45841</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45841</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45841</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45841</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45841</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45841</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45841</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45841</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45841</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45841</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45841</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45841</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45841</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45841</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45841</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45841</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45841</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45841</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45841</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45841</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45841</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45841</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45841</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45841</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45841</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45841</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45841</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45841</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45841</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45841</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45841</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45841</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45841</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45841</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45841</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45841</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45841</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45841</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45841</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45841</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45841</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45841</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45841</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45841</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45841</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45841</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45841</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45841</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45841</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45841</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45841</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45841</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45841</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45841</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45841</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45841</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45841</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45841</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45841</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45841</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45841</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45841</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45841</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45841</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45841</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45841</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45841</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45841</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45841</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45841</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45841</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45841</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45841</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45841</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45841</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45841</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45841</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45841</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45841</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45841</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45841</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45841</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45841</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45841</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45841</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45841</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45841</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45841</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45841</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45841</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45841</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45841</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45841</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45841</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45841</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45841</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45841</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45841</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45841</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45841</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45841</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45841</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45841</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45841</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45841</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45841</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45841</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45841</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45841</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45841</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45841</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45841</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45841</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45841</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45841</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45841</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45841</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45841</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45841</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45841</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45841</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45841</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45841</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45841</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45841</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45841</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45841</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45841</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45841</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45841</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45841</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45841</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45841</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45841</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45841</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45841</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45841</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45841</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45841</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45841</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45841</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45841</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45841</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45841</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45841</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45841</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45841</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45841</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45841</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45841</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45841</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45841</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45841</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45841</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45841</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45841</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45841</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45841</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45841</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45841</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45841</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45841</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c r="U1362">
        <f>HYPERLINK("https://klasma.github.io/Logging_202023/knärot/A 24210-2025 karta knärot.png", "A 24210-2025")</f>
        <v/>
      </c>
      <c r="V1362">
        <f>HYPERLINK("https://klasma.github.io/Logging_202023/klagomål/A 24210-2025 FSC-klagomål.docx", "A 24210-2025")</f>
        <v/>
      </c>
      <c r="W1362">
        <f>HYPERLINK("https://klasma.github.io/Logging_202023/klagomålsmail/A 24210-2025 FSC-klagomål mail.docx", "A 24210-2025")</f>
        <v/>
      </c>
      <c r="X1362">
        <f>HYPERLINK("https://klasma.github.io/Logging_202023/tillsyn/A 24210-2025 tillsynsbegäran.docx", "A 24210-2025")</f>
        <v/>
      </c>
      <c r="Y1362">
        <f>HYPERLINK("https://klasma.github.io/Logging_202023/tillsynsmail/A 24210-2025 tillsynsbegäran mail.docx", "A 24210-2025")</f>
        <v/>
      </c>
    </row>
    <row r="1363" ht="15" customHeight="1">
      <c r="A1363" t="inlineStr">
        <is>
          <t>A 24377-2025</t>
        </is>
      </c>
      <c r="B1363" s="1" t="n">
        <v>45797</v>
      </c>
      <c r="C1363" s="1" t="n">
        <v>45841</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45841</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45841</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45841</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45841</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45841</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25971-2025</t>
        </is>
      </c>
      <c r="B1369" s="1" t="n">
        <v>45804</v>
      </c>
      <c r="C1369" s="1" t="n">
        <v>45841</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45841</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25924-2025</t>
        </is>
      </c>
      <c r="B1371" s="1" t="n">
        <v>45804</v>
      </c>
      <c r="C1371" s="1" t="n">
        <v>45841</v>
      </c>
      <c r="D1371" t="inlineStr">
        <is>
          <t>DALARNAS LÄN</t>
        </is>
      </c>
      <c r="E1371" t="inlineStr">
        <is>
          <t>MALUNG-SÄLEN</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45841</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45841</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45841</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45841</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25891-2025</t>
        </is>
      </c>
      <c r="B1376" s="1" t="n">
        <v>45804</v>
      </c>
      <c r="C1376" s="1" t="n">
        <v>45841</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26008-2025</t>
        </is>
      </c>
      <c r="B1377" s="1" t="n">
        <v>45804</v>
      </c>
      <c r="C1377" s="1" t="n">
        <v>45841</v>
      </c>
      <c r="D1377" t="inlineStr">
        <is>
          <t>DALARNAS LÄN</t>
        </is>
      </c>
      <c r="E1377" t="inlineStr">
        <is>
          <t>MALUNG-SÄLEN</t>
        </is>
      </c>
      <c r="F1377" t="inlineStr">
        <is>
          <t>Allmännings- och besparingsskogar</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25777-2025</t>
        </is>
      </c>
      <c r="B1378" s="1" t="n">
        <v>45804</v>
      </c>
      <c r="C1378" s="1" t="n">
        <v>45841</v>
      </c>
      <c r="D1378" t="inlineStr">
        <is>
          <t>DALARNAS LÄN</t>
        </is>
      </c>
      <c r="E1378" t="inlineStr">
        <is>
          <t>MALUNG-SÄLEN</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25763-2025</t>
        </is>
      </c>
      <c r="B1379" s="1" t="n">
        <v>45804</v>
      </c>
      <c r="C1379" s="1" t="n">
        <v>45841</v>
      </c>
      <c r="D1379" t="inlineStr">
        <is>
          <t>DALARNAS LÄN</t>
        </is>
      </c>
      <c r="E1379" t="inlineStr">
        <is>
          <t>MALUNG-SÄLEN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45841</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26138-2025</t>
        </is>
      </c>
      <c r="B1381" s="1" t="n">
        <v>45805</v>
      </c>
      <c r="C1381" s="1" t="n">
        <v>45841</v>
      </c>
      <c r="D1381" t="inlineStr">
        <is>
          <t>DALARNAS LÄN</t>
        </is>
      </c>
      <c r="E1381" t="inlineStr">
        <is>
          <t>MALUNG-SÄLEN</t>
        </is>
      </c>
      <c r="F1381" t="inlineStr">
        <is>
          <t>Bergvik skog öst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26235-2025</t>
        </is>
      </c>
      <c r="B1382" s="1" t="n">
        <v>45805</v>
      </c>
      <c r="C1382" s="1" t="n">
        <v>45841</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26185-2025</t>
        </is>
      </c>
      <c r="B1383" s="1" t="n">
        <v>45805</v>
      </c>
      <c r="C1383" s="1" t="n">
        <v>45841</v>
      </c>
      <c r="D1383" t="inlineStr">
        <is>
          <t>DALARNAS LÄN</t>
        </is>
      </c>
      <c r="E1383" t="inlineStr">
        <is>
          <t>MALUNG-SÄLEN</t>
        </is>
      </c>
      <c r="F1383" t="inlineStr">
        <is>
          <t>Allmännings- och besparingsskogar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26396-2025</t>
        </is>
      </c>
      <c r="B1384" s="1" t="n">
        <v>45807</v>
      </c>
      <c r="C1384" s="1" t="n">
        <v>45841</v>
      </c>
      <c r="D1384" t="inlineStr">
        <is>
          <t>DALARNAS LÄN</t>
        </is>
      </c>
      <c r="E1384" t="inlineStr">
        <is>
          <t>MALUNG-SÄLEN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26454-2025</t>
        </is>
      </c>
      <c r="B1385" s="1" t="n">
        <v>45807</v>
      </c>
      <c r="C1385" s="1" t="n">
        <v>45841</v>
      </c>
      <c r="D1385" t="inlineStr">
        <is>
          <t>DALARNAS LÄN</t>
        </is>
      </c>
      <c r="E1385" t="inlineStr">
        <is>
          <t>MALUNG-SÄLEN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45841</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45841</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28021-2025</t>
        </is>
      </c>
      <c r="B1388" s="1" t="n">
        <v>45817</v>
      </c>
      <c r="C1388" s="1" t="n">
        <v>45841</v>
      </c>
      <c r="D1388" t="inlineStr">
        <is>
          <t>DALARNAS LÄN</t>
        </is>
      </c>
      <c r="E1388" t="inlineStr">
        <is>
          <t>MALUNG-SÄLEN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28083-2025</t>
        </is>
      </c>
      <c r="B1389" s="1" t="n">
        <v>45817</v>
      </c>
      <c r="C1389" s="1" t="n">
        <v>45841</v>
      </c>
      <c r="D1389" t="inlineStr">
        <is>
          <t>DALARNAS LÄN</t>
        </is>
      </c>
      <c r="E1389" t="inlineStr">
        <is>
          <t>MALUNG-SÄLEN</t>
        </is>
      </c>
      <c r="F1389" t="inlineStr">
        <is>
          <t>Allmännings- och besparingsskogar</t>
        </is>
      </c>
      <c r="G1389" t="n">
        <v>28.4</v>
      </c>
      <c r="H1389" t="n">
        <v>0</v>
      </c>
      <c r="I1389" t="n">
        <v>0</v>
      </c>
      <c r="J1389" t="n">
        <v>0</v>
      </c>
      <c r="K1389" t="n">
        <v>0</v>
      </c>
      <c r="L1389" t="n">
        <v>0</v>
      </c>
      <c r="M1389" t="n">
        <v>0</v>
      </c>
      <c r="N1389" t="n">
        <v>0</v>
      </c>
      <c r="O1389" t="n">
        <v>0</v>
      </c>
      <c r="P1389" t="n">
        <v>0</v>
      </c>
      <c r="Q1389" t="n">
        <v>0</v>
      </c>
      <c r="R1389" s="2" t="inlineStr"/>
    </row>
    <row r="1390" ht="15" customHeight="1">
      <c r="A1390" t="inlineStr">
        <is>
          <t>A 28038-2025</t>
        </is>
      </c>
      <c r="B1390" s="1" t="n">
        <v>45817</v>
      </c>
      <c r="C1390" s="1" t="n">
        <v>45841</v>
      </c>
      <c r="D1390" t="inlineStr">
        <is>
          <t>DALARNAS LÄN</t>
        </is>
      </c>
      <c r="E1390" t="inlineStr">
        <is>
          <t>MALUNG-SÄLEN</t>
        </is>
      </c>
      <c r="F1390" t="inlineStr">
        <is>
          <t>Kommuner</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28191-2025</t>
        </is>
      </c>
      <c r="B1391" s="1" t="n">
        <v>45818</v>
      </c>
      <c r="C1391" s="1" t="n">
        <v>45841</v>
      </c>
      <c r="D1391" t="inlineStr">
        <is>
          <t>DALARNAS LÄN</t>
        </is>
      </c>
      <c r="E1391" t="inlineStr">
        <is>
          <t>MALUNG-SÄLEN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28192-2025</t>
        </is>
      </c>
      <c r="B1392" s="1" t="n">
        <v>45818</v>
      </c>
      <c r="C1392" s="1" t="n">
        <v>45841</v>
      </c>
      <c r="D1392" t="inlineStr">
        <is>
          <t>DALARNAS LÄN</t>
        </is>
      </c>
      <c r="E1392" t="inlineStr">
        <is>
          <t>MALUNG-SÄLEN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28133-2025</t>
        </is>
      </c>
      <c r="B1393" s="1" t="n">
        <v>45818</v>
      </c>
      <c r="C1393" s="1" t="n">
        <v>45841</v>
      </c>
      <c r="D1393" t="inlineStr">
        <is>
          <t>DALARNAS LÄN</t>
        </is>
      </c>
      <c r="E1393" t="inlineStr">
        <is>
          <t>MALUNG-SÄLEN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28268-2025</t>
        </is>
      </c>
      <c r="B1394" s="1" t="n">
        <v>45818</v>
      </c>
      <c r="C1394" s="1" t="n">
        <v>45841</v>
      </c>
      <c r="D1394" t="inlineStr">
        <is>
          <t>DALARNAS LÄN</t>
        </is>
      </c>
      <c r="E1394" t="inlineStr">
        <is>
          <t>MALUNG-SÄLEN</t>
        </is>
      </c>
      <c r="F1394" t="inlineStr">
        <is>
          <t>Övriga statliga verk och myndigheter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28542-2025</t>
        </is>
      </c>
      <c r="B1395" s="1" t="n">
        <v>45818</v>
      </c>
      <c r="C1395" s="1" t="n">
        <v>45841</v>
      </c>
      <c r="D1395" t="inlineStr">
        <is>
          <t>DALARNAS LÄN</t>
        </is>
      </c>
      <c r="E1395" t="inlineStr">
        <is>
          <t>MALUNG-SÄLEN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45841</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28856-2025</t>
        </is>
      </c>
      <c r="B1397" s="1" t="n">
        <v>45820</v>
      </c>
      <c r="C1397" s="1" t="n">
        <v>45841</v>
      </c>
      <c r="D1397" t="inlineStr">
        <is>
          <t>DALARNAS LÄN</t>
        </is>
      </c>
      <c r="E1397" t="inlineStr">
        <is>
          <t>MALUNG-SÄLEN</t>
        </is>
      </c>
      <c r="G1397" t="n">
        <v>15.1</v>
      </c>
      <c r="H1397" t="n">
        <v>0</v>
      </c>
      <c r="I1397" t="n">
        <v>0</v>
      </c>
      <c r="J1397" t="n">
        <v>0</v>
      </c>
      <c r="K1397" t="n">
        <v>0</v>
      </c>
      <c r="L1397" t="n">
        <v>0</v>
      </c>
      <c r="M1397" t="n">
        <v>0</v>
      </c>
      <c r="N1397" t="n">
        <v>0</v>
      </c>
      <c r="O1397" t="n">
        <v>0</v>
      </c>
      <c r="P1397" t="n">
        <v>0</v>
      </c>
      <c r="Q1397" t="n">
        <v>0</v>
      </c>
      <c r="R1397" s="2" t="inlineStr"/>
    </row>
    <row r="1398" ht="15" customHeight="1">
      <c r="A1398" t="inlineStr">
        <is>
          <t>A 28850-2025</t>
        </is>
      </c>
      <c r="B1398" s="1" t="n">
        <v>45820</v>
      </c>
      <c r="C1398" s="1" t="n">
        <v>45841</v>
      </c>
      <c r="D1398" t="inlineStr">
        <is>
          <t>DALARNAS LÄN</t>
        </is>
      </c>
      <c r="E1398" t="inlineStr">
        <is>
          <t>MALUNG-SÄLEN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28764-2025</t>
        </is>
      </c>
      <c r="B1399" s="1" t="n">
        <v>45820</v>
      </c>
      <c r="C1399" s="1" t="n">
        <v>45841</v>
      </c>
      <c r="D1399" t="inlineStr">
        <is>
          <t>DALARNAS LÄN</t>
        </is>
      </c>
      <c r="E1399" t="inlineStr">
        <is>
          <t>MALUNG-SÄLEN</t>
        </is>
      </c>
      <c r="F1399" t="inlineStr">
        <is>
          <t>Allmännings- och besparingsskogar</t>
        </is>
      </c>
      <c r="G1399" t="n">
        <v>32.7</v>
      </c>
      <c r="H1399" t="n">
        <v>0</v>
      </c>
      <c r="I1399" t="n">
        <v>0</v>
      </c>
      <c r="J1399" t="n">
        <v>0</v>
      </c>
      <c r="K1399" t="n">
        <v>0</v>
      </c>
      <c r="L1399" t="n">
        <v>0</v>
      </c>
      <c r="M1399" t="n">
        <v>0</v>
      </c>
      <c r="N1399" t="n">
        <v>0</v>
      </c>
      <c r="O1399" t="n">
        <v>0</v>
      </c>
      <c r="P1399" t="n">
        <v>0</v>
      </c>
      <c r="Q1399" t="n">
        <v>0</v>
      </c>
      <c r="R1399" s="2" t="inlineStr"/>
    </row>
    <row r="1400" ht="15" customHeight="1">
      <c r="A1400" t="inlineStr">
        <is>
          <t>A 28864-2025</t>
        </is>
      </c>
      <c r="B1400" s="1" t="n">
        <v>45820</v>
      </c>
      <c r="C1400" s="1" t="n">
        <v>45841</v>
      </c>
      <c r="D1400" t="inlineStr">
        <is>
          <t>DALARNAS LÄN</t>
        </is>
      </c>
      <c r="E1400" t="inlineStr">
        <is>
          <t>MALUNG-SÄLEN</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29041-2025</t>
        </is>
      </c>
      <c r="B1401" s="1" t="n">
        <v>45821</v>
      </c>
      <c r="C1401" s="1" t="n">
        <v>45841</v>
      </c>
      <c r="D1401" t="inlineStr">
        <is>
          <t>DALARNAS LÄN</t>
        </is>
      </c>
      <c r="E1401" t="inlineStr">
        <is>
          <t>MALUNG-SÄLEN</t>
        </is>
      </c>
      <c r="F1401" t="inlineStr">
        <is>
          <t>Bergvik skog öst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29052-2025</t>
        </is>
      </c>
      <c r="B1402" s="1" t="n">
        <v>45821</v>
      </c>
      <c r="C1402" s="1" t="n">
        <v>45841</v>
      </c>
      <c r="D1402" t="inlineStr">
        <is>
          <t>DALARNAS LÄN</t>
        </is>
      </c>
      <c r="E1402" t="inlineStr">
        <is>
          <t>MALUNG-SÄLEN</t>
        </is>
      </c>
      <c r="F1402" t="inlineStr">
        <is>
          <t>Bergvik skog öst AB</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29097-2025</t>
        </is>
      </c>
      <c r="B1403" s="1" t="n">
        <v>45821</v>
      </c>
      <c r="C1403" s="1" t="n">
        <v>45841</v>
      </c>
      <c r="D1403" t="inlineStr">
        <is>
          <t>DALARNAS LÄN</t>
        </is>
      </c>
      <c r="E1403" t="inlineStr">
        <is>
          <t>MALUNG-SÄLEN</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29040-2025</t>
        </is>
      </c>
      <c r="B1404" s="1" t="n">
        <v>45821</v>
      </c>
      <c r="C1404" s="1" t="n">
        <v>45841</v>
      </c>
      <c r="D1404" t="inlineStr">
        <is>
          <t>DALARNAS LÄN</t>
        </is>
      </c>
      <c r="E1404" t="inlineStr">
        <is>
          <t>MALUNG-SÄLEN</t>
        </is>
      </c>
      <c r="F1404" t="inlineStr">
        <is>
          <t>Bergvik skog öst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29257-2025</t>
        </is>
      </c>
      <c r="B1405" s="1" t="n">
        <v>45824</v>
      </c>
      <c r="C1405" s="1" t="n">
        <v>45841</v>
      </c>
      <c r="D1405" t="inlineStr">
        <is>
          <t>DALARNAS LÄN</t>
        </is>
      </c>
      <c r="E1405" t="inlineStr">
        <is>
          <t>MALUNG-SÄLEN</t>
        </is>
      </c>
      <c r="F1405" t="inlineStr">
        <is>
          <t>Bergvik skog väst AB</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29359-2025</t>
        </is>
      </c>
      <c r="B1406" s="1" t="n">
        <v>45824</v>
      </c>
      <c r="C1406" s="1" t="n">
        <v>45841</v>
      </c>
      <c r="D1406" t="inlineStr">
        <is>
          <t>DALARNAS LÄN</t>
        </is>
      </c>
      <c r="E1406" t="inlineStr">
        <is>
          <t>MALUNG-SÄLEN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29363-2025</t>
        </is>
      </c>
      <c r="B1407" s="1" t="n">
        <v>45824</v>
      </c>
      <c r="C1407" s="1" t="n">
        <v>45841</v>
      </c>
      <c r="D1407" t="inlineStr">
        <is>
          <t>DALARNAS LÄN</t>
        </is>
      </c>
      <c r="E1407" t="inlineStr">
        <is>
          <t>MALUNG-SÄLEN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29424-2025</t>
        </is>
      </c>
      <c r="B1408" s="1" t="n">
        <v>45824</v>
      </c>
      <c r="C1408" s="1" t="n">
        <v>45841</v>
      </c>
      <c r="D1408" t="inlineStr">
        <is>
          <t>DALARNAS LÄN</t>
        </is>
      </c>
      <c r="E1408" t="inlineStr">
        <is>
          <t>MALUNG-SÄLEN</t>
        </is>
      </c>
      <c r="F1408" t="inlineStr">
        <is>
          <t>Bergvik skog väst AB</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29362-2025</t>
        </is>
      </c>
      <c r="B1409" s="1" t="n">
        <v>45824</v>
      </c>
      <c r="C1409" s="1" t="n">
        <v>45841</v>
      </c>
      <c r="D1409" t="inlineStr">
        <is>
          <t>DALARNAS LÄN</t>
        </is>
      </c>
      <c r="E1409" t="inlineStr">
        <is>
          <t>MALUNG-SÄLEN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29365-2025</t>
        </is>
      </c>
      <c r="B1410" s="1" t="n">
        <v>45824</v>
      </c>
      <c r="C1410" s="1" t="n">
        <v>45841</v>
      </c>
      <c r="D1410" t="inlineStr">
        <is>
          <t>DALARNAS LÄN</t>
        </is>
      </c>
      <c r="E1410" t="inlineStr">
        <is>
          <t>MALUNG-SÄLEN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29458-2025</t>
        </is>
      </c>
      <c r="B1411" s="1" t="n">
        <v>45824</v>
      </c>
      <c r="C1411" s="1" t="n">
        <v>45841</v>
      </c>
      <c r="D1411" t="inlineStr">
        <is>
          <t>DALARNAS LÄN</t>
        </is>
      </c>
      <c r="E1411" t="inlineStr">
        <is>
          <t>MALUNG-SÄLEN</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29259-2025</t>
        </is>
      </c>
      <c r="B1412" s="1" t="n">
        <v>45824</v>
      </c>
      <c r="C1412" s="1" t="n">
        <v>45841</v>
      </c>
      <c r="D1412" t="inlineStr">
        <is>
          <t>DALARNAS LÄN</t>
        </is>
      </c>
      <c r="E1412" t="inlineStr">
        <is>
          <t>MALUNG-SÄLEN</t>
        </is>
      </c>
      <c r="F1412" t="inlineStr">
        <is>
          <t>Bergvik skog väst AB</t>
        </is>
      </c>
      <c r="G1412" t="n">
        <v>9</v>
      </c>
      <c r="H1412" t="n">
        <v>0</v>
      </c>
      <c r="I1412" t="n">
        <v>0</v>
      </c>
      <c r="J1412" t="n">
        <v>0</v>
      </c>
      <c r="K1412" t="n">
        <v>0</v>
      </c>
      <c r="L1412" t="n">
        <v>0</v>
      </c>
      <c r="M1412" t="n">
        <v>0</v>
      </c>
      <c r="N1412" t="n">
        <v>0</v>
      </c>
      <c r="O1412" t="n">
        <v>0</v>
      </c>
      <c r="P1412" t="n">
        <v>0</v>
      </c>
      <c r="Q1412" t="n">
        <v>0</v>
      </c>
      <c r="R1412" s="2" t="inlineStr"/>
    </row>
    <row r="1413" ht="15" customHeight="1">
      <c r="A1413" t="inlineStr">
        <is>
          <t>A 29398-2025</t>
        </is>
      </c>
      <c r="B1413" s="1" t="n">
        <v>45824</v>
      </c>
      <c r="C1413" s="1" t="n">
        <v>45841</v>
      </c>
      <c r="D1413" t="inlineStr">
        <is>
          <t>DALARNAS LÄN</t>
        </is>
      </c>
      <c r="E1413" t="inlineStr">
        <is>
          <t>MALUNG-SÄLEN</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29950-2025</t>
        </is>
      </c>
      <c r="B1414" s="1" t="n">
        <v>45826</v>
      </c>
      <c r="C1414" s="1" t="n">
        <v>45841</v>
      </c>
      <c r="D1414" t="inlineStr">
        <is>
          <t>DALARNAS LÄN</t>
        </is>
      </c>
      <c r="E1414" t="inlineStr">
        <is>
          <t>MALUNG-SÄLEN</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29913-2025</t>
        </is>
      </c>
      <c r="B1415" s="1" t="n">
        <v>45826</v>
      </c>
      <c r="C1415" s="1" t="n">
        <v>45841</v>
      </c>
      <c r="D1415" t="inlineStr">
        <is>
          <t>DALARNAS LÄN</t>
        </is>
      </c>
      <c r="E1415" t="inlineStr">
        <is>
          <t>MALUNG-SÄLEN</t>
        </is>
      </c>
      <c r="F1415" t="inlineStr">
        <is>
          <t>Allmännings- och besparingsskogar</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45841</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30821-2025</t>
        </is>
      </c>
      <c r="B1417" s="1" t="n">
        <v>45831</v>
      </c>
      <c r="C1417" s="1" t="n">
        <v>45841</v>
      </c>
      <c r="D1417" t="inlineStr">
        <is>
          <t>DALARNAS LÄN</t>
        </is>
      </c>
      <c r="E1417" t="inlineStr">
        <is>
          <t>MALUNG-SÄLEN</t>
        </is>
      </c>
      <c r="F1417" t="inlineStr">
        <is>
          <t>Kommuner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30633-2025</t>
        </is>
      </c>
      <c r="B1418" s="1" t="n">
        <v>45831</v>
      </c>
      <c r="C1418" s="1" t="n">
        <v>45841</v>
      </c>
      <c r="D1418" t="inlineStr">
        <is>
          <t>DALARNAS LÄN</t>
        </is>
      </c>
      <c r="E1418" t="inlineStr">
        <is>
          <t>MALUNG-SÄLEN</t>
        </is>
      </c>
      <c r="F1418" t="inlineStr">
        <is>
          <t>Bergvik skog öst AB</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30566-2025</t>
        </is>
      </c>
      <c r="B1419" s="1" t="n">
        <v>45831</v>
      </c>
      <c r="C1419" s="1" t="n">
        <v>45841</v>
      </c>
      <c r="D1419" t="inlineStr">
        <is>
          <t>DALARNAS LÄN</t>
        </is>
      </c>
      <c r="E1419" t="inlineStr">
        <is>
          <t>MALUNG-SÄLEN</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30524-2025</t>
        </is>
      </c>
      <c r="B1420" s="1" t="n">
        <v>45831</v>
      </c>
      <c r="C1420" s="1" t="n">
        <v>45841</v>
      </c>
      <c r="D1420" t="inlineStr">
        <is>
          <t>DALARNAS LÄN</t>
        </is>
      </c>
      <c r="E1420" t="inlineStr">
        <is>
          <t>MALUNG-SÄLEN</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30808-2025</t>
        </is>
      </c>
      <c r="B1421" s="1" t="n">
        <v>45831</v>
      </c>
      <c r="C1421" s="1" t="n">
        <v>45841</v>
      </c>
      <c r="D1421" t="inlineStr">
        <is>
          <t>DALARNAS LÄN</t>
        </is>
      </c>
      <c r="E1421" t="inlineStr">
        <is>
          <t>MALUNG-SÄLEN</t>
        </is>
      </c>
      <c r="F1421" t="inlineStr">
        <is>
          <t>Kommuner</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30812-2025</t>
        </is>
      </c>
      <c r="B1422" s="1" t="n">
        <v>45831</v>
      </c>
      <c r="C1422" s="1" t="n">
        <v>45841</v>
      </c>
      <c r="D1422" t="inlineStr">
        <is>
          <t>DALARNAS LÄN</t>
        </is>
      </c>
      <c r="E1422" t="inlineStr">
        <is>
          <t>MALUNG-SÄLEN</t>
        </is>
      </c>
      <c r="F1422" t="inlineStr">
        <is>
          <t>Kommuner</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30919-2025</t>
        </is>
      </c>
      <c r="B1423" s="1" t="n">
        <v>45832</v>
      </c>
      <c r="C1423" s="1" t="n">
        <v>45841</v>
      </c>
      <c r="D1423" t="inlineStr">
        <is>
          <t>DALARNAS LÄN</t>
        </is>
      </c>
      <c r="E1423" t="inlineStr">
        <is>
          <t>MALUNG-SÄLEN</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30914-2025</t>
        </is>
      </c>
      <c r="B1424" s="1" t="n">
        <v>45832</v>
      </c>
      <c r="C1424" s="1" t="n">
        <v>45841</v>
      </c>
      <c r="D1424" t="inlineStr">
        <is>
          <t>DALARNAS LÄN</t>
        </is>
      </c>
      <c r="E1424" t="inlineStr">
        <is>
          <t>MALUNG-SÄLEN</t>
        </is>
      </c>
      <c r="F1424" t="inlineStr">
        <is>
          <t>Bergvik skog öst AB</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31067-2025</t>
        </is>
      </c>
      <c r="B1425" s="1" t="n">
        <v>45832</v>
      </c>
      <c r="C1425" s="1" t="n">
        <v>45841</v>
      </c>
      <c r="D1425" t="inlineStr">
        <is>
          <t>DALARNAS LÄN</t>
        </is>
      </c>
      <c r="E1425" t="inlineStr">
        <is>
          <t>MALUNG-SÄLEN</t>
        </is>
      </c>
      <c r="F1425" t="inlineStr">
        <is>
          <t>Bergvik skog öst AB</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31537-2025</t>
        </is>
      </c>
      <c r="B1426" s="1" t="n">
        <v>45833</v>
      </c>
      <c r="C1426" s="1" t="n">
        <v>45841</v>
      </c>
      <c r="D1426" t="inlineStr">
        <is>
          <t>DALARNAS LÄN</t>
        </is>
      </c>
      <c r="E1426" t="inlineStr">
        <is>
          <t>MALUNG-SÄLEN</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31534-2025</t>
        </is>
      </c>
      <c r="B1427" s="1" t="n">
        <v>45833</v>
      </c>
      <c r="C1427" s="1" t="n">
        <v>45841</v>
      </c>
      <c r="D1427" t="inlineStr">
        <is>
          <t>DALARNAS LÄN</t>
        </is>
      </c>
      <c r="E1427" t="inlineStr">
        <is>
          <t>MALUNG-SÄLEN</t>
        </is>
      </c>
      <c r="F1427" t="inlineStr">
        <is>
          <t>Allmännings- och besparingsskogar</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31700-2025</t>
        </is>
      </c>
      <c r="B1428" s="1" t="n">
        <v>45834</v>
      </c>
      <c r="C1428" s="1" t="n">
        <v>45841</v>
      </c>
      <c r="D1428" t="inlineStr">
        <is>
          <t>DALARNAS LÄN</t>
        </is>
      </c>
      <c r="E1428" t="inlineStr">
        <is>
          <t>MALUNG-SÄLEN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32153-2025</t>
        </is>
      </c>
      <c r="B1429" s="1" t="n">
        <v>45835</v>
      </c>
      <c r="C1429" s="1" t="n">
        <v>45841</v>
      </c>
      <c r="D1429" t="inlineStr">
        <is>
          <t>DALARNAS LÄN</t>
        </is>
      </c>
      <c r="E1429" t="inlineStr">
        <is>
          <t>MALUNG-SÄLEN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32117-2025</t>
        </is>
      </c>
      <c r="B1430" s="1" t="n">
        <v>45835</v>
      </c>
      <c r="C1430" s="1" t="n">
        <v>45841</v>
      </c>
      <c r="D1430" t="inlineStr">
        <is>
          <t>DALARNAS LÄN</t>
        </is>
      </c>
      <c r="E1430" t="inlineStr">
        <is>
          <t>MALUNG-SÄLEN</t>
        </is>
      </c>
      <c r="G1430" t="n">
        <v>34.5</v>
      </c>
      <c r="H1430" t="n">
        <v>0</v>
      </c>
      <c r="I1430" t="n">
        <v>0</v>
      </c>
      <c r="J1430" t="n">
        <v>0</v>
      </c>
      <c r="K1430" t="n">
        <v>0</v>
      </c>
      <c r="L1430" t="n">
        <v>0</v>
      </c>
      <c r="M1430" t="n">
        <v>0</v>
      </c>
      <c r="N1430" t="n">
        <v>0</v>
      </c>
      <c r="O1430" t="n">
        <v>0</v>
      </c>
      <c r="P1430" t="n">
        <v>0</v>
      </c>
      <c r="Q1430" t="n">
        <v>0</v>
      </c>
      <c r="R1430" s="2" t="inlineStr"/>
    </row>
    <row r="1431" ht="15" customHeight="1">
      <c r="A1431" t="inlineStr">
        <is>
          <t>A 31998-2025</t>
        </is>
      </c>
      <c r="B1431" s="1" t="n">
        <v>45835</v>
      </c>
      <c r="C1431" s="1" t="n">
        <v>45841</v>
      </c>
      <c r="D1431" t="inlineStr">
        <is>
          <t>DALARNAS LÄN</t>
        </is>
      </c>
      <c r="E1431" t="inlineStr">
        <is>
          <t>MALUNG-SÄLEN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32420-2025</t>
        </is>
      </c>
      <c r="B1432" s="1" t="n">
        <v>45838</v>
      </c>
      <c r="C1432" s="1" t="n">
        <v>45841</v>
      </c>
      <c r="D1432" t="inlineStr">
        <is>
          <t>DALARNAS LÄN</t>
        </is>
      </c>
      <c r="E1432" t="inlineStr">
        <is>
          <t>MALUNG-SÄLEN</t>
        </is>
      </c>
      <c r="F1432" t="inlineStr">
        <is>
          <t>Bergvik skog öst AB</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32570-2025</t>
        </is>
      </c>
      <c r="B1433" s="1" t="n">
        <v>45838</v>
      </c>
      <c r="C1433" s="1" t="n">
        <v>45841</v>
      </c>
      <c r="D1433" t="inlineStr">
        <is>
          <t>DALARNAS LÄN</t>
        </is>
      </c>
      <c r="E1433" t="inlineStr">
        <is>
          <t>MALUNG-SÄLEN</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32935-2025</t>
        </is>
      </c>
      <c r="B1434" s="1" t="n">
        <v>45839</v>
      </c>
      <c r="C1434" s="1" t="n">
        <v>45841</v>
      </c>
      <c r="D1434" t="inlineStr">
        <is>
          <t>DALARNAS LÄN</t>
        </is>
      </c>
      <c r="E1434" t="inlineStr">
        <is>
          <t>MALUNG-SÄLEN</t>
        </is>
      </c>
      <c r="F1434" t="inlineStr">
        <is>
          <t>Kommuner</t>
        </is>
      </c>
      <c r="G1434" t="n">
        <v>12.9</v>
      </c>
      <c r="H1434" t="n">
        <v>0</v>
      </c>
      <c r="I1434" t="n">
        <v>0</v>
      </c>
      <c r="J1434" t="n">
        <v>0</v>
      </c>
      <c r="K1434" t="n">
        <v>0</v>
      </c>
      <c r="L1434" t="n">
        <v>0</v>
      </c>
      <c r="M1434" t="n">
        <v>0</v>
      </c>
      <c r="N1434" t="n">
        <v>0</v>
      </c>
      <c r="O1434" t="n">
        <v>0</v>
      </c>
      <c r="P1434" t="n">
        <v>0</v>
      </c>
      <c r="Q1434" t="n">
        <v>0</v>
      </c>
      <c r="R1434" s="2" t="inlineStr"/>
    </row>
    <row r="1435" ht="15" customHeight="1">
      <c r="A1435" t="inlineStr">
        <is>
          <t>A 32702-2025</t>
        </is>
      </c>
      <c r="B1435" s="1" t="n">
        <v>45839</v>
      </c>
      <c r="C1435" s="1" t="n">
        <v>45841</v>
      </c>
      <c r="D1435" t="inlineStr">
        <is>
          <t>DALARNAS LÄN</t>
        </is>
      </c>
      <c r="E1435" t="inlineStr">
        <is>
          <t>MALUNG-SÄLEN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32700-2025</t>
        </is>
      </c>
      <c r="B1436" s="1" t="n">
        <v>45839</v>
      </c>
      <c r="C1436" s="1" t="n">
        <v>45841</v>
      </c>
      <c r="D1436" t="inlineStr">
        <is>
          <t>DALARNAS LÄN</t>
        </is>
      </c>
      <c r="E1436" t="inlineStr">
        <is>
          <t>MALUNG-SÄLEN</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32944-2025</t>
        </is>
      </c>
      <c r="B1437" s="1" t="n">
        <v>45839</v>
      </c>
      <c r="C1437" s="1" t="n">
        <v>45841</v>
      </c>
      <c r="D1437" t="inlineStr">
        <is>
          <t>DALARNAS LÄN</t>
        </is>
      </c>
      <c r="E1437" t="inlineStr">
        <is>
          <t>MALUNG-SÄLEN</t>
        </is>
      </c>
      <c r="F1437" t="inlineStr">
        <is>
          <t>Kommuner</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32940-2025</t>
        </is>
      </c>
      <c r="B1438" s="1" t="n">
        <v>45839</v>
      </c>
      <c r="C1438" s="1" t="n">
        <v>45841</v>
      </c>
      <c r="D1438" t="inlineStr">
        <is>
          <t>DALARNAS LÄN</t>
        </is>
      </c>
      <c r="E1438" t="inlineStr">
        <is>
          <t>MALUNG-SÄLEN</t>
        </is>
      </c>
      <c r="F1438" t="inlineStr">
        <is>
          <t>Kommuner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33190-2025</t>
        </is>
      </c>
      <c r="B1439" s="1" t="n">
        <v>45840</v>
      </c>
      <c r="C1439" s="1" t="n">
        <v>45841</v>
      </c>
      <c r="D1439" t="inlineStr">
        <is>
          <t>DALARNAS LÄN</t>
        </is>
      </c>
      <c r="E1439" t="inlineStr">
        <is>
          <t>MALUNG-SÄLEN</t>
        </is>
      </c>
      <c r="G1439" t="n">
        <v>3.3</v>
      </c>
      <c r="H1439" t="n">
        <v>0</v>
      </c>
      <c r="I1439" t="n">
        <v>0</v>
      </c>
      <c r="J1439" t="n">
        <v>0</v>
      </c>
      <c r="K1439" t="n">
        <v>0</v>
      </c>
      <c r="L1439" t="n">
        <v>0</v>
      </c>
      <c r="M1439" t="n">
        <v>0</v>
      </c>
      <c r="N1439" t="n">
        <v>0</v>
      </c>
      <c r="O1439" t="n">
        <v>0</v>
      </c>
      <c r="P1439" t="n">
        <v>0</v>
      </c>
      <c r="Q1439" t="n">
        <v>0</v>
      </c>
      <c r="R1439" s="2" t="inlineStr"/>
    </row>
    <row r="1440">
      <c r="A1440" t="inlineStr">
        <is>
          <t>A 33086-2025</t>
        </is>
      </c>
      <c r="B1440" s="1" t="n">
        <v>45840</v>
      </c>
      <c r="C1440" s="1" t="n">
        <v>45841</v>
      </c>
      <c r="D1440" t="inlineStr">
        <is>
          <t>DALARNAS LÄN</t>
        </is>
      </c>
      <c r="E1440" t="inlineStr">
        <is>
          <t>MALUNG-SÄLEN</t>
        </is>
      </c>
      <c r="F1440" t="inlineStr">
        <is>
          <t>Kommuner</t>
        </is>
      </c>
      <c r="G1440" t="n">
        <v>4.4</v>
      </c>
      <c r="H1440" t="n">
        <v>0</v>
      </c>
      <c r="I1440" t="n">
        <v>0</v>
      </c>
      <c r="J1440" t="n">
        <v>0</v>
      </c>
      <c r="K1440" t="n">
        <v>0</v>
      </c>
      <c r="L1440" t="n">
        <v>0</v>
      </c>
      <c r="M1440" t="n">
        <v>0</v>
      </c>
      <c r="N1440" t="n">
        <v>0</v>
      </c>
      <c r="O1440" t="n">
        <v>0</v>
      </c>
      <c r="P1440" t="n">
        <v>0</v>
      </c>
      <c r="Q1440" t="n">
        <v>0</v>
      </c>
      <c r="R1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2025-07-03T19:41:41Z</dcterms:created>
  <dcterms:modified xmlns:dcterms="http://purl.org/dc/terms/" xmlns:xsi="http://www.w3.org/2001/XMLSchema-instance" xsi:type="dcterms:W3CDTF">2025-07-03T19:41:42Z</dcterms:modified>
</cp:coreProperties>
</file>