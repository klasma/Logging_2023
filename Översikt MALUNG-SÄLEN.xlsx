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45635</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45635</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45635</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45635</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45635</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45635</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45635</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45635</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45635</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45635</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45635</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45635</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45635</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45635</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45635</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45635</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45635</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56419-2023</t>
        </is>
      </c>
      <c r="B42" s="1" t="n">
        <v>45236</v>
      </c>
      <c r="C42" s="1" t="n">
        <v>45635</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33659-2024</t>
        </is>
      </c>
      <c r="B43" s="1" t="n">
        <v>45520</v>
      </c>
      <c r="C43" s="1" t="n">
        <v>45635</v>
      </c>
      <c r="D43" t="inlineStr">
        <is>
          <t>DALARNAS LÄN</t>
        </is>
      </c>
      <c r="E43" t="inlineStr">
        <is>
          <t>MALUNG-SÄLEN</t>
        </is>
      </c>
      <c r="G43" t="n">
        <v>8.699999999999999</v>
      </c>
      <c r="H43" t="n">
        <v>0</v>
      </c>
      <c r="I43" t="n">
        <v>1</v>
      </c>
      <c r="J43" t="n">
        <v>2</v>
      </c>
      <c r="K43" t="n">
        <v>0</v>
      </c>
      <c r="L43" t="n">
        <v>0</v>
      </c>
      <c r="M43" t="n">
        <v>0</v>
      </c>
      <c r="N43" t="n">
        <v>0</v>
      </c>
      <c r="O43" t="n">
        <v>2</v>
      </c>
      <c r="P43" t="n">
        <v>0</v>
      </c>
      <c r="Q43" t="n">
        <v>3</v>
      </c>
      <c r="R43" s="2" t="inlineStr">
        <is>
          <t>Garnlav
Kortskaftad ärgspik
Bronshjon</t>
        </is>
      </c>
      <c r="S43">
        <f>HYPERLINK("https://klasma.github.io/Logging_2023/artfynd/A 33659-2024 artfynd.xlsx", "A 33659-2024")</f>
        <v/>
      </c>
      <c r="T43">
        <f>HYPERLINK("https://klasma.github.io/Logging_2023/kartor/A 33659-2024 karta.png", "A 33659-2024")</f>
        <v/>
      </c>
      <c r="V43">
        <f>HYPERLINK("https://klasma.github.io/Logging_2023/klagomål/A 33659-2024 FSC-klagomål.docx", "A 33659-2024")</f>
        <v/>
      </c>
      <c r="W43">
        <f>HYPERLINK("https://klasma.github.io/Logging_2023/klagomålsmail/A 33659-2024 FSC-klagomål mail.docx", "A 33659-2024")</f>
        <v/>
      </c>
      <c r="X43">
        <f>HYPERLINK("https://klasma.github.io/Logging_2023/tillsyn/A 33659-2024 tillsynsbegäran.docx", "A 33659-2024")</f>
        <v/>
      </c>
      <c r="Y43">
        <f>HYPERLINK("https://klasma.github.io/Logging_2023/tillsynsmail/A 33659-2024 tillsynsbegäran mail.docx", "A 33659-2024")</f>
        <v/>
      </c>
    </row>
    <row r="44" ht="15" customHeight="1">
      <c r="A44" t="inlineStr">
        <is>
          <t>A 20918-2021</t>
        </is>
      </c>
      <c r="B44" s="1" t="n">
        <v>44319</v>
      </c>
      <c r="C44" s="1" t="n">
        <v>45635</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11710-2022</t>
        </is>
      </c>
      <c r="B45" s="1" t="n">
        <v>44634</v>
      </c>
      <c r="C45" s="1" t="n">
        <v>45635</v>
      </c>
      <c r="D45" t="inlineStr">
        <is>
          <t>DALARNAS LÄN</t>
        </is>
      </c>
      <c r="E45" t="inlineStr">
        <is>
          <t>MALUNG-SÄLEN</t>
        </is>
      </c>
      <c r="F45" t="inlineStr">
        <is>
          <t>Allmännings- och besparingsskogar</t>
        </is>
      </c>
      <c r="G45" t="n">
        <v>60</v>
      </c>
      <c r="H45" t="n">
        <v>0</v>
      </c>
      <c r="I45" t="n">
        <v>0</v>
      </c>
      <c r="J45" t="n">
        <v>1</v>
      </c>
      <c r="K45" t="n">
        <v>1</v>
      </c>
      <c r="L45" t="n">
        <v>0</v>
      </c>
      <c r="M45" t="n">
        <v>0</v>
      </c>
      <c r="N45" t="n">
        <v>0</v>
      </c>
      <c r="O45" t="n">
        <v>2</v>
      </c>
      <c r="P45" t="n">
        <v>1</v>
      </c>
      <c r="Q45" t="n">
        <v>2</v>
      </c>
      <c r="R45" s="2" t="inlineStr">
        <is>
          <t>Gräddporing
Violettgrå tagellav</t>
        </is>
      </c>
      <c r="S45">
        <f>HYPERLINK("https://klasma.github.io/Logging_2023/artfynd/A 11710-2022 artfynd.xlsx", "A 11710-2022")</f>
        <v/>
      </c>
      <c r="T45">
        <f>HYPERLINK("https://klasma.github.io/Logging_2023/kartor/A 11710-2022 karta.png", "A 11710-2022")</f>
        <v/>
      </c>
      <c r="V45">
        <f>HYPERLINK("https://klasma.github.io/Logging_2023/klagomål/A 11710-2022 FSC-klagomål.docx", "A 11710-2022")</f>
        <v/>
      </c>
      <c r="W45">
        <f>HYPERLINK("https://klasma.github.io/Logging_2023/klagomålsmail/A 11710-2022 FSC-klagomål mail.docx", "A 11710-2022")</f>
        <v/>
      </c>
      <c r="X45">
        <f>HYPERLINK("https://klasma.github.io/Logging_2023/tillsyn/A 11710-2022 tillsynsbegäran.docx", "A 11710-2022")</f>
        <v/>
      </c>
      <c r="Y45">
        <f>HYPERLINK("https://klasma.github.io/Logging_2023/tillsynsmail/A 11710-2022 tillsynsbegäran mail.docx", "A 11710-2022")</f>
        <v/>
      </c>
    </row>
    <row r="46" ht="15" customHeight="1">
      <c r="A46" t="inlineStr">
        <is>
          <t>A 12636-2022</t>
        </is>
      </c>
      <c r="B46" s="1" t="n">
        <v>44641</v>
      </c>
      <c r="C46" s="1" t="n">
        <v>45635</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45635</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55664-2022</t>
        </is>
      </c>
      <c r="B48" s="1" t="n">
        <v>44888</v>
      </c>
      <c r="C48" s="1" t="n">
        <v>45635</v>
      </c>
      <c r="D48" t="inlineStr">
        <is>
          <t>DALARNAS LÄN</t>
        </is>
      </c>
      <c r="E48" t="inlineStr">
        <is>
          <t>MALUNG-SÄLEN</t>
        </is>
      </c>
      <c r="F48" t="inlineStr">
        <is>
          <t>Allmännings- och besparingsskogar</t>
        </is>
      </c>
      <c r="G48" t="n">
        <v>12.7</v>
      </c>
      <c r="H48" t="n">
        <v>0</v>
      </c>
      <c r="I48" t="n">
        <v>0</v>
      </c>
      <c r="J48" t="n">
        <v>2</v>
      </c>
      <c r="K48" t="n">
        <v>0</v>
      </c>
      <c r="L48" t="n">
        <v>0</v>
      </c>
      <c r="M48" t="n">
        <v>0</v>
      </c>
      <c r="N48" t="n">
        <v>0</v>
      </c>
      <c r="O48" t="n">
        <v>2</v>
      </c>
      <c r="P48" t="n">
        <v>0</v>
      </c>
      <c r="Q48" t="n">
        <v>2</v>
      </c>
      <c r="R48" s="2" t="inlineStr">
        <is>
          <t>Dvärgbägarlav
Mörk kolflarnlav</t>
        </is>
      </c>
      <c r="S48">
        <f>HYPERLINK("https://klasma.github.io/Logging_2023/artfynd/A 55664-2022 artfynd.xlsx", "A 55664-2022")</f>
        <v/>
      </c>
      <c r="T48">
        <f>HYPERLINK("https://klasma.github.io/Logging_2023/kartor/A 55664-2022 karta.png", "A 55664-2022")</f>
        <v/>
      </c>
      <c r="V48">
        <f>HYPERLINK("https://klasma.github.io/Logging_2023/klagomål/A 55664-2022 FSC-klagomål.docx", "A 55664-2022")</f>
        <v/>
      </c>
      <c r="W48">
        <f>HYPERLINK("https://klasma.github.io/Logging_2023/klagomålsmail/A 55664-2022 FSC-klagomål mail.docx", "A 55664-2022")</f>
        <v/>
      </c>
      <c r="X48">
        <f>HYPERLINK("https://klasma.github.io/Logging_2023/tillsyn/A 55664-2022 tillsynsbegäran.docx", "A 55664-2022")</f>
        <v/>
      </c>
      <c r="Y48">
        <f>HYPERLINK("https://klasma.github.io/Logging_2023/tillsynsmail/A 55664-2022 tillsynsbegäran mail.docx", "A 55664-2022")</f>
        <v/>
      </c>
    </row>
    <row r="49" ht="15" customHeight="1">
      <c r="A49" t="inlineStr">
        <is>
          <t>A 35329-2023</t>
        </is>
      </c>
      <c r="B49" s="1" t="n">
        <v>45146</v>
      </c>
      <c r="C49" s="1" t="n">
        <v>45635</v>
      </c>
      <c r="D49" t="inlineStr">
        <is>
          <t>DALARNAS LÄN</t>
        </is>
      </c>
      <c r="E49" t="inlineStr">
        <is>
          <t>MALUNG-SÄLEN</t>
        </is>
      </c>
      <c r="F49" t="inlineStr">
        <is>
          <t>Allmännings- och besparingsskogar</t>
        </is>
      </c>
      <c r="G49" t="n">
        <v>3.8</v>
      </c>
      <c r="H49" t="n">
        <v>0</v>
      </c>
      <c r="I49" t="n">
        <v>0</v>
      </c>
      <c r="J49" t="n">
        <v>2</v>
      </c>
      <c r="K49" t="n">
        <v>0</v>
      </c>
      <c r="L49" t="n">
        <v>0</v>
      </c>
      <c r="M49" t="n">
        <v>0</v>
      </c>
      <c r="N49" t="n">
        <v>0</v>
      </c>
      <c r="O49" t="n">
        <v>2</v>
      </c>
      <c r="P49" t="n">
        <v>0</v>
      </c>
      <c r="Q49" t="n">
        <v>2</v>
      </c>
      <c r="R49" s="2" t="inlineStr">
        <is>
          <t>Kolflarnlav
Vedskivlav</t>
        </is>
      </c>
      <c r="S49">
        <f>HYPERLINK("https://klasma.github.io/Logging_2023/artfynd/A 35329-2023 artfynd.xlsx", "A 35329-2023")</f>
        <v/>
      </c>
      <c r="T49">
        <f>HYPERLINK("https://klasma.github.io/Logging_2023/kartor/A 35329-2023 karta.png", "A 35329-2023")</f>
        <v/>
      </c>
      <c r="V49">
        <f>HYPERLINK("https://klasma.github.io/Logging_2023/klagomål/A 35329-2023 FSC-klagomål.docx", "A 35329-2023")</f>
        <v/>
      </c>
      <c r="W49">
        <f>HYPERLINK("https://klasma.github.io/Logging_2023/klagomålsmail/A 35329-2023 FSC-klagomål mail.docx", "A 35329-2023")</f>
        <v/>
      </c>
      <c r="X49">
        <f>HYPERLINK("https://klasma.github.io/Logging_2023/tillsyn/A 35329-2023 tillsynsbegäran.docx", "A 35329-2023")</f>
        <v/>
      </c>
      <c r="Y49">
        <f>HYPERLINK("https://klasma.github.io/Logging_2023/tillsynsmail/A 35329-2023 tillsynsbegäran mail.docx", "A 35329-2023")</f>
        <v/>
      </c>
    </row>
    <row r="50" ht="15" customHeight="1">
      <c r="A50" t="inlineStr">
        <is>
          <t>A 2005-2024</t>
        </is>
      </c>
      <c r="B50" s="1" t="n">
        <v>45308</v>
      </c>
      <c r="C50" s="1" t="n">
        <v>45635</v>
      </c>
      <c r="D50" t="inlineStr">
        <is>
          <t>DALARNAS LÄN</t>
        </is>
      </c>
      <c r="E50" t="inlineStr">
        <is>
          <t>MALUNG-SÄLEN</t>
        </is>
      </c>
      <c r="G50" t="n">
        <v>5.5</v>
      </c>
      <c r="H50" t="n">
        <v>0</v>
      </c>
      <c r="I50" t="n">
        <v>0</v>
      </c>
      <c r="J50" t="n">
        <v>2</v>
      </c>
      <c r="K50" t="n">
        <v>0</v>
      </c>
      <c r="L50" t="n">
        <v>0</v>
      </c>
      <c r="M50" t="n">
        <v>0</v>
      </c>
      <c r="N50" t="n">
        <v>0</v>
      </c>
      <c r="O50" t="n">
        <v>2</v>
      </c>
      <c r="P50" t="n">
        <v>0</v>
      </c>
      <c r="Q50" t="n">
        <v>2</v>
      </c>
      <c r="R50" s="2" t="inlineStr">
        <is>
          <t>Kolflarnlav
Vedskivlav</t>
        </is>
      </c>
      <c r="S50">
        <f>HYPERLINK("https://klasma.github.io/Logging_2023/artfynd/A 2005-2024 artfynd.xlsx", "A 2005-2024")</f>
        <v/>
      </c>
      <c r="T50">
        <f>HYPERLINK("https://klasma.github.io/Logging_2023/kartor/A 2005-2024 karta.png", "A 2005-2024")</f>
        <v/>
      </c>
      <c r="V50">
        <f>HYPERLINK("https://klasma.github.io/Logging_2023/klagomål/A 2005-2024 FSC-klagomål.docx", "A 2005-2024")</f>
        <v/>
      </c>
      <c r="W50">
        <f>HYPERLINK("https://klasma.github.io/Logging_2023/klagomålsmail/A 2005-2024 FSC-klagomål mail.docx", "A 2005-2024")</f>
        <v/>
      </c>
      <c r="X50">
        <f>HYPERLINK("https://klasma.github.io/Logging_2023/tillsyn/A 2005-2024 tillsynsbegäran.docx", "A 2005-2024")</f>
        <v/>
      </c>
      <c r="Y50">
        <f>HYPERLINK("https://klasma.github.io/Logging_2023/tillsynsmail/A 2005-2024 tillsynsbegäran mail.docx", "A 2005-2024")</f>
        <v/>
      </c>
    </row>
    <row r="51" ht="15" customHeight="1">
      <c r="A51" t="inlineStr">
        <is>
          <t>A 36089-2024</t>
        </is>
      </c>
      <c r="B51" s="1" t="n">
        <v>45533</v>
      </c>
      <c r="C51" s="1" t="n">
        <v>45635</v>
      </c>
      <c r="D51" t="inlineStr">
        <is>
          <t>DALARNAS LÄN</t>
        </is>
      </c>
      <c r="E51" t="inlineStr">
        <is>
          <t>MALUNG-SÄLEN</t>
        </is>
      </c>
      <c r="G51" t="n">
        <v>6.1</v>
      </c>
      <c r="H51" t="n">
        <v>1</v>
      </c>
      <c r="I51" t="n">
        <v>1</v>
      </c>
      <c r="J51" t="n">
        <v>1</v>
      </c>
      <c r="K51" t="n">
        <v>0</v>
      </c>
      <c r="L51" t="n">
        <v>0</v>
      </c>
      <c r="M51" t="n">
        <v>0</v>
      </c>
      <c r="N51" t="n">
        <v>0</v>
      </c>
      <c r="O51" t="n">
        <v>1</v>
      </c>
      <c r="P51" t="n">
        <v>0</v>
      </c>
      <c r="Q51" t="n">
        <v>2</v>
      </c>
      <c r="R51" s="2" t="inlineStr">
        <is>
          <t>Garnlav
Spindelblomster</t>
        </is>
      </c>
      <c r="S51">
        <f>HYPERLINK("https://klasma.github.io/Logging_2023/artfynd/A 36089-2024 artfynd.xlsx", "A 36089-2024")</f>
        <v/>
      </c>
      <c r="T51">
        <f>HYPERLINK("https://klasma.github.io/Logging_2023/kartor/A 36089-2024 karta.png", "A 36089-2024")</f>
        <v/>
      </c>
      <c r="V51">
        <f>HYPERLINK("https://klasma.github.io/Logging_2023/klagomål/A 36089-2024 FSC-klagomål.docx", "A 36089-2024")</f>
        <v/>
      </c>
      <c r="W51">
        <f>HYPERLINK("https://klasma.github.io/Logging_2023/klagomålsmail/A 36089-2024 FSC-klagomål mail.docx", "A 36089-2024")</f>
        <v/>
      </c>
      <c r="X51">
        <f>HYPERLINK("https://klasma.github.io/Logging_2023/tillsyn/A 36089-2024 tillsynsbegäran.docx", "A 36089-2024")</f>
        <v/>
      </c>
      <c r="Y51">
        <f>HYPERLINK("https://klasma.github.io/Logging_2023/tillsynsmail/A 36089-2024 tillsynsbegäran mail.docx", "A 36089-2024")</f>
        <v/>
      </c>
    </row>
    <row r="52" ht="15" customHeight="1">
      <c r="A52" t="inlineStr">
        <is>
          <t>A 48143-2024</t>
        </is>
      </c>
      <c r="B52" s="1" t="n">
        <v>45589</v>
      </c>
      <c r="C52" s="1" t="n">
        <v>45635</v>
      </c>
      <c r="D52" t="inlineStr">
        <is>
          <t>DALARNAS LÄN</t>
        </is>
      </c>
      <c r="E52" t="inlineStr">
        <is>
          <t>MALUNG-SÄLEN</t>
        </is>
      </c>
      <c r="F52" t="inlineStr">
        <is>
          <t>Bergvik skog väst AB</t>
        </is>
      </c>
      <c r="G52" t="n">
        <v>4.5</v>
      </c>
      <c r="H52" t="n">
        <v>0</v>
      </c>
      <c r="I52" t="n">
        <v>1</v>
      </c>
      <c r="J52" t="n">
        <v>1</v>
      </c>
      <c r="K52" t="n">
        <v>0</v>
      </c>
      <c r="L52" t="n">
        <v>0</v>
      </c>
      <c r="M52" t="n">
        <v>0</v>
      </c>
      <c r="N52" t="n">
        <v>0</v>
      </c>
      <c r="O52" t="n">
        <v>1</v>
      </c>
      <c r="P52" t="n">
        <v>0</v>
      </c>
      <c r="Q52" t="n">
        <v>2</v>
      </c>
      <c r="R52" s="2" t="inlineStr">
        <is>
          <t>Garnlav
Mindre märgborre</t>
        </is>
      </c>
      <c r="S52">
        <f>HYPERLINK("https://klasma.github.io/Logging_2023/artfynd/A 48143-2024 artfynd.xlsx", "A 48143-2024")</f>
        <v/>
      </c>
      <c r="T52">
        <f>HYPERLINK("https://klasma.github.io/Logging_2023/kartor/A 48143-2024 karta.png", "A 48143-2024")</f>
        <v/>
      </c>
      <c r="V52">
        <f>HYPERLINK("https://klasma.github.io/Logging_2023/klagomål/A 48143-2024 FSC-klagomål.docx", "A 48143-2024")</f>
        <v/>
      </c>
      <c r="W52">
        <f>HYPERLINK("https://klasma.github.io/Logging_2023/klagomålsmail/A 48143-2024 FSC-klagomål mail.docx", "A 48143-2024")</f>
        <v/>
      </c>
      <c r="X52">
        <f>HYPERLINK("https://klasma.github.io/Logging_2023/tillsyn/A 48143-2024 tillsynsbegäran.docx", "A 48143-2024")</f>
        <v/>
      </c>
      <c r="Y52">
        <f>HYPERLINK("https://klasma.github.io/Logging_2023/tillsynsmail/A 48143-2024 tillsynsbegäran mail.docx", "A 48143-2024")</f>
        <v/>
      </c>
    </row>
    <row r="53" ht="15" customHeight="1">
      <c r="A53" t="inlineStr">
        <is>
          <t>A 49205-2024</t>
        </is>
      </c>
      <c r="B53" s="1" t="n">
        <v>45595</v>
      </c>
      <c r="C53" s="1" t="n">
        <v>45635</v>
      </c>
      <c r="D53" t="inlineStr">
        <is>
          <t>DALARNAS LÄN</t>
        </is>
      </c>
      <c r="E53" t="inlineStr">
        <is>
          <t>MALUNG-SÄLEN</t>
        </is>
      </c>
      <c r="F53" t="inlineStr">
        <is>
          <t>Allmännings- och besparingsskogar</t>
        </is>
      </c>
      <c r="G53" t="n">
        <v>22</v>
      </c>
      <c r="H53" t="n">
        <v>0</v>
      </c>
      <c r="I53" t="n">
        <v>0</v>
      </c>
      <c r="J53" t="n">
        <v>2</v>
      </c>
      <c r="K53" t="n">
        <v>0</v>
      </c>
      <c r="L53" t="n">
        <v>0</v>
      </c>
      <c r="M53" t="n">
        <v>0</v>
      </c>
      <c r="N53" t="n">
        <v>0</v>
      </c>
      <c r="O53" t="n">
        <v>2</v>
      </c>
      <c r="P53" t="n">
        <v>0</v>
      </c>
      <c r="Q53" t="n">
        <v>2</v>
      </c>
      <c r="R53" s="2" t="inlineStr">
        <is>
          <t>Motaggsvamp
Vedskivlav</t>
        </is>
      </c>
      <c r="S53">
        <f>HYPERLINK("https://klasma.github.io/Logging_2023/artfynd/A 49205-2024 artfynd.xlsx", "A 49205-2024")</f>
        <v/>
      </c>
      <c r="T53">
        <f>HYPERLINK("https://klasma.github.io/Logging_2023/kartor/A 49205-2024 karta.png", "A 49205-2024")</f>
        <v/>
      </c>
      <c r="V53">
        <f>HYPERLINK("https://klasma.github.io/Logging_2023/klagomål/A 49205-2024 FSC-klagomål.docx", "A 49205-2024")</f>
        <v/>
      </c>
      <c r="W53">
        <f>HYPERLINK("https://klasma.github.io/Logging_2023/klagomålsmail/A 49205-2024 FSC-klagomål mail.docx", "A 49205-2024")</f>
        <v/>
      </c>
      <c r="X53">
        <f>HYPERLINK("https://klasma.github.io/Logging_2023/tillsyn/A 49205-2024 tillsynsbegäran.docx", "A 49205-2024")</f>
        <v/>
      </c>
      <c r="Y53">
        <f>HYPERLINK("https://klasma.github.io/Logging_2023/tillsynsmail/A 49205-2024 tillsynsbegäran mail.docx", "A 49205-2024")</f>
        <v/>
      </c>
    </row>
    <row r="54" ht="15" customHeight="1">
      <c r="A54" t="inlineStr">
        <is>
          <t>A 39475-2019</t>
        </is>
      </c>
      <c r="B54" s="1" t="n">
        <v>43691</v>
      </c>
      <c r="C54" s="1" t="n">
        <v>45635</v>
      </c>
      <c r="D54" t="inlineStr">
        <is>
          <t>DALARNAS LÄN</t>
        </is>
      </c>
      <c r="E54" t="inlineStr">
        <is>
          <t>MALUNG-SÄLEN</t>
        </is>
      </c>
      <c r="G54" t="n">
        <v>4.4</v>
      </c>
      <c r="H54" t="n">
        <v>1</v>
      </c>
      <c r="I54" t="n">
        <v>0</v>
      </c>
      <c r="J54" t="n">
        <v>0</v>
      </c>
      <c r="K54" t="n">
        <v>0</v>
      </c>
      <c r="L54" t="n">
        <v>0</v>
      </c>
      <c r="M54" t="n">
        <v>0</v>
      </c>
      <c r="N54" t="n">
        <v>0</v>
      </c>
      <c r="O54" t="n">
        <v>0</v>
      </c>
      <c r="P54" t="n">
        <v>0</v>
      </c>
      <c r="Q54" t="n">
        <v>1</v>
      </c>
      <c r="R54" s="2" t="inlineStr">
        <is>
          <t>Nattviol</t>
        </is>
      </c>
      <c r="S54">
        <f>HYPERLINK("https://klasma.github.io/Logging_2023/artfynd/A 39475-2019 artfynd.xlsx", "A 39475-2019")</f>
        <v/>
      </c>
      <c r="T54">
        <f>HYPERLINK("https://klasma.github.io/Logging_2023/kartor/A 39475-2019 karta.png", "A 39475-2019")</f>
        <v/>
      </c>
      <c r="V54">
        <f>HYPERLINK("https://klasma.github.io/Logging_2023/klagomål/A 39475-2019 FSC-klagomål.docx", "A 39475-2019")</f>
        <v/>
      </c>
      <c r="W54">
        <f>HYPERLINK("https://klasma.github.io/Logging_2023/klagomålsmail/A 39475-2019 FSC-klagomål mail.docx", "A 39475-2019")</f>
        <v/>
      </c>
      <c r="X54">
        <f>HYPERLINK("https://klasma.github.io/Logging_2023/tillsyn/A 39475-2019 tillsynsbegäran.docx", "A 39475-2019")</f>
        <v/>
      </c>
      <c r="Y54">
        <f>HYPERLINK("https://klasma.github.io/Logging_2023/tillsynsmail/A 39475-2019 tillsynsbegäran mail.docx", "A 39475-2019")</f>
        <v/>
      </c>
    </row>
    <row r="55" ht="15" customHeight="1">
      <c r="A55" t="inlineStr">
        <is>
          <t>A 62206-2019</t>
        </is>
      </c>
      <c r="B55" s="1" t="n">
        <v>43788</v>
      </c>
      <c r="C55" s="1" t="n">
        <v>45635</v>
      </c>
      <c r="D55" t="inlineStr">
        <is>
          <t>DALARNAS LÄN</t>
        </is>
      </c>
      <c r="E55" t="inlineStr">
        <is>
          <t>MALUNG-SÄLEN</t>
        </is>
      </c>
      <c r="G55" t="n">
        <v>0.8</v>
      </c>
      <c r="H55" t="n">
        <v>0</v>
      </c>
      <c r="I55" t="n">
        <v>0</v>
      </c>
      <c r="J55" t="n">
        <v>1</v>
      </c>
      <c r="K55" t="n">
        <v>0</v>
      </c>
      <c r="L55" t="n">
        <v>0</v>
      </c>
      <c r="M55" t="n">
        <v>0</v>
      </c>
      <c r="N55" t="n">
        <v>0</v>
      </c>
      <c r="O55" t="n">
        <v>1</v>
      </c>
      <c r="P55" t="n">
        <v>0</v>
      </c>
      <c r="Q55" t="n">
        <v>1</v>
      </c>
      <c r="R55" s="2" t="inlineStr">
        <is>
          <t>Lunglav</t>
        </is>
      </c>
      <c r="S55">
        <f>HYPERLINK("https://klasma.github.io/Logging_2023/artfynd/A 62206-2019 artfynd.xlsx", "A 62206-2019")</f>
        <v/>
      </c>
      <c r="T55">
        <f>HYPERLINK("https://klasma.github.io/Logging_2023/kartor/A 62206-2019 karta.png", "A 62206-2019")</f>
        <v/>
      </c>
      <c r="V55">
        <f>HYPERLINK("https://klasma.github.io/Logging_2023/klagomål/A 62206-2019 FSC-klagomål.docx", "A 62206-2019")</f>
        <v/>
      </c>
      <c r="W55">
        <f>HYPERLINK("https://klasma.github.io/Logging_2023/klagomålsmail/A 62206-2019 FSC-klagomål mail.docx", "A 62206-2019")</f>
        <v/>
      </c>
      <c r="X55">
        <f>HYPERLINK("https://klasma.github.io/Logging_2023/tillsyn/A 62206-2019 tillsynsbegäran.docx", "A 62206-2019")</f>
        <v/>
      </c>
      <c r="Y55">
        <f>HYPERLINK("https://klasma.github.io/Logging_2023/tillsynsmail/A 62206-2019 tillsynsbegäran mail.docx", "A 62206-2019")</f>
        <v/>
      </c>
    </row>
    <row r="56" ht="15" customHeight="1">
      <c r="A56" t="inlineStr">
        <is>
          <t>A 12761-2020</t>
        </is>
      </c>
      <c r="B56" s="1" t="n">
        <v>43899</v>
      </c>
      <c r="C56" s="1" t="n">
        <v>45635</v>
      </c>
      <c r="D56" t="inlineStr">
        <is>
          <t>DALARNAS LÄN</t>
        </is>
      </c>
      <c r="E56" t="inlineStr">
        <is>
          <t>MALUNG-SÄLEN</t>
        </is>
      </c>
      <c r="G56" t="n">
        <v>1.4</v>
      </c>
      <c r="H56" t="n">
        <v>0</v>
      </c>
      <c r="I56" t="n">
        <v>0</v>
      </c>
      <c r="J56" t="n">
        <v>1</v>
      </c>
      <c r="K56" t="n">
        <v>0</v>
      </c>
      <c r="L56" t="n">
        <v>0</v>
      </c>
      <c r="M56" t="n">
        <v>0</v>
      </c>
      <c r="N56" t="n">
        <v>0</v>
      </c>
      <c r="O56" t="n">
        <v>1</v>
      </c>
      <c r="P56" t="n">
        <v>0</v>
      </c>
      <c r="Q56" t="n">
        <v>1</v>
      </c>
      <c r="R56" s="2" t="inlineStr">
        <is>
          <t>Motaggsvamp</t>
        </is>
      </c>
      <c r="S56">
        <f>HYPERLINK("https://klasma.github.io/Logging_2023/artfynd/A 12761-2020 artfynd.xlsx", "A 12761-2020")</f>
        <v/>
      </c>
      <c r="T56">
        <f>HYPERLINK("https://klasma.github.io/Logging_2023/kartor/A 12761-2020 karta.png", "A 12761-2020")</f>
        <v/>
      </c>
      <c r="V56">
        <f>HYPERLINK("https://klasma.github.io/Logging_2023/klagomål/A 12761-2020 FSC-klagomål.docx", "A 12761-2020")</f>
        <v/>
      </c>
      <c r="W56">
        <f>HYPERLINK("https://klasma.github.io/Logging_2023/klagomålsmail/A 12761-2020 FSC-klagomål mail.docx", "A 12761-2020")</f>
        <v/>
      </c>
      <c r="X56">
        <f>HYPERLINK("https://klasma.github.io/Logging_2023/tillsyn/A 12761-2020 tillsynsbegäran.docx", "A 12761-2020")</f>
        <v/>
      </c>
      <c r="Y56">
        <f>HYPERLINK("https://klasma.github.io/Logging_2023/tillsynsmail/A 12761-2020 tillsynsbegäran mail.docx", "A 12761-2020")</f>
        <v/>
      </c>
    </row>
    <row r="57" ht="15" customHeight="1">
      <c r="A57" t="inlineStr">
        <is>
          <t>A 19759-2020</t>
        </is>
      </c>
      <c r="B57" s="1" t="n">
        <v>43942</v>
      </c>
      <c r="C57" s="1" t="n">
        <v>45635</v>
      </c>
      <c r="D57" t="inlineStr">
        <is>
          <t>DALARNAS LÄN</t>
        </is>
      </c>
      <c r="E57" t="inlineStr">
        <is>
          <t>MALUNG-SÄLEN</t>
        </is>
      </c>
      <c r="G57" t="n">
        <v>3.8</v>
      </c>
      <c r="H57" t="n">
        <v>1</v>
      </c>
      <c r="I57" t="n">
        <v>0</v>
      </c>
      <c r="J57" t="n">
        <v>0</v>
      </c>
      <c r="K57" t="n">
        <v>0</v>
      </c>
      <c r="L57" t="n">
        <v>1</v>
      </c>
      <c r="M57" t="n">
        <v>0</v>
      </c>
      <c r="N57" t="n">
        <v>0</v>
      </c>
      <c r="O57" t="n">
        <v>1</v>
      </c>
      <c r="P57" t="n">
        <v>1</v>
      </c>
      <c r="Q57" t="n">
        <v>1</v>
      </c>
      <c r="R57" s="2" t="inlineStr">
        <is>
          <t>Mosippa</t>
        </is>
      </c>
      <c r="S57">
        <f>HYPERLINK("https://klasma.github.io/Logging_2023/artfynd/A 19759-2020 artfynd.xlsx", "A 19759-2020")</f>
        <v/>
      </c>
      <c r="T57">
        <f>HYPERLINK("https://klasma.github.io/Logging_2023/kartor/A 19759-2020 karta.png", "A 19759-2020")</f>
        <v/>
      </c>
      <c r="V57">
        <f>HYPERLINK("https://klasma.github.io/Logging_2023/klagomål/A 19759-2020 FSC-klagomål.docx", "A 19759-2020")</f>
        <v/>
      </c>
      <c r="W57">
        <f>HYPERLINK("https://klasma.github.io/Logging_2023/klagomålsmail/A 19759-2020 FSC-klagomål mail.docx", "A 19759-2020")</f>
        <v/>
      </c>
      <c r="X57">
        <f>HYPERLINK("https://klasma.github.io/Logging_2023/tillsyn/A 19759-2020 tillsynsbegäran.docx", "A 19759-2020")</f>
        <v/>
      </c>
      <c r="Y57">
        <f>HYPERLINK("https://klasma.github.io/Logging_2023/tillsynsmail/A 19759-2020 tillsynsbegäran mail.docx", "A 19759-2020")</f>
        <v/>
      </c>
    </row>
    <row r="58" ht="15" customHeight="1">
      <c r="A58" t="inlineStr">
        <is>
          <t>A 25590-2020</t>
        </is>
      </c>
      <c r="B58" s="1" t="n">
        <v>43983</v>
      </c>
      <c r="C58" s="1" t="n">
        <v>45635</v>
      </c>
      <c r="D58" t="inlineStr">
        <is>
          <t>DALARNAS LÄN</t>
        </is>
      </c>
      <c r="E58" t="inlineStr">
        <is>
          <t>MALUNG-SÄLEN</t>
        </is>
      </c>
      <c r="F58" t="inlineStr">
        <is>
          <t>Allmännings- och besparingsskogar</t>
        </is>
      </c>
      <c r="G58" t="n">
        <v>2.2</v>
      </c>
      <c r="H58" t="n">
        <v>1</v>
      </c>
      <c r="I58" t="n">
        <v>0</v>
      </c>
      <c r="J58" t="n">
        <v>1</v>
      </c>
      <c r="K58" t="n">
        <v>0</v>
      </c>
      <c r="L58" t="n">
        <v>0</v>
      </c>
      <c r="M58" t="n">
        <v>0</v>
      </c>
      <c r="N58" t="n">
        <v>0</v>
      </c>
      <c r="O58" t="n">
        <v>1</v>
      </c>
      <c r="P58" t="n">
        <v>0</v>
      </c>
      <c r="Q58" t="n">
        <v>1</v>
      </c>
      <c r="R58" s="2" t="inlineStr">
        <is>
          <t>Tretåig hackspett</t>
        </is>
      </c>
      <c r="S58">
        <f>HYPERLINK("https://klasma.github.io/Logging_2023/artfynd/A 25590-2020 artfynd.xlsx", "A 25590-2020")</f>
        <v/>
      </c>
      <c r="T58">
        <f>HYPERLINK("https://klasma.github.io/Logging_2023/kartor/A 25590-2020 karta.png", "A 25590-2020")</f>
        <v/>
      </c>
      <c r="V58">
        <f>HYPERLINK("https://klasma.github.io/Logging_2023/klagomål/A 25590-2020 FSC-klagomål.docx", "A 25590-2020")</f>
        <v/>
      </c>
      <c r="W58">
        <f>HYPERLINK("https://klasma.github.io/Logging_2023/klagomålsmail/A 25590-2020 FSC-klagomål mail.docx", "A 25590-2020")</f>
        <v/>
      </c>
      <c r="X58">
        <f>HYPERLINK("https://klasma.github.io/Logging_2023/tillsyn/A 25590-2020 tillsynsbegäran.docx", "A 25590-2020")</f>
        <v/>
      </c>
      <c r="Y58">
        <f>HYPERLINK("https://klasma.github.io/Logging_2023/tillsynsmail/A 25590-2020 tillsynsbegäran mail.docx", "A 25590-2020")</f>
        <v/>
      </c>
      <c r="Z58">
        <f>HYPERLINK("https://klasma.github.io/Logging_2023/fåglar/A 25590-2020 prioriterade fågelarter.docx", "A 25590-2020")</f>
        <v/>
      </c>
    </row>
    <row r="59" ht="15" customHeight="1">
      <c r="A59" t="inlineStr">
        <is>
          <t>A 26557-2020</t>
        </is>
      </c>
      <c r="B59" s="1" t="n">
        <v>43987</v>
      </c>
      <c r="C59" s="1" t="n">
        <v>45635</v>
      </c>
      <c r="D59" t="inlineStr">
        <is>
          <t>DALARNAS LÄN</t>
        </is>
      </c>
      <c r="E59" t="inlineStr">
        <is>
          <t>MALUNG-SÄLEN</t>
        </is>
      </c>
      <c r="F59" t="inlineStr">
        <is>
          <t>Allmännings- och besparingsskogar</t>
        </is>
      </c>
      <c r="G59" t="n">
        <v>30.5</v>
      </c>
      <c r="H59" t="n">
        <v>1</v>
      </c>
      <c r="I59" t="n">
        <v>0</v>
      </c>
      <c r="J59" t="n">
        <v>0</v>
      </c>
      <c r="K59" t="n">
        <v>0</v>
      </c>
      <c r="L59" t="n">
        <v>0</v>
      </c>
      <c r="M59" t="n">
        <v>0</v>
      </c>
      <c r="N59" t="n">
        <v>0</v>
      </c>
      <c r="O59" t="n">
        <v>0</v>
      </c>
      <c r="P59" t="n">
        <v>0</v>
      </c>
      <c r="Q59" t="n">
        <v>1</v>
      </c>
      <c r="R59" s="2" t="inlineStr">
        <is>
          <t>Fläcknycklar</t>
        </is>
      </c>
      <c r="S59">
        <f>HYPERLINK("https://klasma.github.io/Logging_2023/artfynd/A 26557-2020 artfynd.xlsx", "A 26557-2020")</f>
        <v/>
      </c>
      <c r="T59">
        <f>HYPERLINK("https://klasma.github.io/Logging_2023/kartor/A 26557-2020 karta.png", "A 26557-2020")</f>
        <v/>
      </c>
      <c r="V59">
        <f>HYPERLINK("https://klasma.github.io/Logging_2023/klagomål/A 26557-2020 FSC-klagomål.docx", "A 26557-2020")</f>
        <v/>
      </c>
      <c r="W59">
        <f>HYPERLINK("https://klasma.github.io/Logging_2023/klagomålsmail/A 26557-2020 FSC-klagomål mail.docx", "A 26557-2020")</f>
        <v/>
      </c>
      <c r="X59">
        <f>HYPERLINK("https://klasma.github.io/Logging_2023/tillsyn/A 26557-2020 tillsynsbegäran.docx", "A 26557-2020")</f>
        <v/>
      </c>
      <c r="Y59">
        <f>HYPERLINK("https://klasma.github.io/Logging_2023/tillsynsmail/A 26557-2020 tillsynsbegäran mail.docx", "A 26557-2020")</f>
        <v/>
      </c>
    </row>
    <row r="60" ht="15" customHeight="1">
      <c r="A60" t="inlineStr">
        <is>
          <t>A 20921-2021</t>
        </is>
      </c>
      <c r="B60" s="1" t="n">
        <v>44319</v>
      </c>
      <c r="C60" s="1" t="n">
        <v>45635</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42981-2021</t>
        </is>
      </c>
      <c r="B61" s="1" t="n">
        <v>44427</v>
      </c>
      <c r="C61" s="1" t="n">
        <v>45635</v>
      </c>
      <c r="D61" t="inlineStr">
        <is>
          <t>DALARNAS LÄN</t>
        </is>
      </c>
      <c r="E61" t="inlineStr">
        <is>
          <t>MALUNG-SÄLEN</t>
        </is>
      </c>
      <c r="G61" t="n">
        <v>3.4</v>
      </c>
      <c r="H61" t="n">
        <v>0</v>
      </c>
      <c r="I61" t="n">
        <v>0</v>
      </c>
      <c r="J61" t="n">
        <v>1</v>
      </c>
      <c r="K61" t="n">
        <v>0</v>
      </c>
      <c r="L61" t="n">
        <v>0</v>
      </c>
      <c r="M61" t="n">
        <v>0</v>
      </c>
      <c r="N61" t="n">
        <v>0</v>
      </c>
      <c r="O61" t="n">
        <v>1</v>
      </c>
      <c r="P61" t="n">
        <v>0</v>
      </c>
      <c r="Q61" t="n">
        <v>1</v>
      </c>
      <c r="R61" s="2" t="inlineStr">
        <is>
          <t>Lunglav</t>
        </is>
      </c>
      <c r="S61">
        <f>HYPERLINK("https://klasma.github.io/Logging_2023/artfynd/A 42981-2021 artfynd.xlsx", "A 42981-2021")</f>
        <v/>
      </c>
      <c r="T61">
        <f>HYPERLINK("https://klasma.github.io/Logging_2023/kartor/A 42981-2021 karta.png", "A 42981-2021")</f>
        <v/>
      </c>
      <c r="V61">
        <f>HYPERLINK("https://klasma.github.io/Logging_2023/klagomål/A 42981-2021 FSC-klagomål.docx", "A 42981-2021")</f>
        <v/>
      </c>
      <c r="W61">
        <f>HYPERLINK("https://klasma.github.io/Logging_2023/klagomålsmail/A 42981-2021 FSC-klagomål mail.docx", "A 42981-2021")</f>
        <v/>
      </c>
      <c r="X61">
        <f>HYPERLINK("https://klasma.github.io/Logging_2023/tillsyn/A 42981-2021 tillsynsbegäran.docx", "A 42981-2021")</f>
        <v/>
      </c>
      <c r="Y61">
        <f>HYPERLINK("https://klasma.github.io/Logging_2023/tillsynsmail/A 42981-2021 tillsynsbegäran mail.docx", "A 42981-2021")</f>
        <v/>
      </c>
    </row>
    <row r="62" ht="15" customHeight="1">
      <c r="A62" t="inlineStr">
        <is>
          <t>A 52669-2021</t>
        </is>
      </c>
      <c r="B62" s="1" t="n">
        <v>44464</v>
      </c>
      <c r="C62" s="1" t="n">
        <v>45635</v>
      </c>
      <c r="D62" t="inlineStr">
        <is>
          <t>DALARNAS LÄN</t>
        </is>
      </c>
      <c r="E62" t="inlineStr">
        <is>
          <t>MALUNG-SÄLEN</t>
        </is>
      </c>
      <c r="G62" t="n">
        <v>0.2</v>
      </c>
      <c r="H62" t="n">
        <v>0</v>
      </c>
      <c r="I62" t="n">
        <v>0</v>
      </c>
      <c r="J62" t="n">
        <v>1</v>
      </c>
      <c r="K62" t="n">
        <v>0</v>
      </c>
      <c r="L62" t="n">
        <v>0</v>
      </c>
      <c r="M62" t="n">
        <v>0</v>
      </c>
      <c r="N62" t="n">
        <v>0</v>
      </c>
      <c r="O62" t="n">
        <v>1</v>
      </c>
      <c r="P62" t="n">
        <v>0</v>
      </c>
      <c r="Q62" t="n">
        <v>1</v>
      </c>
      <c r="R62" s="2" t="inlineStr">
        <is>
          <t>Garnlav</t>
        </is>
      </c>
      <c r="S62">
        <f>HYPERLINK("https://klasma.github.io/Logging_2023/artfynd/A 52669-2021 artfynd.xlsx", "A 52669-2021")</f>
        <v/>
      </c>
      <c r="T62">
        <f>HYPERLINK("https://klasma.github.io/Logging_2023/kartor/A 52669-2021 karta.png", "A 52669-2021")</f>
        <v/>
      </c>
      <c r="V62">
        <f>HYPERLINK("https://klasma.github.io/Logging_2023/klagomål/A 52669-2021 FSC-klagomål.docx", "A 52669-2021")</f>
        <v/>
      </c>
      <c r="W62">
        <f>HYPERLINK("https://klasma.github.io/Logging_2023/klagomålsmail/A 52669-2021 FSC-klagomål mail.docx", "A 52669-2021")</f>
        <v/>
      </c>
      <c r="X62">
        <f>HYPERLINK("https://klasma.github.io/Logging_2023/tillsyn/A 52669-2021 tillsynsbegäran.docx", "A 52669-2021")</f>
        <v/>
      </c>
      <c r="Y62">
        <f>HYPERLINK("https://klasma.github.io/Logging_2023/tillsynsmail/A 52669-2021 tillsynsbegäran mail.docx", "A 52669-2021")</f>
        <v/>
      </c>
    </row>
    <row r="63" ht="15" customHeight="1">
      <c r="A63" t="inlineStr">
        <is>
          <t>A 11560-2022</t>
        </is>
      </c>
      <c r="B63" s="1" t="n">
        <v>44631</v>
      </c>
      <c r="C63" s="1" t="n">
        <v>45635</v>
      </c>
      <c r="D63" t="inlineStr">
        <is>
          <t>DALARNAS LÄN</t>
        </is>
      </c>
      <c r="E63" t="inlineStr">
        <is>
          <t>MALUNG-SÄLEN</t>
        </is>
      </c>
      <c r="G63" t="n">
        <v>7.4</v>
      </c>
      <c r="H63" t="n">
        <v>0</v>
      </c>
      <c r="I63" t="n">
        <v>0</v>
      </c>
      <c r="J63" t="n">
        <v>1</v>
      </c>
      <c r="K63" t="n">
        <v>0</v>
      </c>
      <c r="L63" t="n">
        <v>0</v>
      </c>
      <c r="M63" t="n">
        <v>0</v>
      </c>
      <c r="N63" t="n">
        <v>0</v>
      </c>
      <c r="O63" t="n">
        <v>1</v>
      </c>
      <c r="P63" t="n">
        <v>0</v>
      </c>
      <c r="Q63" t="n">
        <v>1</v>
      </c>
      <c r="R63" s="2" t="inlineStr">
        <is>
          <t>Blå taggsvamp</t>
        </is>
      </c>
      <c r="S63">
        <f>HYPERLINK("https://klasma.github.io/Logging_2023/artfynd/A 11560-2022 artfynd.xlsx", "A 11560-2022")</f>
        <v/>
      </c>
      <c r="T63">
        <f>HYPERLINK("https://klasma.github.io/Logging_2023/kartor/A 11560-2022 karta.png", "A 11560-2022")</f>
        <v/>
      </c>
      <c r="V63">
        <f>HYPERLINK("https://klasma.github.io/Logging_2023/klagomål/A 11560-2022 FSC-klagomål.docx", "A 11560-2022")</f>
        <v/>
      </c>
      <c r="W63">
        <f>HYPERLINK("https://klasma.github.io/Logging_2023/klagomålsmail/A 11560-2022 FSC-klagomål mail.docx", "A 11560-2022")</f>
        <v/>
      </c>
      <c r="X63">
        <f>HYPERLINK("https://klasma.github.io/Logging_2023/tillsyn/A 11560-2022 tillsynsbegäran.docx", "A 11560-2022")</f>
        <v/>
      </c>
      <c r="Y63">
        <f>HYPERLINK("https://klasma.github.io/Logging_2023/tillsynsmail/A 11560-2022 tillsynsbegäran mail.docx", "A 11560-2022")</f>
        <v/>
      </c>
    </row>
    <row r="64" ht="15" customHeight="1">
      <c r="A64" t="inlineStr">
        <is>
          <t>A 23476-2022</t>
        </is>
      </c>
      <c r="B64" s="1" t="n">
        <v>44721</v>
      </c>
      <c r="C64" s="1" t="n">
        <v>45635</v>
      </c>
      <c r="D64" t="inlineStr">
        <is>
          <t>DALARNAS LÄN</t>
        </is>
      </c>
      <c r="E64" t="inlineStr">
        <is>
          <t>MALUNG-SÄLEN</t>
        </is>
      </c>
      <c r="F64" t="inlineStr">
        <is>
          <t>Övriga statliga verk och myndigheter</t>
        </is>
      </c>
      <c r="G64" t="n">
        <v>1.2</v>
      </c>
      <c r="H64" t="n">
        <v>0</v>
      </c>
      <c r="I64" t="n">
        <v>1</v>
      </c>
      <c r="J64" t="n">
        <v>0</v>
      </c>
      <c r="K64" t="n">
        <v>0</v>
      </c>
      <c r="L64" t="n">
        <v>0</v>
      </c>
      <c r="M64" t="n">
        <v>0</v>
      </c>
      <c r="N64" t="n">
        <v>0</v>
      </c>
      <c r="O64" t="n">
        <v>0</v>
      </c>
      <c r="P64" t="n">
        <v>0</v>
      </c>
      <c r="Q64" t="n">
        <v>1</v>
      </c>
      <c r="R64" s="2" t="inlineStr">
        <is>
          <t>Sotlav</t>
        </is>
      </c>
      <c r="S64">
        <f>HYPERLINK("https://klasma.github.io/Logging_2023/artfynd/A 23476-2022 artfynd.xlsx", "A 23476-2022")</f>
        <v/>
      </c>
      <c r="T64">
        <f>HYPERLINK("https://klasma.github.io/Logging_2023/kartor/A 23476-2022 karta.png", "A 23476-2022")</f>
        <v/>
      </c>
      <c r="V64">
        <f>HYPERLINK("https://klasma.github.io/Logging_2023/klagomål/A 23476-2022 FSC-klagomål.docx", "A 23476-2022")</f>
        <v/>
      </c>
      <c r="W64">
        <f>HYPERLINK("https://klasma.github.io/Logging_2023/klagomålsmail/A 23476-2022 FSC-klagomål mail.docx", "A 23476-2022")</f>
        <v/>
      </c>
      <c r="X64">
        <f>HYPERLINK("https://klasma.github.io/Logging_2023/tillsyn/A 23476-2022 tillsynsbegäran.docx", "A 23476-2022")</f>
        <v/>
      </c>
      <c r="Y64">
        <f>HYPERLINK("https://klasma.github.io/Logging_2023/tillsynsmail/A 23476-2022 tillsynsbegäran mail.docx", "A 23476-2022")</f>
        <v/>
      </c>
    </row>
    <row r="65" ht="15" customHeight="1">
      <c r="A65" t="inlineStr">
        <is>
          <t>A 33859-2022</t>
        </is>
      </c>
      <c r="B65" s="1" t="n">
        <v>44790</v>
      </c>
      <c r="C65" s="1" t="n">
        <v>45635</v>
      </c>
      <c r="D65" t="inlineStr">
        <is>
          <t>DALARNAS LÄN</t>
        </is>
      </c>
      <c r="E65" t="inlineStr">
        <is>
          <t>MALUNG-SÄLEN</t>
        </is>
      </c>
      <c r="G65" t="n">
        <v>18.8</v>
      </c>
      <c r="H65" t="n">
        <v>1</v>
      </c>
      <c r="I65" t="n">
        <v>0</v>
      </c>
      <c r="J65" t="n">
        <v>1</v>
      </c>
      <c r="K65" t="n">
        <v>0</v>
      </c>
      <c r="L65" t="n">
        <v>0</v>
      </c>
      <c r="M65" t="n">
        <v>0</v>
      </c>
      <c r="N65" t="n">
        <v>0</v>
      </c>
      <c r="O65" t="n">
        <v>1</v>
      </c>
      <c r="P65" t="n">
        <v>0</v>
      </c>
      <c r="Q65" t="n">
        <v>1</v>
      </c>
      <c r="R65" s="2" t="inlineStr">
        <is>
          <t>Nordfladdermus</t>
        </is>
      </c>
      <c r="S65">
        <f>HYPERLINK("https://klasma.github.io/Logging_2023/artfynd/A 33859-2022 artfynd.xlsx", "A 33859-2022")</f>
        <v/>
      </c>
      <c r="T65">
        <f>HYPERLINK("https://klasma.github.io/Logging_2023/kartor/A 33859-2022 karta.png", "A 33859-2022")</f>
        <v/>
      </c>
      <c r="V65">
        <f>HYPERLINK("https://klasma.github.io/Logging_2023/klagomål/A 33859-2022 FSC-klagomål.docx", "A 33859-2022")</f>
        <v/>
      </c>
      <c r="W65">
        <f>HYPERLINK("https://klasma.github.io/Logging_2023/klagomålsmail/A 33859-2022 FSC-klagomål mail.docx", "A 33859-2022")</f>
        <v/>
      </c>
      <c r="X65">
        <f>HYPERLINK("https://klasma.github.io/Logging_2023/tillsyn/A 33859-2022 tillsynsbegäran.docx", "A 33859-2022")</f>
        <v/>
      </c>
      <c r="Y65">
        <f>HYPERLINK("https://klasma.github.io/Logging_2023/tillsynsmail/A 33859-2022 tillsynsbegäran mail.docx", "A 33859-2022")</f>
        <v/>
      </c>
    </row>
    <row r="66" ht="15" customHeight="1">
      <c r="A66" t="inlineStr">
        <is>
          <t>A 32068-2023</t>
        </is>
      </c>
      <c r="B66" s="1" t="n">
        <v>45119</v>
      </c>
      <c r="C66" s="1" t="n">
        <v>45635</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57333-2023</t>
        </is>
      </c>
      <c r="B67" s="1" t="n">
        <v>45245</v>
      </c>
      <c r="C67" s="1" t="n">
        <v>45635</v>
      </c>
      <c r="D67" t="inlineStr">
        <is>
          <t>DALARNAS LÄN</t>
        </is>
      </c>
      <c r="E67" t="inlineStr">
        <is>
          <t>MALUNG-SÄLEN</t>
        </is>
      </c>
      <c r="G67" t="n">
        <v>6.7</v>
      </c>
      <c r="H67" t="n">
        <v>0</v>
      </c>
      <c r="I67" t="n">
        <v>0</v>
      </c>
      <c r="J67" t="n">
        <v>0</v>
      </c>
      <c r="K67" t="n">
        <v>1</v>
      </c>
      <c r="L67" t="n">
        <v>0</v>
      </c>
      <c r="M67" t="n">
        <v>0</v>
      </c>
      <c r="N67" t="n">
        <v>0</v>
      </c>
      <c r="O67" t="n">
        <v>1</v>
      </c>
      <c r="P67" t="n">
        <v>1</v>
      </c>
      <c r="Q67" t="n">
        <v>1</v>
      </c>
      <c r="R67" s="2" t="inlineStr">
        <is>
          <t>Gräddporing</t>
        </is>
      </c>
      <c r="S67">
        <f>HYPERLINK("https://klasma.github.io/Logging_2023/artfynd/A 57333-2023 artfynd.xlsx", "A 57333-2023")</f>
        <v/>
      </c>
      <c r="T67">
        <f>HYPERLINK("https://klasma.github.io/Logging_2023/kartor/A 57333-2023 karta.png", "A 57333-2023")</f>
        <v/>
      </c>
      <c r="V67">
        <f>HYPERLINK("https://klasma.github.io/Logging_2023/klagomål/A 57333-2023 FSC-klagomål.docx", "A 57333-2023")</f>
        <v/>
      </c>
      <c r="W67">
        <f>HYPERLINK("https://klasma.github.io/Logging_2023/klagomålsmail/A 57333-2023 FSC-klagomål mail.docx", "A 57333-2023")</f>
        <v/>
      </c>
      <c r="X67">
        <f>HYPERLINK("https://klasma.github.io/Logging_2023/tillsyn/A 57333-2023 tillsynsbegäran.docx", "A 57333-2023")</f>
        <v/>
      </c>
      <c r="Y67">
        <f>HYPERLINK("https://klasma.github.io/Logging_2023/tillsynsmail/A 57333-2023 tillsynsbegäran mail.docx", "A 57333-2023")</f>
        <v/>
      </c>
    </row>
    <row r="68" ht="15" customHeight="1">
      <c r="A68" t="inlineStr">
        <is>
          <t>A 57702-2023</t>
        </is>
      </c>
      <c r="B68" s="1" t="n">
        <v>45246</v>
      </c>
      <c r="C68" s="1" t="n">
        <v>45635</v>
      </c>
      <c r="D68" t="inlineStr">
        <is>
          <t>DALARNAS LÄN</t>
        </is>
      </c>
      <c r="E68" t="inlineStr">
        <is>
          <t>MALUNG-SÄLEN</t>
        </is>
      </c>
      <c r="G68" t="n">
        <v>1.5</v>
      </c>
      <c r="H68" t="n">
        <v>0</v>
      </c>
      <c r="I68" t="n">
        <v>1</v>
      </c>
      <c r="J68" t="n">
        <v>0</v>
      </c>
      <c r="K68" t="n">
        <v>0</v>
      </c>
      <c r="L68" t="n">
        <v>0</v>
      </c>
      <c r="M68" t="n">
        <v>0</v>
      </c>
      <c r="N68" t="n">
        <v>0</v>
      </c>
      <c r="O68" t="n">
        <v>0</v>
      </c>
      <c r="P68" t="n">
        <v>0</v>
      </c>
      <c r="Q68" t="n">
        <v>1</v>
      </c>
      <c r="R68" s="2" t="inlineStr">
        <is>
          <t>Brun nållav</t>
        </is>
      </c>
      <c r="S68">
        <f>HYPERLINK("https://klasma.github.io/Logging_2023/artfynd/A 57702-2023 artfynd.xlsx", "A 57702-2023")</f>
        <v/>
      </c>
      <c r="T68">
        <f>HYPERLINK("https://klasma.github.io/Logging_2023/kartor/A 57702-2023 karta.png", "A 57702-2023")</f>
        <v/>
      </c>
      <c r="V68">
        <f>HYPERLINK("https://klasma.github.io/Logging_2023/klagomål/A 57702-2023 FSC-klagomål.docx", "A 57702-2023")</f>
        <v/>
      </c>
      <c r="W68">
        <f>HYPERLINK("https://klasma.github.io/Logging_2023/klagomålsmail/A 57702-2023 FSC-klagomål mail.docx", "A 57702-2023")</f>
        <v/>
      </c>
      <c r="X68">
        <f>HYPERLINK("https://klasma.github.io/Logging_2023/tillsyn/A 57702-2023 tillsynsbegäran.docx", "A 57702-2023")</f>
        <v/>
      </c>
      <c r="Y68">
        <f>HYPERLINK("https://klasma.github.io/Logging_2023/tillsynsmail/A 57702-2023 tillsynsbegäran mail.docx", "A 57702-2023")</f>
        <v/>
      </c>
    </row>
    <row r="69" ht="15" customHeight="1">
      <c r="A69" t="inlineStr">
        <is>
          <t>A 6807-2024</t>
        </is>
      </c>
      <c r="B69" s="1" t="n">
        <v>45342</v>
      </c>
      <c r="C69" s="1" t="n">
        <v>45635</v>
      </c>
      <c r="D69" t="inlineStr">
        <is>
          <t>DALARNAS LÄN</t>
        </is>
      </c>
      <c r="E69" t="inlineStr">
        <is>
          <t>MALUNG-SÄLEN</t>
        </is>
      </c>
      <c r="G69" t="n">
        <v>10.7</v>
      </c>
      <c r="H69" t="n">
        <v>0</v>
      </c>
      <c r="I69" t="n">
        <v>0</v>
      </c>
      <c r="J69" t="n">
        <v>1</v>
      </c>
      <c r="K69" t="n">
        <v>0</v>
      </c>
      <c r="L69" t="n">
        <v>0</v>
      </c>
      <c r="M69" t="n">
        <v>0</v>
      </c>
      <c r="N69" t="n">
        <v>0</v>
      </c>
      <c r="O69" t="n">
        <v>1</v>
      </c>
      <c r="P69" t="n">
        <v>0</v>
      </c>
      <c r="Q69" t="n">
        <v>1</v>
      </c>
      <c r="R69" s="2" t="inlineStr">
        <is>
          <t>Motaggsvamp</t>
        </is>
      </c>
      <c r="S69">
        <f>HYPERLINK("https://klasma.github.io/Logging_2023/artfynd/A 6807-2024 artfynd.xlsx", "A 6807-2024")</f>
        <v/>
      </c>
      <c r="T69">
        <f>HYPERLINK("https://klasma.github.io/Logging_2023/kartor/A 6807-2024 karta.png", "A 6807-2024")</f>
        <v/>
      </c>
      <c r="V69">
        <f>HYPERLINK("https://klasma.github.io/Logging_2023/klagomål/A 6807-2024 FSC-klagomål.docx", "A 6807-2024")</f>
        <v/>
      </c>
      <c r="W69">
        <f>HYPERLINK("https://klasma.github.io/Logging_2023/klagomålsmail/A 6807-2024 FSC-klagomål mail.docx", "A 6807-2024")</f>
        <v/>
      </c>
      <c r="X69">
        <f>HYPERLINK("https://klasma.github.io/Logging_2023/tillsyn/A 6807-2024 tillsynsbegäran.docx", "A 6807-2024")</f>
        <v/>
      </c>
      <c r="Y69">
        <f>HYPERLINK("https://klasma.github.io/Logging_2023/tillsynsmail/A 6807-2024 tillsynsbegäran mail.docx", "A 6807-2024")</f>
        <v/>
      </c>
    </row>
    <row r="70" ht="15" customHeight="1">
      <c r="A70" t="inlineStr">
        <is>
          <t>A 8326-2024</t>
        </is>
      </c>
      <c r="B70" s="1" t="n">
        <v>45352</v>
      </c>
      <c r="C70" s="1" t="n">
        <v>45635</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Doftskinn</t>
        </is>
      </c>
      <c r="S70">
        <f>HYPERLINK("https://klasma.github.io/Logging_2023/artfynd/A 8326-2024 artfynd.xlsx", "A 8326-2024")</f>
        <v/>
      </c>
      <c r="T70">
        <f>HYPERLINK("https://klasma.github.io/Logging_2023/kartor/A 8326-2024 karta.png", "A 8326-2024")</f>
        <v/>
      </c>
      <c r="V70">
        <f>HYPERLINK("https://klasma.github.io/Logging_2023/klagomål/A 8326-2024 FSC-klagomål.docx", "A 8326-2024")</f>
        <v/>
      </c>
      <c r="W70">
        <f>HYPERLINK("https://klasma.github.io/Logging_2023/klagomålsmail/A 8326-2024 FSC-klagomål mail.docx", "A 8326-2024")</f>
        <v/>
      </c>
      <c r="X70">
        <f>HYPERLINK("https://klasma.github.io/Logging_2023/tillsyn/A 8326-2024 tillsynsbegäran.docx", "A 8326-2024")</f>
        <v/>
      </c>
      <c r="Y70">
        <f>HYPERLINK("https://klasma.github.io/Logging_2023/tillsynsmail/A 8326-2024 tillsynsbegäran mail.docx", "A 8326-2024")</f>
        <v/>
      </c>
    </row>
    <row r="71" ht="15" customHeight="1">
      <c r="A71" t="inlineStr">
        <is>
          <t>A 19374-2024</t>
        </is>
      </c>
      <c r="B71" s="1" t="n">
        <v>45429</v>
      </c>
      <c r="C71" s="1" t="n">
        <v>45635</v>
      </c>
      <c r="D71" t="inlineStr">
        <is>
          <t>DALARNAS LÄN</t>
        </is>
      </c>
      <c r="E71" t="inlineStr">
        <is>
          <t>MALUNG-SÄLEN</t>
        </is>
      </c>
      <c r="F71" t="inlineStr">
        <is>
          <t>Bergvik skog öst AB</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HYPERLINK("https://klasma.github.io/Logging_2023/artfynd/A 19374-2024 artfynd.xlsx", "A 19374-2024")</f>
        <v/>
      </c>
      <c r="T71">
        <f>HYPERLINK("https://klasma.github.io/Logging_2023/kartor/A 19374-2024 karta.png", "A 19374-2024")</f>
        <v/>
      </c>
      <c r="V71">
        <f>HYPERLINK("https://klasma.github.io/Logging_2023/klagomål/A 19374-2024 FSC-klagomål.docx", "A 19374-2024")</f>
        <v/>
      </c>
      <c r="W71">
        <f>HYPERLINK("https://klasma.github.io/Logging_2023/klagomålsmail/A 19374-2024 FSC-klagomål mail.docx", "A 19374-2024")</f>
        <v/>
      </c>
      <c r="X71">
        <f>HYPERLINK("https://klasma.github.io/Logging_2023/tillsyn/A 19374-2024 tillsynsbegäran.docx", "A 19374-2024")</f>
        <v/>
      </c>
      <c r="Y71">
        <f>HYPERLINK("https://klasma.github.io/Logging_2023/tillsynsmail/A 19374-2024 tillsynsbegäran mail.docx", "A 19374-2024")</f>
        <v/>
      </c>
    </row>
    <row r="72" ht="15" customHeight="1">
      <c r="A72" t="inlineStr">
        <is>
          <t>A 22186-2024</t>
        </is>
      </c>
      <c r="B72" s="1" t="n">
        <v>45446</v>
      </c>
      <c r="C72" s="1" t="n">
        <v>45635</v>
      </c>
      <c r="D72" t="inlineStr">
        <is>
          <t>DALARNAS LÄN</t>
        </is>
      </c>
      <c r="E72" t="inlineStr">
        <is>
          <t>MALUNG-SÄLEN</t>
        </is>
      </c>
      <c r="F72" t="inlineStr">
        <is>
          <t>Allmännings- och besparingsskogar</t>
        </is>
      </c>
      <c r="G72" t="n">
        <v>36</v>
      </c>
      <c r="H72" t="n">
        <v>1</v>
      </c>
      <c r="I72" t="n">
        <v>0</v>
      </c>
      <c r="J72" t="n">
        <v>1</v>
      </c>
      <c r="K72" t="n">
        <v>0</v>
      </c>
      <c r="L72" t="n">
        <v>0</v>
      </c>
      <c r="M72" t="n">
        <v>0</v>
      </c>
      <c r="N72" t="n">
        <v>0</v>
      </c>
      <c r="O72" t="n">
        <v>1</v>
      </c>
      <c r="P72" t="n">
        <v>0</v>
      </c>
      <c r="Q72" t="n">
        <v>1</v>
      </c>
      <c r="R72" s="2" t="inlineStr">
        <is>
          <t>Varglav</t>
        </is>
      </c>
      <c r="S72">
        <f>HYPERLINK("https://klasma.github.io/Logging_2023/artfynd/A 22186-2024 artfynd.xlsx", "A 22186-2024")</f>
        <v/>
      </c>
      <c r="T72">
        <f>HYPERLINK("https://klasma.github.io/Logging_2023/kartor/A 22186-2024 karta.png", "A 22186-2024")</f>
        <v/>
      </c>
      <c r="V72">
        <f>HYPERLINK("https://klasma.github.io/Logging_2023/klagomål/A 22186-2024 FSC-klagomål.docx", "A 22186-2024")</f>
        <v/>
      </c>
      <c r="W72">
        <f>HYPERLINK("https://klasma.github.io/Logging_2023/klagomålsmail/A 22186-2024 FSC-klagomål mail.docx", "A 22186-2024")</f>
        <v/>
      </c>
      <c r="X72">
        <f>HYPERLINK("https://klasma.github.io/Logging_2023/tillsyn/A 22186-2024 tillsynsbegäran.docx", "A 22186-2024")</f>
        <v/>
      </c>
      <c r="Y72">
        <f>HYPERLINK("https://klasma.github.io/Logging_2023/tillsynsmail/A 22186-2024 tillsynsbegäran mail.docx", "A 22186-2024")</f>
        <v/>
      </c>
    </row>
    <row r="73" ht="15" customHeight="1">
      <c r="A73" t="inlineStr">
        <is>
          <t>A 24907-2024</t>
        </is>
      </c>
      <c r="B73" s="1" t="n">
        <v>45461</v>
      </c>
      <c r="C73" s="1" t="n">
        <v>45635</v>
      </c>
      <c r="D73" t="inlineStr">
        <is>
          <t>DALARNAS LÄN</t>
        </is>
      </c>
      <c r="E73" t="inlineStr">
        <is>
          <t>MALUNG-SÄLEN</t>
        </is>
      </c>
      <c r="F73" t="inlineStr">
        <is>
          <t>Allmännings- och besparingsskogar</t>
        </is>
      </c>
      <c r="G73" t="n">
        <v>1.4</v>
      </c>
      <c r="H73" t="n">
        <v>1</v>
      </c>
      <c r="I73" t="n">
        <v>0</v>
      </c>
      <c r="J73" t="n">
        <v>1</v>
      </c>
      <c r="K73" t="n">
        <v>0</v>
      </c>
      <c r="L73" t="n">
        <v>0</v>
      </c>
      <c r="M73" t="n">
        <v>0</v>
      </c>
      <c r="N73" t="n">
        <v>0</v>
      </c>
      <c r="O73" t="n">
        <v>1</v>
      </c>
      <c r="P73" t="n">
        <v>0</v>
      </c>
      <c r="Q73" t="n">
        <v>1</v>
      </c>
      <c r="R73" s="2" t="inlineStr">
        <is>
          <t>Tretåig hackspett</t>
        </is>
      </c>
      <c r="S73">
        <f>HYPERLINK("https://klasma.github.io/Logging_2023/artfynd/A 24907-2024 artfynd.xlsx", "A 24907-2024")</f>
        <v/>
      </c>
      <c r="T73">
        <f>HYPERLINK("https://klasma.github.io/Logging_2023/kartor/A 24907-2024 karta.png", "A 24907-2024")</f>
        <v/>
      </c>
      <c r="V73">
        <f>HYPERLINK("https://klasma.github.io/Logging_2023/klagomål/A 24907-2024 FSC-klagomål.docx", "A 24907-2024")</f>
        <v/>
      </c>
      <c r="W73">
        <f>HYPERLINK("https://klasma.github.io/Logging_2023/klagomålsmail/A 24907-2024 FSC-klagomål mail.docx", "A 24907-2024")</f>
        <v/>
      </c>
      <c r="X73">
        <f>HYPERLINK("https://klasma.github.io/Logging_2023/tillsyn/A 24907-2024 tillsynsbegäran.docx", "A 24907-2024")</f>
        <v/>
      </c>
      <c r="Y73">
        <f>HYPERLINK("https://klasma.github.io/Logging_2023/tillsynsmail/A 24907-2024 tillsynsbegäran mail.docx", "A 24907-2024")</f>
        <v/>
      </c>
      <c r="Z73">
        <f>HYPERLINK("https://klasma.github.io/Logging_2023/fåglar/A 24907-2024 prioriterade fågelarter.docx", "A 24907-2024")</f>
        <v/>
      </c>
    </row>
    <row r="74" ht="15" customHeight="1">
      <c r="A74" t="inlineStr">
        <is>
          <t>A 29045-2024</t>
        </is>
      </c>
      <c r="B74" s="1" t="n">
        <v>45481</v>
      </c>
      <c r="C74" s="1" t="n">
        <v>45635</v>
      </c>
      <c r="D74" t="inlineStr">
        <is>
          <t>DALARNAS LÄN</t>
        </is>
      </c>
      <c r="E74" t="inlineStr">
        <is>
          <t>MALUNG-SÄLEN</t>
        </is>
      </c>
      <c r="G74" t="n">
        <v>5.7</v>
      </c>
      <c r="H74" t="n">
        <v>1</v>
      </c>
      <c r="I74" t="n">
        <v>0</v>
      </c>
      <c r="J74" t="n">
        <v>0</v>
      </c>
      <c r="K74" t="n">
        <v>1</v>
      </c>
      <c r="L74" t="n">
        <v>0</v>
      </c>
      <c r="M74" t="n">
        <v>0</v>
      </c>
      <c r="N74" t="n">
        <v>0</v>
      </c>
      <c r="O74" t="n">
        <v>1</v>
      </c>
      <c r="P74" t="n">
        <v>1</v>
      </c>
      <c r="Q74" t="n">
        <v>1</v>
      </c>
      <c r="R74" s="2" t="inlineStr">
        <is>
          <t>Knärot</t>
        </is>
      </c>
      <c r="S74">
        <f>HYPERLINK("https://klasma.github.io/Logging_2023/artfynd/A 29045-2024 artfynd.xlsx", "A 29045-2024")</f>
        <v/>
      </c>
      <c r="T74">
        <f>HYPERLINK("https://klasma.github.io/Logging_2023/kartor/A 29045-2024 karta.png", "A 29045-2024")</f>
        <v/>
      </c>
      <c r="U74">
        <f>HYPERLINK("https://klasma.github.io/Logging_2023/knärot/A 29045-2024 karta knärot.png", "A 29045-2024")</f>
        <v/>
      </c>
      <c r="V74">
        <f>HYPERLINK("https://klasma.github.io/Logging_2023/klagomål/A 29045-2024 FSC-klagomål.docx", "A 29045-2024")</f>
        <v/>
      </c>
      <c r="W74">
        <f>HYPERLINK("https://klasma.github.io/Logging_2023/klagomålsmail/A 29045-2024 FSC-klagomål mail.docx", "A 29045-2024")</f>
        <v/>
      </c>
      <c r="X74">
        <f>HYPERLINK("https://klasma.github.io/Logging_2023/tillsyn/A 29045-2024 tillsynsbegäran.docx", "A 29045-2024")</f>
        <v/>
      </c>
      <c r="Y74">
        <f>HYPERLINK("https://klasma.github.io/Logging_2023/tillsynsmail/A 29045-2024 tillsynsbegäran mail.docx", "A 29045-2024")</f>
        <v/>
      </c>
    </row>
    <row r="75" ht="15" customHeight="1">
      <c r="A75" t="inlineStr">
        <is>
          <t>A 55914-2024</t>
        </is>
      </c>
      <c r="B75" s="1" t="n">
        <v>45623</v>
      </c>
      <c r="C75" s="1" t="n">
        <v>45635</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18265-2019</t>
        </is>
      </c>
      <c r="B76" s="1" t="n">
        <v>43558</v>
      </c>
      <c r="C76" s="1" t="n">
        <v>45635</v>
      </c>
      <c r="D76" t="inlineStr">
        <is>
          <t>DALARNAS LÄN</t>
        </is>
      </c>
      <c r="E76" t="inlineStr">
        <is>
          <t>MALUNG-SÄLEN</t>
        </is>
      </c>
      <c r="G76" t="n">
        <v>7</v>
      </c>
      <c r="H76" t="n">
        <v>0</v>
      </c>
      <c r="I76" t="n">
        <v>0</v>
      </c>
      <c r="J76" t="n">
        <v>0</v>
      </c>
      <c r="K76" t="n">
        <v>0</v>
      </c>
      <c r="L76" t="n">
        <v>0</v>
      </c>
      <c r="M76" t="n">
        <v>0</v>
      </c>
      <c r="N76" t="n">
        <v>0</v>
      </c>
      <c r="O76" t="n">
        <v>0</v>
      </c>
      <c r="P76" t="n">
        <v>0</v>
      </c>
      <c r="Q76" t="n">
        <v>0</v>
      </c>
      <c r="R76" s="2" t="inlineStr"/>
    </row>
    <row r="77" ht="15" customHeight="1">
      <c r="A77" t="inlineStr">
        <is>
          <t>A 18844-2019</t>
        </is>
      </c>
      <c r="B77" s="1" t="n">
        <v>43563</v>
      </c>
      <c r="C77" s="1" t="n">
        <v>45635</v>
      </c>
      <c r="D77" t="inlineStr">
        <is>
          <t>DALARNAS LÄN</t>
        </is>
      </c>
      <c r="E77" t="inlineStr">
        <is>
          <t>MALUNG-SÄLEN</t>
        </is>
      </c>
      <c r="G77" t="n">
        <v>1.2</v>
      </c>
      <c r="H77" t="n">
        <v>0</v>
      </c>
      <c r="I77" t="n">
        <v>0</v>
      </c>
      <c r="J77" t="n">
        <v>0</v>
      </c>
      <c r="K77" t="n">
        <v>0</v>
      </c>
      <c r="L77" t="n">
        <v>0</v>
      </c>
      <c r="M77" t="n">
        <v>0</v>
      </c>
      <c r="N77" t="n">
        <v>0</v>
      </c>
      <c r="O77" t="n">
        <v>0</v>
      </c>
      <c r="P77" t="n">
        <v>0</v>
      </c>
      <c r="Q77" t="n">
        <v>0</v>
      </c>
      <c r="R77" s="2" t="inlineStr"/>
    </row>
    <row r="78" ht="15" customHeight="1">
      <c r="A78" t="inlineStr">
        <is>
          <t>A 19281-2019</t>
        </is>
      </c>
      <c r="B78" s="1" t="n">
        <v>43565</v>
      </c>
      <c r="C78" s="1" t="n">
        <v>45635</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19282-2019</t>
        </is>
      </c>
      <c r="B79" s="1" t="n">
        <v>43565</v>
      </c>
      <c r="C79" s="1" t="n">
        <v>45635</v>
      </c>
      <c r="D79" t="inlineStr">
        <is>
          <t>DALARNAS LÄN</t>
        </is>
      </c>
      <c r="E79" t="inlineStr">
        <is>
          <t>MALUNG-SÄLEN</t>
        </is>
      </c>
      <c r="G79" t="n">
        <v>6.5</v>
      </c>
      <c r="H79" t="n">
        <v>0</v>
      </c>
      <c r="I79" t="n">
        <v>0</v>
      </c>
      <c r="J79" t="n">
        <v>0</v>
      </c>
      <c r="K79" t="n">
        <v>0</v>
      </c>
      <c r="L79" t="n">
        <v>0</v>
      </c>
      <c r="M79" t="n">
        <v>0</v>
      </c>
      <c r="N79" t="n">
        <v>0</v>
      </c>
      <c r="O79" t="n">
        <v>0</v>
      </c>
      <c r="P79" t="n">
        <v>0</v>
      </c>
      <c r="Q79" t="n">
        <v>0</v>
      </c>
      <c r="R79" s="2" t="inlineStr"/>
    </row>
    <row r="80" ht="15" customHeight="1">
      <c r="A80" t="inlineStr">
        <is>
          <t>A 22452-2019</t>
        </is>
      </c>
      <c r="B80" s="1" t="n">
        <v>43587</v>
      </c>
      <c r="C80" s="1" t="n">
        <v>45635</v>
      </c>
      <c r="D80" t="inlineStr">
        <is>
          <t>DALARNAS LÄN</t>
        </is>
      </c>
      <c r="E80" t="inlineStr">
        <is>
          <t>MALUNG-SÄLEN</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22809-2019</t>
        </is>
      </c>
      <c r="B81" s="1" t="n">
        <v>43590</v>
      </c>
      <c r="C81" s="1" t="n">
        <v>45635</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23809-2019</t>
        </is>
      </c>
      <c r="B82" s="1" t="n">
        <v>43595</v>
      </c>
      <c r="C82" s="1" t="n">
        <v>45635</v>
      </c>
      <c r="D82" t="inlineStr">
        <is>
          <t>DALARNAS LÄN</t>
        </is>
      </c>
      <c r="E82" t="inlineStr">
        <is>
          <t>MALUNG-SÄLEN</t>
        </is>
      </c>
      <c r="G82" t="n">
        <v>9</v>
      </c>
      <c r="H82" t="n">
        <v>0</v>
      </c>
      <c r="I82" t="n">
        <v>0</v>
      </c>
      <c r="J82" t="n">
        <v>0</v>
      </c>
      <c r="K82" t="n">
        <v>0</v>
      </c>
      <c r="L82" t="n">
        <v>0</v>
      </c>
      <c r="M82" t="n">
        <v>0</v>
      </c>
      <c r="N82" t="n">
        <v>0</v>
      </c>
      <c r="O82" t="n">
        <v>0</v>
      </c>
      <c r="P82" t="n">
        <v>0</v>
      </c>
      <c r="Q82" t="n">
        <v>0</v>
      </c>
      <c r="R82" s="2" t="inlineStr"/>
    </row>
    <row r="83" ht="15" customHeight="1">
      <c r="A83" t="inlineStr">
        <is>
          <t>A 26136-2019</t>
        </is>
      </c>
      <c r="B83" s="1" t="n">
        <v>43609</v>
      </c>
      <c r="C83" s="1" t="n">
        <v>45635</v>
      </c>
      <c r="D83" t="inlineStr">
        <is>
          <t>DALARNAS LÄN</t>
        </is>
      </c>
      <c r="E83" t="inlineStr">
        <is>
          <t>MALUNG-SÄLEN</t>
        </is>
      </c>
      <c r="F83" t="inlineStr">
        <is>
          <t>Bergvik skog väst AB</t>
        </is>
      </c>
      <c r="G83" t="n">
        <v>5.7</v>
      </c>
      <c r="H83" t="n">
        <v>0</v>
      </c>
      <c r="I83" t="n">
        <v>0</v>
      </c>
      <c r="J83" t="n">
        <v>0</v>
      </c>
      <c r="K83" t="n">
        <v>0</v>
      </c>
      <c r="L83" t="n">
        <v>0</v>
      </c>
      <c r="M83" t="n">
        <v>0</v>
      </c>
      <c r="N83" t="n">
        <v>0</v>
      </c>
      <c r="O83" t="n">
        <v>0</v>
      </c>
      <c r="P83" t="n">
        <v>0</v>
      </c>
      <c r="Q83" t="n">
        <v>0</v>
      </c>
      <c r="R83" s="2" t="inlineStr"/>
    </row>
    <row r="84" ht="15" customHeight="1">
      <c r="A84" t="inlineStr">
        <is>
          <t>A 26258-2019</t>
        </is>
      </c>
      <c r="B84" s="1" t="n">
        <v>43610</v>
      </c>
      <c r="C84" s="1" t="n">
        <v>45635</v>
      </c>
      <c r="D84" t="inlineStr">
        <is>
          <t>DALARNAS LÄN</t>
        </is>
      </c>
      <c r="E84" t="inlineStr">
        <is>
          <t>MALUNG-SÄLEN</t>
        </is>
      </c>
      <c r="G84" t="n">
        <v>5.5</v>
      </c>
      <c r="H84" t="n">
        <v>0</v>
      </c>
      <c r="I84" t="n">
        <v>0</v>
      </c>
      <c r="J84" t="n">
        <v>0</v>
      </c>
      <c r="K84" t="n">
        <v>0</v>
      </c>
      <c r="L84" t="n">
        <v>0</v>
      </c>
      <c r="M84" t="n">
        <v>0</v>
      </c>
      <c r="N84" t="n">
        <v>0</v>
      </c>
      <c r="O84" t="n">
        <v>0</v>
      </c>
      <c r="P84" t="n">
        <v>0</v>
      </c>
      <c r="Q84" t="n">
        <v>0</v>
      </c>
      <c r="R84" s="2" t="inlineStr"/>
    </row>
    <row r="85" ht="15" customHeight="1">
      <c r="A85" t="inlineStr">
        <is>
          <t>A 26259-2019</t>
        </is>
      </c>
      <c r="B85" s="1" t="n">
        <v>43610</v>
      </c>
      <c r="C85" s="1" t="n">
        <v>45635</v>
      </c>
      <c r="D85" t="inlineStr">
        <is>
          <t>DALARNAS LÄN</t>
        </is>
      </c>
      <c r="E85" t="inlineStr">
        <is>
          <t>MALUNG-SÄLEN</t>
        </is>
      </c>
      <c r="G85" t="n">
        <v>1</v>
      </c>
      <c r="H85" t="n">
        <v>0</v>
      </c>
      <c r="I85" t="n">
        <v>0</v>
      </c>
      <c r="J85" t="n">
        <v>0</v>
      </c>
      <c r="K85" t="n">
        <v>0</v>
      </c>
      <c r="L85" t="n">
        <v>0</v>
      </c>
      <c r="M85" t="n">
        <v>0</v>
      </c>
      <c r="N85" t="n">
        <v>0</v>
      </c>
      <c r="O85" t="n">
        <v>0</v>
      </c>
      <c r="P85" t="n">
        <v>0</v>
      </c>
      <c r="Q85" t="n">
        <v>0</v>
      </c>
      <c r="R85" s="2" t="inlineStr"/>
    </row>
    <row r="86" ht="15" customHeight="1">
      <c r="A86" t="inlineStr">
        <is>
          <t>A 27048-2019</t>
        </is>
      </c>
      <c r="B86" s="1" t="n">
        <v>43614</v>
      </c>
      <c r="C86" s="1" t="n">
        <v>45635</v>
      </c>
      <c r="D86" t="inlineStr">
        <is>
          <t>DALARNAS LÄN</t>
        </is>
      </c>
      <c r="E86" t="inlineStr">
        <is>
          <t>MALUNG-SÄLEN</t>
        </is>
      </c>
      <c r="G86" t="n">
        <v>1.4</v>
      </c>
      <c r="H86" t="n">
        <v>0</v>
      </c>
      <c r="I86" t="n">
        <v>0</v>
      </c>
      <c r="J86" t="n">
        <v>0</v>
      </c>
      <c r="K86" t="n">
        <v>0</v>
      </c>
      <c r="L86" t="n">
        <v>0</v>
      </c>
      <c r="M86" t="n">
        <v>0</v>
      </c>
      <c r="N86" t="n">
        <v>0</v>
      </c>
      <c r="O86" t="n">
        <v>0</v>
      </c>
      <c r="P86" t="n">
        <v>0</v>
      </c>
      <c r="Q86" t="n">
        <v>0</v>
      </c>
      <c r="R86" s="2" t="inlineStr"/>
    </row>
    <row r="87" ht="15" customHeight="1">
      <c r="A87" t="inlineStr">
        <is>
          <t>A 27037-2019</t>
        </is>
      </c>
      <c r="B87" s="1" t="n">
        <v>43614</v>
      </c>
      <c r="C87" s="1" t="n">
        <v>45635</v>
      </c>
      <c r="D87" t="inlineStr">
        <is>
          <t>DALARNAS LÄN</t>
        </is>
      </c>
      <c r="E87" t="inlineStr">
        <is>
          <t>MALUNG-SÄLEN</t>
        </is>
      </c>
      <c r="G87" t="n">
        <v>0.6</v>
      </c>
      <c r="H87" t="n">
        <v>0</v>
      </c>
      <c r="I87" t="n">
        <v>0</v>
      </c>
      <c r="J87" t="n">
        <v>0</v>
      </c>
      <c r="K87" t="n">
        <v>0</v>
      </c>
      <c r="L87" t="n">
        <v>0</v>
      </c>
      <c r="M87" t="n">
        <v>0</v>
      </c>
      <c r="N87" t="n">
        <v>0</v>
      </c>
      <c r="O87" t="n">
        <v>0</v>
      </c>
      <c r="P87" t="n">
        <v>0</v>
      </c>
      <c r="Q87" t="n">
        <v>0</v>
      </c>
      <c r="R87" s="2" t="inlineStr"/>
    </row>
    <row r="88" ht="15" customHeight="1">
      <c r="A88" t="inlineStr">
        <is>
          <t>A 27039-2019</t>
        </is>
      </c>
      <c r="B88" s="1" t="n">
        <v>43614</v>
      </c>
      <c r="C88" s="1" t="n">
        <v>45635</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27487-2019</t>
        </is>
      </c>
      <c r="B89" s="1" t="n">
        <v>43619</v>
      </c>
      <c r="C89" s="1" t="n">
        <v>45635</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28259-2019</t>
        </is>
      </c>
      <c r="B90" s="1" t="n">
        <v>43623</v>
      </c>
      <c r="C90" s="1" t="n">
        <v>45635</v>
      </c>
      <c r="D90" t="inlineStr">
        <is>
          <t>DALARNAS LÄN</t>
        </is>
      </c>
      <c r="E90" t="inlineStr">
        <is>
          <t>MALUNG-SÄLEN</t>
        </is>
      </c>
      <c r="G90" t="n">
        <v>2.1</v>
      </c>
      <c r="H90" t="n">
        <v>0</v>
      </c>
      <c r="I90" t="n">
        <v>0</v>
      </c>
      <c r="J90" t="n">
        <v>0</v>
      </c>
      <c r="K90" t="n">
        <v>0</v>
      </c>
      <c r="L90" t="n">
        <v>0</v>
      </c>
      <c r="M90" t="n">
        <v>0</v>
      </c>
      <c r="N90" t="n">
        <v>0</v>
      </c>
      <c r="O90" t="n">
        <v>0</v>
      </c>
      <c r="P90" t="n">
        <v>0</v>
      </c>
      <c r="Q90" t="n">
        <v>0</v>
      </c>
      <c r="R90" s="2" t="inlineStr"/>
    </row>
    <row r="91" ht="15" customHeight="1">
      <c r="A91" t="inlineStr">
        <is>
          <t>A 29761-2019</t>
        </is>
      </c>
      <c r="B91" s="1" t="n">
        <v>43631</v>
      </c>
      <c r="C91" s="1" t="n">
        <v>45635</v>
      </c>
      <c r="D91" t="inlineStr">
        <is>
          <t>DALARNAS LÄN</t>
        </is>
      </c>
      <c r="E91" t="inlineStr">
        <is>
          <t>MALUNG-SÄLEN</t>
        </is>
      </c>
      <c r="G91" t="n">
        <v>2.6</v>
      </c>
      <c r="H91" t="n">
        <v>0</v>
      </c>
      <c r="I91" t="n">
        <v>0</v>
      </c>
      <c r="J91" t="n">
        <v>0</v>
      </c>
      <c r="K91" t="n">
        <v>0</v>
      </c>
      <c r="L91" t="n">
        <v>0</v>
      </c>
      <c r="M91" t="n">
        <v>0</v>
      </c>
      <c r="N91" t="n">
        <v>0</v>
      </c>
      <c r="O91" t="n">
        <v>0</v>
      </c>
      <c r="P91" t="n">
        <v>0</v>
      </c>
      <c r="Q91" t="n">
        <v>0</v>
      </c>
      <c r="R91" s="2" t="inlineStr"/>
    </row>
    <row r="92" ht="15" customHeight="1">
      <c r="A92" t="inlineStr">
        <is>
          <t>A 29760-2019</t>
        </is>
      </c>
      <c r="B92" s="1" t="n">
        <v>43631</v>
      </c>
      <c r="C92" s="1" t="n">
        <v>45635</v>
      </c>
      <c r="D92" t="inlineStr">
        <is>
          <t>DALARNAS LÄN</t>
        </is>
      </c>
      <c r="E92" t="inlineStr">
        <is>
          <t>MALUNG-SÄLEN</t>
        </is>
      </c>
      <c r="G92" t="n">
        <v>2.9</v>
      </c>
      <c r="H92" t="n">
        <v>0</v>
      </c>
      <c r="I92" t="n">
        <v>0</v>
      </c>
      <c r="J92" t="n">
        <v>0</v>
      </c>
      <c r="K92" t="n">
        <v>0</v>
      </c>
      <c r="L92" t="n">
        <v>0</v>
      </c>
      <c r="M92" t="n">
        <v>0</v>
      </c>
      <c r="N92" t="n">
        <v>0</v>
      </c>
      <c r="O92" t="n">
        <v>0</v>
      </c>
      <c r="P92" t="n">
        <v>0</v>
      </c>
      <c r="Q92" t="n">
        <v>0</v>
      </c>
      <c r="R92" s="2" t="inlineStr"/>
    </row>
    <row r="93" ht="15" customHeight="1">
      <c r="A93" t="inlineStr">
        <is>
          <t>A 30046-2019</t>
        </is>
      </c>
      <c r="B93" s="1" t="n">
        <v>43633</v>
      </c>
      <c r="C93" s="1" t="n">
        <v>45635</v>
      </c>
      <c r="D93" t="inlineStr">
        <is>
          <t>DALARNAS LÄN</t>
        </is>
      </c>
      <c r="E93" t="inlineStr">
        <is>
          <t>MALUNG-SÄLEN</t>
        </is>
      </c>
      <c r="G93" t="n">
        <v>7.6</v>
      </c>
      <c r="H93" t="n">
        <v>0</v>
      </c>
      <c r="I93" t="n">
        <v>0</v>
      </c>
      <c r="J93" t="n">
        <v>0</v>
      </c>
      <c r="K93" t="n">
        <v>0</v>
      </c>
      <c r="L93" t="n">
        <v>0</v>
      </c>
      <c r="M93" t="n">
        <v>0</v>
      </c>
      <c r="N93" t="n">
        <v>0</v>
      </c>
      <c r="O93" t="n">
        <v>0</v>
      </c>
      <c r="P93" t="n">
        <v>0</v>
      </c>
      <c r="Q93" t="n">
        <v>0</v>
      </c>
      <c r="R93" s="2" t="inlineStr"/>
    </row>
    <row r="94" ht="15" customHeight="1">
      <c r="A94" t="inlineStr">
        <is>
          <t>A 30295-2019</t>
        </is>
      </c>
      <c r="B94" s="1" t="n">
        <v>43634</v>
      </c>
      <c r="C94" s="1" t="n">
        <v>45635</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30230-2019</t>
        </is>
      </c>
      <c r="B95" s="1" t="n">
        <v>43634</v>
      </c>
      <c r="C95" s="1" t="n">
        <v>45635</v>
      </c>
      <c r="D95" t="inlineStr">
        <is>
          <t>DALARNAS LÄN</t>
        </is>
      </c>
      <c r="E95" t="inlineStr">
        <is>
          <t>MALUNG-SÄLEN</t>
        </is>
      </c>
      <c r="G95" t="n">
        <v>4.1</v>
      </c>
      <c r="H95" t="n">
        <v>0</v>
      </c>
      <c r="I95" t="n">
        <v>0</v>
      </c>
      <c r="J95" t="n">
        <v>0</v>
      </c>
      <c r="K95" t="n">
        <v>0</v>
      </c>
      <c r="L95" t="n">
        <v>0</v>
      </c>
      <c r="M95" t="n">
        <v>0</v>
      </c>
      <c r="N95" t="n">
        <v>0</v>
      </c>
      <c r="O95" t="n">
        <v>0</v>
      </c>
      <c r="P95" t="n">
        <v>0</v>
      </c>
      <c r="Q95" t="n">
        <v>0</v>
      </c>
      <c r="R95" s="2" t="inlineStr"/>
    </row>
    <row r="96" ht="15" customHeight="1">
      <c r="A96" t="inlineStr">
        <is>
          <t>A 30828-2019</t>
        </is>
      </c>
      <c r="B96" s="1" t="n">
        <v>43636</v>
      </c>
      <c r="C96" s="1" t="n">
        <v>45635</v>
      </c>
      <c r="D96" t="inlineStr">
        <is>
          <t>DALARNAS LÄN</t>
        </is>
      </c>
      <c r="E96" t="inlineStr">
        <is>
          <t>MALUNG-SÄLEN</t>
        </is>
      </c>
      <c r="G96" t="n">
        <v>4.8</v>
      </c>
      <c r="H96" t="n">
        <v>0</v>
      </c>
      <c r="I96" t="n">
        <v>0</v>
      </c>
      <c r="J96" t="n">
        <v>0</v>
      </c>
      <c r="K96" t="n">
        <v>0</v>
      </c>
      <c r="L96" t="n">
        <v>0</v>
      </c>
      <c r="M96" t="n">
        <v>0</v>
      </c>
      <c r="N96" t="n">
        <v>0</v>
      </c>
      <c r="O96" t="n">
        <v>0</v>
      </c>
      <c r="P96" t="n">
        <v>0</v>
      </c>
      <c r="Q96" t="n">
        <v>0</v>
      </c>
      <c r="R96" s="2" t="inlineStr"/>
    </row>
    <row r="97" ht="15" customHeight="1">
      <c r="A97" t="inlineStr">
        <is>
          <t>A 32136-2019</t>
        </is>
      </c>
      <c r="B97" s="1" t="n">
        <v>43643</v>
      </c>
      <c r="C97" s="1" t="n">
        <v>45635</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32124-2019</t>
        </is>
      </c>
      <c r="B98" s="1" t="n">
        <v>43643</v>
      </c>
      <c r="C98" s="1" t="n">
        <v>45635</v>
      </c>
      <c r="D98" t="inlineStr">
        <is>
          <t>DALARNAS LÄN</t>
        </is>
      </c>
      <c r="E98" t="inlineStr">
        <is>
          <t>MALUNG-SÄLEN</t>
        </is>
      </c>
      <c r="G98" t="n">
        <v>3.1</v>
      </c>
      <c r="H98" t="n">
        <v>0</v>
      </c>
      <c r="I98" t="n">
        <v>0</v>
      </c>
      <c r="J98" t="n">
        <v>0</v>
      </c>
      <c r="K98" t="n">
        <v>0</v>
      </c>
      <c r="L98" t="n">
        <v>0</v>
      </c>
      <c r="M98" t="n">
        <v>0</v>
      </c>
      <c r="N98" t="n">
        <v>0</v>
      </c>
      <c r="O98" t="n">
        <v>0</v>
      </c>
      <c r="P98" t="n">
        <v>0</v>
      </c>
      <c r="Q98" t="n">
        <v>0</v>
      </c>
      <c r="R98" s="2" t="inlineStr"/>
    </row>
    <row r="99" ht="15" customHeight="1">
      <c r="A99" t="inlineStr">
        <is>
          <t>A 34243-2019</t>
        </is>
      </c>
      <c r="B99" s="1" t="n">
        <v>43647</v>
      </c>
      <c r="C99" s="1" t="n">
        <v>45635</v>
      </c>
      <c r="D99" t="inlineStr">
        <is>
          <t>DALARNAS LÄN</t>
        </is>
      </c>
      <c r="E99" t="inlineStr">
        <is>
          <t>MALUNG-SÄLEN</t>
        </is>
      </c>
      <c r="G99" t="n">
        <v>8</v>
      </c>
      <c r="H99" t="n">
        <v>0</v>
      </c>
      <c r="I99" t="n">
        <v>0</v>
      </c>
      <c r="J99" t="n">
        <v>0</v>
      </c>
      <c r="K99" t="n">
        <v>0</v>
      </c>
      <c r="L99" t="n">
        <v>0</v>
      </c>
      <c r="M99" t="n">
        <v>0</v>
      </c>
      <c r="N99" t="n">
        <v>0</v>
      </c>
      <c r="O99" t="n">
        <v>0</v>
      </c>
      <c r="P99" t="n">
        <v>0</v>
      </c>
      <c r="Q99" t="n">
        <v>0</v>
      </c>
      <c r="R99" s="2" t="inlineStr"/>
    </row>
    <row r="100" ht="15" customHeight="1">
      <c r="A100" t="inlineStr">
        <is>
          <t>A 33559-2019</t>
        </is>
      </c>
      <c r="B100" s="1" t="n">
        <v>43651</v>
      </c>
      <c r="C100" s="1" t="n">
        <v>45635</v>
      </c>
      <c r="D100" t="inlineStr">
        <is>
          <t>DALARNAS LÄN</t>
        </is>
      </c>
      <c r="E100" t="inlineStr">
        <is>
          <t>MALUNG-SÄLEN</t>
        </is>
      </c>
      <c r="G100" t="n">
        <v>14.1</v>
      </c>
      <c r="H100" t="n">
        <v>0</v>
      </c>
      <c r="I100" t="n">
        <v>0</v>
      </c>
      <c r="J100" t="n">
        <v>0</v>
      </c>
      <c r="K100" t="n">
        <v>0</v>
      </c>
      <c r="L100" t="n">
        <v>0</v>
      </c>
      <c r="M100" t="n">
        <v>0</v>
      </c>
      <c r="N100" t="n">
        <v>0</v>
      </c>
      <c r="O100" t="n">
        <v>0</v>
      </c>
      <c r="P100" t="n">
        <v>0</v>
      </c>
      <c r="Q100" t="n">
        <v>0</v>
      </c>
      <c r="R100" s="2" t="inlineStr"/>
    </row>
    <row r="101" ht="15" customHeight="1">
      <c r="A101" t="inlineStr">
        <is>
          <t>A 34071-2019</t>
        </is>
      </c>
      <c r="B101" s="1" t="n">
        <v>43654</v>
      </c>
      <c r="C101" s="1" t="n">
        <v>45635</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34085-2019</t>
        </is>
      </c>
      <c r="B102" s="1" t="n">
        <v>43654</v>
      </c>
      <c r="C102" s="1" t="n">
        <v>45635</v>
      </c>
      <c r="D102" t="inlineStr">
        <is>
          <t>DALARNAS LÄN</t>
        </is>
      </c>
      <c r="E102" t="inlineStr">
        <is>
          <t>MALUNG-SÄLEN</t>
        </is>
      </c>
      <c r="G102" t="n">
        <v>0.4</v>
      </c>
      <c r="H102" t="n">
        <v>0</v>
      </c>
      <c r="I102" t="n">
        <v>0</v>
      </c>
      <c r="J102" t="n">
        <v>0</v>
      </c>
      <c r="K102" t="n">
        <v>0</v>
      </c>
      <c r="L102" t="n">
        <v>0</v>
      </c>
      <c r="M102" t="n">
        <v>0</v>
      </c>
      <c r="N102" t="n">
        <v>0</v>
      </c>
      <c r="O102" t="n">
        <v>0</v>
      </c>
      <c r="P102" t="n">
        <v>0</v>
      </c>
      <c r="Q102" t="n">
        <v>0</v>
      </c>
      <c r="R102" s="2" t="inlineStr"/>
    </row>
    <row r="103" ht="15" customHeight="1">
      <c r="A103" t="inlineStr">
        <is>
          <t>A 35793-2019</t>
        </is>
      </c>
      <c r="B103" s="1" t="n">
        <v>43656</v>
      </c>
      <c r="C103" s="1" t="n">
        <v>45635</v>
      </c>
      <c r="D103" t="inlineStr">
        <is>
          <t>DALARNAS LÄN</t>
        </is>
      </c>
      <c r="E103" t="inlineStr">
        <is>
          <t>MALUNG-SÄLEN</t>
        </is>
      </c>
      <c r="G103" t="n">
        <v>2.2</v>
      </c>
      <c r="H103" t="n">
        <v>0</v>
      </c>
      <c r="I103" t="n">
        <v>0</v>
      </c>
      <c r="J103" t="n">
        <v>0</v>
      </c>
      <c r="K103" t="n">
        <v>0</v>
      </c>
      <c r="L103" t="n">
        <v>0</v>
      </c>
      <c r="M103" t="n">
        <v>0</v>
      </c>
      <c r="N103" t="n">
        <v>0</v>
      </c>
      <c r="O103" t="n">
        <v>0</v>
      </c>
      <c r="P103" t="n">
        <v>0</v>
      </c>
      <c r="Q103" t="n">
        <v>0</v>
      </c>
      <c r="R103" s="2" t="inlineStr"/>
    </row>
    <row r="104" ht="15" customHeight="1">
      <c r="A104" t="inlineStr">
        <is>
          <t>A 36006-2019</t>
        </is>
      </c>
      <c r="B104" s="1" t="n">
        <v>43657</v>
      </c>
      <c r="C104" s="1" t="n">
        <v>45635</v>
      </c>
      <c r="D104" t="inlineStr">
        <is>
          <t>DALARNAS LÄN</t>
        </is>
      </c>
      <c r="E104" t="inlineStr">
        <is>
          <t>MALUNG-SÄLEN</t>
        </is>
      </c>
      <c r="G104" t="n">
        <v>10.4</v>
      </c>
      <c r="H104" t="n">
        <v>0</v>
      </c>
      <c r="I104" t="n">
        <v>0</v>
      </c>
      <c r="J104" t="n">
        <v>0</v>
      </c>
      <c r="K104" t="n">
        <v>0</v>
      </c>
      <c r="L104" t="n">
        <v>0</v>
      </c>
      <c r="M104" t="n">
        <v>0</v>
      </c>
      <c r="N104" t="n">
        <v>0</v>
      </c>
      <c r="O104" t="n">
        <v>0</v>
      </c>
      <c r="P104" t="n">
        <v>0</v>
      </c>
      <c r="Q104" t="n">
        <v>0</v>
      </c>
      <c r="R104" s="2" t="inlineStr"/>
    </row>
    <row r="105" ht="15" customHeight="1">
      <c r="A105" t="inlineStr">
        <is>
          <t>A 36119-2019</t>
        </is>
      </c>
      <c r="B105" s="1" t="n">
        <v>43658</v>
      </c>
      <c r="C105" s="1" t="n">
        <v>45635</v>
      </c>
      <c r="D105" t="inlineStr">
        <is>
          <t>DALARNAS LÄN</t>
        </is>
      </c>
      <c r="E105" t="inlineStr">
        <is>
          <t>MALUNG-SÄLEN</t>
        </is>
      </c>
      <c r="F105" t="inlineStr">
        <is>
          <t>Allmännings- och besparingsskogar</t>
        </is>
      </c>
      <c r="G105" t="n">
        <v>2.1</v>
      </c>
      <c r="H105" t="n">
        <v>0</v>
      </c>
      <c r="I105" t="n">
        <v>0</v>
      </c>
      <c r="J105" t="n">
        <v>0</v>
      </c>
      <c r="K105" t="n">
        <v>0</v>
      </c>
      <c r="L105" t="n">
        <v>0</v>
      </c>
      <c r="M105" t="n">
        <v>0</v>
      </c>
      <c r="N105" t="n">
        <v>0</v>
      </c>
      <c r="O105" t="n">
        <v>0</v>
      </c>
      <c r="P105" t="n">
        <v>0</v>
      </c>
      <c r="Q105" t="n">
        <v>0</v>
      </c>
      <c r="R105" s="2" t="inlineStr"/>
    </row>
    <row r="106" ht="15" customHeight="1">
      <c r="A106" t="inlineStr">
        <is>
          <t>A 36878-2019</t>
        </is>
      </c>
      <c r="B106" s="1" t="n">
        <v>43675</v>
      </c>
      <c r="C106" s="1" t="n">
        <v>45635</v>
      </c>
      <c r="D106" t="inlineStr">
        <is>
          <t>DALARNAS LÄN</t>
        </is>
      </c>
      <c r="E106" t="inlineStr">
        <is>
          <t>MALUNG-SÄLEN</t>
        </is>
      </c>
      <c r="G106" t="n">
        <v>2</v>
      </c>
      <c r="H106" t="n">
        <v>0</v>
      </c>
      <c r="I106" t="n">
        <v>0</v>
      </c>
      <c r="J106" t="n">
        <v>0</v>
      </c>
      <c r="K106" t="n">
        <v>0</v>
      </c>
      <c r="L106" t="n">
        <v>0</v>
      </c>
      <c r="M106" t="n">
        <v>0</v>
      </c>
      <c r="N106" t="n">
        <v>0</v>
      </c>
      <c r="O106" t="n">
        <v>0</v>
      </c>
      <c r="P106" t="n">
        <v>0</v>
      </c>
      <c r="Q106" t="n">
        <v>0</v>
      </c>
      <c r="R106" s="2" t="inlineStr"/>
    </row>
    <row r="107" ht="15" customHeight="1">
      <c r="A107" t="inlineStr">
        <is>
          <t>A 36873-2019</t>
        </is>
      </c>
      <c r="B107" s="1" t="n">
        <v>43675</v>
      </c>
      <c r="C107" s="1" t="n">
        <v>45635</v>
      </c>
      <c r="D107" t="inlineStr">
        <is>
          <t>DALARNAS LÄN</t>
        </is>
      </c>
      <c r="E107" t="inlineStr">
        <is>
          <t>MALUNG-SÄLEN</t>
        </is>
      </c>
      <c r="F107" t="inlineStr">
        <is>
          <t>Allmännings- och besparingsskogar</t>
        </is>
      </c>
      <c r="G107" t="n">
        <v>16.3</v>
      </c>
      <c r="H107" t="n">
        <v>0</v>
      </c>
      <c r="I107" t="n">
        <v>0</v>
      </c>
      <c r="J107" t="n">
        <v>0</v>
      </c>
      <c r="K107" t="n">
        <v>0</v>
      </c>
      <c r="L107" t="n">
        <v>0</v>
      </c>
      <c r="M107" t="n">
        <v>0</v>
      </c>
      <c r="N107" t="n">
        <v>0</v>
      </c>
      <c r="O107" t="n">
        <v>0</v>
      </c>
      <c r="P107" t="n">
        <v>0</v>
      </c>
      <c r="Q107" t="n">
        <v>0</v>
      </c>
      <c r="R107" s="2" t="inlineStr"/>
    </row>
    <row r="108" ht="15" customHeight="1">
      <c r="A108" t="inlineStr">
        <is>
          <t>A 37179-2019</t>
        </is>
      </c>
      <c r="B108" s="1" t="n">
        <v>43677</v>
      </c>
      <c r="C108" s="1" t="n">
        <v>45635</v>
      </c>
      <c r="D108" t="inlineStr">
        <is>
          <t>DALARNAS LÄN</t>
        </is>
      </c>
      <c r="E108" t="inlineStr">
        <is>
          <t>MALUNG-SÄLEN</t>
        </is>
      </c>
      <c r="G108" t="n">
        <v>5.5</v>
      </c>
      <c r="H108" t="n">
        <v>0</v>
      </c>
      <c r="I108" t="n">
        <v>0</v>
      </c>
      <c r="J108" t="n">
        <v>0</v>
      </c>
      <c r="K108" t="n">
        <v>0</v>
      </c>
      <c r="L108" t="n">
        <v>0</v>
      </c>
      <c r="M108" t="n">
        <v>0</v>
      </c>
      <c r="N108" t="n">
        <v>0</v>
      </c>
      <c r="O108" t="n">
        <v>0</v>
      </c>
      <c r="P108" t="n">
        <v>0</v>
      </c>
      <c r="Q108" t="n">
        <v>0</v>
      </c>
      <c r="R108" s="2" t="inlineStr"/>
    </row>
    <row r="109" ht="15" customHeight="1">
      <c r="A109" t="inlineStr">
        <is>
          <t>A 37952-2019</t>
        </is>
      </c>
      <c r="B109" s="1" t="n">
        <v>43683</v>
      </c>
      <c r="C109" s="1" t="n">
        <v>45635</v>
      </c>
      <c r="D109" t="inlineStr">
        <is>
          <t>DALARNAS LÄN</t>
        </is>
      </c>
      <c r="E109" t="inlineStr">
        <is>
          <t>MALUNG-SÄLEN</t>
        </is>
      </c>
      <c r="G109" t="n">
        <v>6.4</v>
      </c>
      <c r="H109" t="n">
        <v>0</v>
      </c>
      <c r="I109" t="n">
        <v>0</v>
      </c>
      <c r="J109" t="n">
        <v>0</v>
      </c>
      <c r="K109" t="n">
        <v>0</v>
      </c>
      <c r="L109" t="n">
        <v>0</v>
      </c>
      <c r="M109" t="n">
        <v>0</v>
      </c>
      <c r="N109" t="n">
        <v>0</v>
      </c>
      <c r="O109" t="n">
        <v>0</v>
      </c>
      <c r="P109" t="n">
        <v>0</v>
      </c>
      <c r="Q109" t="n">
        <v>0</v>
      </c>
      <c r="R109" s="2" t="inlineStr"/>
    </row>
    <row r="110" ht="15" customHeight="1">
      <c r="A110" t="inlineStr">
        <is>
          <t>A 38173-2019</t>
        </is>
      </c>
      <c r="B110" s="1" t="n">
        <v>43684</v>
      </c>
      <c r="C110" s="1" t="n">
        <v>45635</v>
      </c>
      <c r="D110" t="inlineStr">
        <is>
          <t>DALARNAS LÄN</t>
        </is>
      </c>
      <c r="E110" t="inlineStr">
        <is>
          <t>MALUNG-SÄLEN</t>
        </is>
      </c>
      <c r="G110" t="n">
        <v>3.3</v>
      </c>
      <c r="H110" t="n">
        <v>0</v>
      </c>
      <c r="I110" t="n">
        <v>0</v>
      </c>
      <c r="J110" t="n">
        <v>0</v>
      </c>
      <c r="K110" t="n">
        <v>0</v>
      </c>
      <c r="L110" t="n">
        <v>0</v>
      </c>
      <c r="M110" t="n">
        <v>0</v>
      </c>
      <c r="N110" t="n">
        <v>0</v>
      </c>
      <c r="O110" t="n">
        <v>0</v>
      </c>
      <c r="P110" t="n">
        <v>0</v>
      </c>
      <c r="Q110" t="n">
        <v>0</v>
      </c>
      <c r="R110" s="2" t="inlineStr"/>
    </row>
    <row r="111" ht="15" customHeight="1">
      <c r="A111" t="inlineStr">
        <is>
          <t>A 39281-2019</t>
        </is>
      </c>
      <c r="B111" s="1" t="n">
        <v>43686</v>
      </c>
      <c r="C111" s="1" t="n">
        <v>45635</v>
      </c>
      <c r="D111" t="inlineStr">
        <is>
          <t>DALARNAS LÄN</t>
        </is>
      </c>
      <c r="E111" t="inlineStr">
        <is>
          <t>MALUNG-SÄLEN</t>
        </is>
      </c>
      <c r="F111" t="inlineStr">
        <is>
          <t>Allmännings- och besparingsskogar</t>
        </is>
      </c>
      <c r="G111" t="n">
        <v>12.8</v>
      </c>
      <c r="H111" t="n">
        <v>0</v>
      </c>
      <c r="I111" t="n">
        <v>0</v>
      </c>
      <c r="J111" t="n">
        <v>0</v>
      </c>
      <c r="K111" t="n">
        <v>0</v>
      </c>
      <c r="L111" t="n">
        <v>0</v>
      </c>
      <c r="M111" t="n">
        <v>0</v>
      </c>
      <c r="N111" t="n">
        <v>0</v>
      </c>
      <c r="O111" t="n">
        <v>0</v>
      </c>
      <c r="P111" t="n">
        <v>0</v>
      </c>
      <c r="Q111" t="n">
        <v>0</v>
      </c>
      <c r="R111" s="2" t="inlineStr"/>
    </row>
    <row r="112" ht="15" customHeight="1">
      <c r="A112" t="inlineStr">
        <is>
          <t>A 39287-2019</t>
        </is>
      </c>
      <c r="B112" s="1" t="n">
        <v>43686</v>
      </c>
      <c r="C112" s="1" t="n">
        <v>45635</v>
      </c>
      <c r="D112" t="inlineStr">
        <is>
          <t>DALARNAS LÄN</t>
        </is>
      </c>
      <c r="E112" t="inlineStr">
        <is>
          <t>MALUNG-SÄLEN</t>
        </is>
      </c>
      <c r="F112" t="inlineStr">
        <is>
          <t>Allmännings- och besparingsskogar</t>
        </is>
      </c>
      <c r="G112" t="n">
        <v>10</v>
      </c>
      <c r="H112" t="n">
        <v>0</v>
      </c>
      <c r="I112" t="n">
        <v>0</v>
      </c>
      <c r="J112" t="n">
        <v>0</v>
      </c>
      <c r="K112" t="n">
        <v>0</v>
      </c>
      <c r="L112" t="n">
        <v>0</v>
      </c>
      <c r="M112" t="n">
        <v>0</v>
      </c>
      <c r="N112" t="n">
        <v>0</v>
      </c>
      <c r="O112" t="n">
        <v>0</v>
      </c>
      <c r="P112" t="n">
        <v>0</v>
      </c>
      <c r="Q112" t="n">
        <v>0</v>
      </c>
      <c r="R112" s="2" t="inlineStr"/>
    </row>
    <row r="113" ht="15" customHeight="1">
      <c r="A113" t="inlineStr">
        <is>
          <t>A 39298-2019</t>
        </is>
      </c>
      <c r="B113" s="1" t="n">
        <v>43690</v>
      </c>
      <c r="C113" s="1" t="n">
        <v>45635</v>
      </c>
      <c r="D113" t="inlineStr">
        <is>
          <t>DALARNAS LÄN</t>
        </is>
      </c>
      <c r="E113" t="inlineStr">
        <is>
          <t>MALUNG-SÄLEN</t>
        </is>
      </c>
      <c r="G113" t="n">
        <v>2.1</v>
      </c>
      <c r="H113" t="n">
        <v>0</v>
      </c>
      <c r="I113" t="n">
        <v>0</v>
      </c>
      <c r="J113" t="n">
        <v>0</v>
      </c>
      <c r="K113" t="n">
        <v>0</v>
      </c>
      <c r="L113" t="n">
        <v>0</v>
      </c>
      <c r="M113" t="n">
        <v>0</v>
      </c>
      <c r="N113" t="n">
        <v>0</v>
      </c>
      <c r="O113" t="n">
        <v>0</v>
      </c>
      <c r="P113" t="n">
        <v>0</v>
      </c>
      <c r="Q113" t="n">
        <v>0</v>
      </c>
      <c r="R113" s="2" t="inlineStr"/>
    </row>
    <row r="114" ht="15" customHeight="1">
      <c r="A114" t="inlineStr">
        <is>
          <t>A 42881-2019</t>
        </is>
      </c>
      <c r="B114" s="1" t="n">
        <v>43700</v>
      </c>
      <c r="C114" s="1" t="n">
        <v>45635</v>
      </c>
      <c r="D114" t="inlineStr">
        <is>
          <t>DALARNAS LÄN</t>
        </is>
      </c>
      <c r="E114" t="inlineStr">
        <is>
          <t>MALUNG-SÄLEN</t>
        </is>
      </c>
      <c r="F114" t="inlineStr">
        <is>
          <t>Allmännings- och besparingsskogar</t>
        </is>
      </c>
      <c r="G114" t="n">
        <v>8</v>
      </c>
      <c r="H114" t="n">
        <v>0</v>
      </c>
      <c r="I114" t="n">
        <v>0</v>
      </c>
      <c r="J114" t="n">
        <v>0</v>
      </c>
      <c r="K114" t="n">
        <v>0</v>
      </c>
      <c r="L114" t="n">
        <v>0</v>
      </c>
      <c r="M114" t="n">
        <v>0</v>
      </c>
      <c r="N114" t="n">
        <v>0</v>
      </c>
      <c r="O114" t="n">
        <v>0</v>
      </c>
      <c r="P114" t="n">
        <v>0</v>
      </c>
      <c r="Q114" t="n">
        <v>0</v>
      </c>
      <c r="R114" s="2" t="inlineStr"/>
    </row>
    <row r="115" ht="15" customHeight="1">
      <c r="A115" t="inlineStr">
        <is>
          <t>A 42889-2019</t>
        </is>
      </c>
      <c r="B115" s="1" t="n">
        <v>43700</v>
      </c>
      <c r="C115" s="1" t="n">
        <v>45635</v>
      </c>
      <c r="D115" t="inlineStr">
        <is>
          <t>DALARNAS LÄN</t>
        </is>
      </c>
      <c r="E115" t="inlineStr">
        <is>
          <t>MALUNG-SÄLEN</t>
        </is>
      </c>
      <c r="F115" t="inlineStr">
        <is>
          <t>Allmännings- och besparingsskogar</t>
        </is>
      </c>
      <c r="G115" t="n">
        <v>6.3</v>
      </c>
      <c r="H115" t="n">
        <v>0</v>
      </c>
      <c r="I115" t="n">
        <v>0</v>
      </c>
      <c r="J115" t="n">
        <v>0</v>
      </c>
      <c r="K115" t="n">
        <v>0</v>
      </c>
      <c r="L115" t="n">
        <v>0</v>
      </c>
      <c r="M115" t="n">
        <v>0</v>
      </c>
      <c r="N115" t="n">
        <v>0</v>
      </c>
      <c r="O115" t="n">
        <v>0</v>
      </c>
      <c r="P115" t="n">
        <v>0</v>
      </c>
      <c r="Q115" t="n">
        <v>0</v>
      </c>
      <c r="R115" s="2" t="inlineStr"/>
    </row>
    <row r="116" ht="15" customHeight="1">
      <c r="A116" t="inlineStr">
        <is>
          <t>A 42172-2019</t>
        </is>
      </c>
      <c r="B116" s="1" t="n">
        <v>43703</v>
      </c>
      <c r="C116" s="1" t="n">
        <v>45635</v>
      </c>
      <c r="D116" t="inlineStr">
        <is>
          <t>DALARNAS LÄN</t>
        </is>
      </c>
      <c r="E116" t="inlineStr">
        <is>
          <t>MALUNG-SÄLEN</t>
        </is>
      </c>
      <c r="G116" t="n">
        <v>1</v>
      </c>
      <c r="H116" t="n">
        <v>0</v>
      </c>
      <c r="I116" t="n">
        <v>0</v>
      </c>
      <c r="J116" t="n">
        <v>0</v>
      </c>
      <c r="K116" t="n">
        <v>0</v>
      </c>
      <c r="L116" t="n">
        <v>0</v>
      </c>
      <c r="M116" t="n">
        <v>0</v>
      </c>
      <c r="N116" t="n">
        <v>0</v>
      </c>
      <c r="O116" t="n">
        <v>0</v>
      </c>
      <c r="P116" t="n">
        <v>0</v>
      </c>
      <c r="Q116" t="n">
        <v>0</v>
      </c>
      <c r="R116" s="2" t="inlineStr"/>
    </row>
    <row r="117" ht="15" customHeight="1">
      <c r="A117" t="inlineStr">
        <is>
          <t>A 44934-2019</t>
        </is>
      </c>
      <c r="B117" s="1" t="n">
        <v>43713</v>
      </c>
      <c r="C117" s="1" t="n">
        <v>45635</v>
      </c>
      <c r="D117" t="inlineStr">
        <is>
          <t>DALARNAS LÄN</t>
        </is>
      </c>
      <c r="E117" t="inlineStr">
        <is>
          <t>MALUNG-SÄLEN</t>
        </is>
      </c>
      <c r="G117" t="n">
        <v>1.1</v>
      </c>
      <c r="H117" t="n">
        <v>0</v>
      </c>
      <c r="I117" t="n">
        <v>0</v>
      </c>
      <c r="J117" t="n">
        <v>0</v>
      </c>
      <c r="K117" t="n">
        <v>0</v>
      </c>
      <c r="L117" t="n">
        <v>0</v>
      </c>
      <c r="M117" t="n">
        <v>0</v>
      </c>
      <c r="N117" t="n">
        <v>0</v>
      </c>
      <c r="O117" t="n">
        <v>0</v>
      </c>
      <c r="P117" t="n">
        <v>0</v>
      </c>
      <c r="Q117" t="n">
        <v>0</v>
      </c>
      <c r="R117" s="2" t="inlineStr"/>
    </row>
    <row r="118" ht="15" customHeight="1">
      <c r="A118" t="inlineStr">
        <is>
          <t>A 45135-2019</t>
        </is>
      </c>
      <c r="B118" s="1" t="n">
        <v>43713</v>
      </c>
      <c r="C118" s="1" t="n">
        <v>45635</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47233-2019</t>
        </is>
      </c>
      <c r="B119" s="1" t="n">
        <v>43713</v>
      </c>
      <c r="C119" s="1" t="n">
        <v>45635</v>
      </c>
      <c r="D119" t="inlineStr">
        <is>
          <t>DALARNAS LÄN</t>
        </is>
      </c>
      <c r="E119" t="inlineStr">
        <is>
          <t>MALUNG-SÄLEN</t>
        </is>
      </c>
      <c r="G119" t="n">
        <v>6.7</v>
      </c>
      <c r="H119" t="n">
        <v>0</v>
      </c>
      <c r="I119" t="n">
        <v>0</v>
      </c>
      <c r="J119" t="n">
        <v>0</v>
      </c>
      <c r="K119" t="n">
        <v>0</v>
      </c>
      <c r="L119" t="n">
        <v>0</v>
      </c>
      <c r="M119" t="n">
        <v>0</v>
      </c>
      <c r="N119" t="n">
        <v>0</v>
      </c>
      <c r="O119" t="n">
        <v>0</v>
      </c>
      <c r="P119" t="n">
        <v>0</v>
      </c>
      <c r="Q119" t="n">
        <v>0</v>
      </c>
      <c r="R119" s="2" t="inlineStr"/>
    </row>
    <row r="120" ht="15" customHeight="1">
      <c r="A120" t="inlineStr">
        <is>
          <t>A 47236-2019</t>
        </is>
      </c>
      <c r="B120" s="1" t="n">
        <v>43713</v>
      </c>
      <c r="C120" s="1" t="n">
        <v>45635</v>
      </c>
      <c r="D120" t="inlineStr">
        <is>
          <t>DALARNAS LÄN</t>
        </is>
      </c>
      <c r="E120" t="inlineStr">
        <is>
          <t>MALUNG-SÄLEN</t>
        </is>
      </c>
      <c r="G120" t="n">
        <v>7.9</v>
      </c>
      <c r="H120" t="n">
        <v>0</v>
      </c>
      <c r="I120" t="n">
        <v>0</v>
      </c>
      <c r="J120" t="n">
        <v>0</v>
      </c>
      <c r="K120" t="n">
        <v>0</v>
      </c>
      <c r="L120" t="n">
        <v>0</v>
      </c>
      <c r="M120" t="n">
        <v>0</v>
      </c>
      <c r="N120" t="n">
        <v>0</v>
      </c>
      <c r="O120" t="n">
        <v>0</v>
      </c>
      <c r="P120" t="n">
        <v>0</v>
      </c>
      <c r="Q120" t="n">
        <v>0</v>
      </c>
      <c r="R120" s="2" t="inlineStr"/>
    </row>
    <row r="121" ht="15" customHeight="1">
      <c r="A121" t="inlineStr">
        <is>
          <t>A 45738-2019</t>
        </is>
      </c>
      <c r="B121" s="1" t="n">
        <v>43717</v>
      </c>
      <c r="C121" s="1" t="n">
        <v>45635</v>
      </c>
      <c r="D121" t="inlineStr">
        <is>
          <t>DALARNAS LÄN</t>
        </is>
      </c>
      <c r="E121" t="inlineStr">
        <is>
          <t>MALUNG-SÄLEN</t>
        </is>
      </c>
      <c r="G121" t="n">
        <v>3.5</v>
      </c>
      <c r="H121" t="n">
        <v>0</v>
      </c>
      <c r="I121" t="n">
        <v>0</v>
      </c>
      <c r="J121" t="n">
        <v>0</v>
      </c>
      <c r="K121" t="n">
        <v>0</v>
      </c>
      <c r="L121" t="n">
        <v>0</v>
      </c>
      <c r="M121" t="n">
        <v>0</v>
      </c>
      <c r="N121" t="n">
        <v>0</v>
      </c>
      <c r="O121" t="n">
        <v>0</v>
      </c>
      <c r="P121" t="n">
        <v>0</v>
      </c>
      <c r="Q121" t="n">
        <v>0</v>
      </c>
      <c r="R121" s="2" t="inlineStr"/>
    </row>
    <row r="122" ht="15" customHeight="1">
      <c r="A122" t="inlineStr">
        <is>
          <t>A 45750-2019</t>
        </is>
      </c>
      <c r="B122" s="1" t="n">
        <v>43717</v>
      </c>
      <c r="C122" s="1" t="n">
        <v>45635</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45697-2019</t>
        </is>
      </c>
      <c r="B123" s="1" t="n">
        <v>43717</v>
      </c>
      <c r="C123" s="1" t="n">
        <v>45635</v>
      </c>
      <c r="D123" t="inlineStr">
        <is>
          <t>DALARNAS LÄN</t>
        </is>
      </c>
      <c r="E123" t="inlineStr">
        <is>
          <t>MALUNG-SÄLEN</t>
        </is>
      </c>
      <c r="G123" t="n">
        <v>0.7</v>
      </c>
      <c r="H123" t="n">
        <v>0</v>
      </c>
      <c r="I123" t="n">
        <v>0</v>
      </c>
      <c r="J123" t="n">
        <v>0</v>
      </c>
      <c r="K123" t="n">
        <v>0</v>
      </c>
      <c r="L123" t="n">
        <v>0</v>
      </c>
      <c r="M123" t="n">
        <v>0</v>
      </c>
      <c r="N123" t="n">
        <v>0</v>
      </c>
      <c r="O123" t="n">
        <v>0</v>
      </c>
      <c r="P123" t="n">
        <v>0</v>
      </c>
      <c r="Q123" t="n">
        <v>0</v>
      </c>
      <c r="R123" s="2" t="inlineStr"/>
    </row>
    <row r="124" ht="15" customHeight="1">
      <c r="A124" t="inlineStr">
        <is>
          <t>A 47068-2019</t>
        </is>
      </c>
      <c r="B124" s="1" t="n">
        <v>43720</v>
      </c>
      <c r="C124" s="1" t="n">
        <v>45635</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47067-2019</t>
        </is>
      </c>
      <c r="B125" s="1" t="n">
        <v>43720</v>
      </c>
      <c r="C125" s="1" t="n">
        <v>45635</v>
      </c>
      <c r="D125" t="inlineStr">
        <is>
          <t>DALARNAS LÄN</t>
        </is>
      </c>
      <c r="E125" t="inlineStr">
        <is>
          <t>MALUNG-SÄLEN</t>
        </is>
      </c>
      <c r="G125" t="n">
        <v>3.7</v>
      </c>
      <c r="H125" t="n">
        <v>0</v>
      </c>
      <c r="I125" t="n">
        <v>0</v>
      </c>
      <c r="J125" t="n">
        <v>0</v>
      </c>
      <c r="K125" t="n">
        <v>0</v>
      </c>
      <c r="L125" t="n">
        <v>0</v>
      </c>
      <c r="M125" t="n">
        <v>0</v>
      </c>
      <c r="N125" t="n">
        <v>0</v>
      </c>
      <c r="O125" t="n">
        <v>0</v>
      </c>
      <c r="P125" t="n">
        <v>0</v>
      </c>
      <c r="Q125" t="n">
        <v>0</v>
      </c>
      <c r="R125" s="2" t="inlineStr"/>
    </row>
    <row r="126" ht="15" customHeight="1">
      <c r="A126" t="inlineStr">
        <is>
          <t>A 48275-2019</t>
        </is>
      </c>
      <c r="B126" s="1" t="n">
        <v>43726</v>
      </c>
      <c r="C126" s="1" t="n">
        <v>45635</v>
      </c>
      <c r="D126" t="inlineStr">
        <is>
          <t>DALARNAS LÄN</t>
        </is>
      </c>
      <c r="E126" t="inlineStr">
        <is>
          <t>MALUNG-SÄLEN</t>
        </is>
      </c>
      <c r="G126" t="n">
        <v>5.2</v>
      </c>
      <c r="H126" t="n">
        <v>0</v>
      </c>
      <c r="I126" t="n">
        <v>0</v>
      </c>
      <c r="J126" t="n">
        <v>0</v>
      </c>
      <c r="K126" t="n">
        <v>0</v>
      </c>
      <c r="L126" t="n">
        <v>0</v>
      </c>
      <c r="M126" t="n">
        <v>0</v>
      </c>
      <c r="N126" t="n">
        <v>0</v>
      </c>
      <c r="O126" t="n">
        <v>0</v>
      </c>
      <c r="P126" t="n">
        <v>0</v>
      </c>
      <c r="Q126" t="n">
        <v>0</v>
      </c>
      <c r="R126" s="2" t="inlineStr"/>
    </row>
    <row r="127" ht="15" customHeight="1">
      <c r="A127" t="inlineStr">
        <is>
          <t>A 49736-2019</t>
        </is>
      </c>
      <c r="B127" s="1" t="n">
        <v>43733</v>
      </c>
      <c r="C127" s="1" t="n">
        <v>45635</v>
      </c>
      <c r="D127" t="inlineStr">
        <is>
          <t>DALARNAS LÄN</t>
        </is>
      </c>
      <c r="E127" t="inlineStr">
        <is>
          <t>MALUNG-SÄLEN</t>
        </is>
      </c>
      <c r="G127" t="n">
        <v>6.5</v>
      </c>
      <c r="H127" t="n">
        <v>0</v>
      </c>
      <c r="I127" t="n">
        <v>0</v>
      </c>
      <c r="J127" t="n">
        <v>0</v>
      </c>
      <c r="K127" t="n">
        <v>0</v>
      </c>
      <c r="L127" t="n">
        <v>0</v>
      </c>
      <c r="M127" t="n">
        <v>0</v>
      </c>
      <c r="N127" t="n">
        <v>0</v>
      </c>
      <c r="O127" t="n">
        <v>0</v>
      </c>
      <c r="P127" t="n">
        <v>0</v>
      </c>
      <c r="Q127" t="n">
        <v>0</v>
      </c>
      <c r="R127" s="2" t="inlineStr"/>
    </row>
    <row r="128" ht="15" customHeight="1">
      <c r="A128" t="inlineStr">
        <is>
          <t>A 49817-2019</t>
        </is>
      </c>
      <c r="B128" s="1" t="n">
        <v>43733</v>
      </c>
      <c r="C128" s="1" t="n">
        <v>45635</v>
      </c>
      <c r="D128" t="inlineStr">
        <is>
          <t>DALARNAS LÄN</t>
        </is>
      </c>
      <c r="E128" t="inlineStr">
        <is>
          <t>MALUNG-SÄLEN</t>
        </is>
      </c>
      <c r="G128" t="n">
        <v>1.6</v>
      </c>
      <c r="H128" t="n">
        <v>0</v>
      </c>
      <c r="I128" t="n">
        <v>0</v>
      </c>
      <c r="J128" t="n">
        <v>0</v>
      </c>
      <c r="K128" t="n">
        <v>0</v>
      </c>
      <c r="L128" t="n">
        <v>0</v>
      </c>
      <c r="M128" t="n">
        <v>0</v>
      </c>
      <c r="N128" t="n">
        <v>0</v>
      </c>
      <c r="O128" t="n">
        <v>0</v>
      </c>
      <c r="P128" t="n">
        <v>0</v>
      </c>
      <c r="Q128" t="n">
        <v>0</v>
      </c>
      <c r="R128" s="2" t="inlineStr"/>
    </row>
    <row r="129" ht="15" customHeight="1">
      <c r="A129" t="inlineStr">
        <is>
          <t>A 50160-2019</t>
        </is>
      </c>
      <c r="B129" s="1" t="n">
        <v>43734</v>
      </c>
      <c r="C129" s="1" t="n">
        <v>45635</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50408-2019</t>
        </is>
      </c>
      <c r="B130" s="1" t="n">
        <v>43735</v>
      </c>
      <c r="C130" s="1" t="n">
        <v>45635</v>
      </c>
      <c r="D130" t="inlineStr">
        <is>
          <t>DALARNAS LÄN</t>
        </is>
      </c>
      <c r="E130" t="inlineStr">
        <is>
          <t>MALUNG-SÄLEN</t>
        </is>
      </c>
      <c r="G130" t="n">
        <v>7.3</v>
      </c>
      <c r="H130" t="n">
        <v>0</v>
      </c>
      <c r="I130" t="n">
        <v>0</v>
      </c>
      <c r="J130" t="n">
        <v>0</v>
      </c>
      <c r="K130" t="n">
        <v>0</v>
      </c>
      <c r="L130" t="n">
        <v>0</v>
      </c>
      <c r="M130" t="n">
        <v>0</v>
      </c>
      <c r="N130" t="n">
        <v>0</v>
      </c>
      <c r="O130" t="n">
        <v>0</v>
      </c>
      <c r="P130" t="n">
        <v>0</v>
      </c>
      <c r="Q130" t="n">
        <v>0</v>
      </c>
      <c r="R130" s="2" t="inlineStr"/>
    </row>
    <row r="131" ht="15" customHeight="1">
      <c r="A131" t="inlineStr">
        <is>
          <t>A 50418-2019</t>
        </is>
      </c>
      <c r="B131" s="1" t="n">
        <v>43735</v>
      </c>
      <c r="C131" s="1" t="n">
        <v>45635</v>
      </c>
      <c r="D131" t="inlineStr">
        <is>
          <t>DALARNAS LÄN</t>
        </is>
      </c>
      <c r="E131" t="inlineStr">
        <is>
          <t>MALUNG-SÄLEN</t>
        </is>
      </c>
      <c r="G131" t="n">
        <v>2.5</v>
      </c>
      <c r="H131" t="n">
        <v>0</v>
      </c>
      <c r="I131" t="n">
        <v>0</v>
      </c>
      <c r="J131" t="n">
        <v>0</v>
      </c>
      <c r="K131" t="n">
        <v>0</v>
      </c>
      <c r="L131" t="n">
        <v>0</v>
      </c>
      <c r="M131" t="n">
        <v>0</v>
      </c>
      <c r="N131" t="n">
        <v>0</v>
      </c>
      <c r="O131" t="n">
        <v>0</v>
      </c>
      <c r="P131" t="n">
        <v>0</v>
      </c>
      <c r="Q131" t="n">
        <v>0</v>
      </c>
      <c r="R131" s="2" t="inlineStr"/>
    </row>
    <row r="132" ht="15" customHeight="1">
      <c r="A132" t="inlineStr">
        <is>
          <t>A 50424-2019</t>
        </is>
      </c>
      <c r="B132" s="1" t="n">
        <v>43735</v>
      </c>
      <c r="C132" s="1" t="n">
        <v>45635</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50486-2019</t>
        </is>
      </c>
      <c r="B133" s="1" t="n">
        <v>43735</v>
      </c>
      <c r="C133" s="1" t="n">
        <v>45635</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50479-2019</t>
        </is>
      </c>
      <c r="B134" s="1" t="n">
        <v>43735</v>
      </c>
      <c r="C134" s="1" t="n">
        <v>45635</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50437-2019</t>
        </is>
      </c>
      <c r="B135" s="1" t="n">
        <v>43735</v>
      </c>
      <c r="C135" s="1" t="n">
        <v>45635</v>
      </c>
      <c r="D135" t="inlineStr">
        <is>
          <t>DALARNAS LÄN</t>
        </is>
      </c>
      <c r="E135" t="inlineStr">
        <is>
          <t>MALUNG-SÄLEN</t>
        </is>
      </c>
      <c r="G135" t="n">
        <v>1.9</v>
      </c>
      <c r="H135" t="n">
        <v>0</v>
      </c>
      <c r="I135" t="n">
        <v>0</v>
      </c>
      <c r="J135" t="n">
        <v>0</v>
      </c>
      <c r="K135" t="n">
        <v>0</v>
      </c>
      <c r="L135" t="n">
        <v>0</v>
      </c>
      <c r="M135" t="n">
        <v>0</v>
      </c>
      <c r="N135" t="n">
        <v>0</v>
      </c>
      <c r="O135" t="n">
        <v>0</v>
      </c>
      <c r="P135" t="n">
        <v>0</v>
      </c>
      <c r="Q135" t="n">
        <v>0</v>
      </c>
      <c r="R135" s="2" t="inlineStr"/>
    </row>
    <row r="136" ht="15" customHeight="1">
      <c r="A136" t="inlineStr">
        <is>
          <t>A 52706-2019</t>
        </is>
      </c>
      <c r="B136" s="1" t="n">
        <v>43739</v>
      </c>
      <c r="C136" s="1" t="n">
        <v>45635</v>
      </c>
      <c r="D136" t="inlineStr">
        <is>
          <t>DALARNAS LÄN</t>
        </is>
      </c>
      <c r="E136" t="inlineStr">
        <is>
          <t>MALUNG-SÄLEN</t>
        </is>
      </c>
      <c r="G136" t="n">
        <v>21</v>
      </c>
      <c r="H136" t="n">
        <v>0</v>
      </c>
      <c r="I136" t="n">
        <v>0</v>
      </c>
      <c r="J136" t="n">
        <v>0</v>
      </c>
      <c r="K136" t="n">
        <v>0</v>
      </c>
      <c r="L136" t="n">
        <v>0</v>
      </c>
      <c r="M136" t="n">
        <v>0</v>
      </c>
      <c r="N136" t="n">
        <v>0</v>
      </c>
      <c r="O136" t="n">
        <v>0</v>
      </c>
      <c r="P136" t="n">
        <v>0</v>
      </c>
      <c r="Q136" t="n">
        <v>0</v>
      </c>
      <c r="R136" s="2" t="inlineStr"/>
    </row>
    <row r="137" ht="15" customHeight="1">
      <c r="A137" t="inlineStr">
        <is>
          <t>A 52719-2019</t>
        </is>
      </c>
      <c r="B137" s="1" t="n">
        <v>43739</v>
      </c>
      <c r="C137" s="1" t="n">
        <v>45635</v>
      </c>
      <c r="D137" t="inlineStr">
        <is>
          <t>DALARNAS LÄN</t>
        </is>
      </c>
      <c r="E137" t="inlineStr">
        <is>
          <t>MALUNG-SÄLEN</t>
        </is>
      </c>
      <c r="G137" t="n">
        <v>9</v>
      </c>
      <c r="H137" t="n">
        <v>0</v>
      </c>
      <c r="I137" t="n">
        <v>0</v>
      </c>
      <c r="J137" t="n">
        <v>0</v>
      </c>
      <c r="K137" t="n">
        <v>0</v>
      </c>
      <c r="L137" t="n">
        <v>0</v>
      </c>
      <c r="M137" t="n">
        <v>0</v>
      </c>
      <c r="N137" t="n">
        <v>0</v>
      </c>
      <c r="O137" t="n">
        <v>0</v>
      </c>
      <c r="P137" t="n">
        <v>0</v>
      </c>
      <c r="Q137" t="n">
        <v>0</v>
      </c>
      <c r="R137" s="2" t="inlineStr"/>
    </row>
    <row r="138" ht="15" customHeight="1">
      <c r="A138" t="inlineStr">
        <is>
          <t>A 53100-2019</t>
        </is>
      </c>
      <c r="B138" s="1" t="n">
        <v>43747</v>
      </c>
      <c r="C138" s="1" t="n">
        <v>45635</v>
      </c>
      <c r="D138" t="inlineStr">
        <is>
          <t>DALARNAS LÄN</t>
        </is>
      </c>
      <c r="E138" t="inlineStr">
        <is>
          <t>MALUNG-SÄLEN</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53740-2019</t>
        </is>
      </c>
      <c r="B139" s="1" t="n">
        <v>43749</v>
      </c>
      <c r="C139" s="1" t="n">
        <v>45635</v>
      </c>
      <c r="D139" t="inlineStr">
        <is>
          <t>DALARNAS LÄN</t>
        </is>
      </c>
      <c r="E139" t="inlineStr">
        <is>
          <t>MALUNG-SÄLEN</t>
        </is>
      </c>
      <c r="G139" t="n">
        <v>4.3</v>
      </c>
      <c r="H139" t="n">
        <v>0</v>
      </c>
      <c r="I139" t="n">
        <v>0</v>
      </c>
      <c r="J139" t="n">
        <v>0</v>
      </c>
      <c r="K139" t="n">
        <v>0</v>
      </c>
      <c r="L139" t="n">
        <v>0</v>
      </c>
      <c r="M139" t="n">
        <v>0</v>
      </c>
      <c r="N139" t="n">
        <v>0</v>
      </c>
      <c r="O139" t="n">
        <v>0</v>
      </c>
      <c r="P139" t="n">
        <v>0</v>
      </c>
      <c r="Q139" t="n">
        <v>0</v>
      </c>
      <c r="R139" s="2" t="inlineStr"/>
    </row>
    <row r="140" ht="15" customHeight="1">
      <c r="A140" t="inlineStr">
        <is>
          <t>A 57052-2019</t>
        </is>
      </c>
      <c r="B140" s="1" t="n">
        <v>43762</v>
      </c>
      <c r="C140" s="1" t="n">
        <v>45635</v>
      </c>
      <c r="D140" t="inlineStr">
        <is>
          <t>DALARNAS LÄN</t>
        </is>
      </c>
      <c r="E140" t="inlineStr">
        <is>
          <t>MALUNG-SÄLEN</t>
        </is>
      </c>
      <c r="G140" t="n">
        <v>2</v>
      </c>
      <c r="H140" t="n">
        <v>0</v>
      </c>
      <c r="I140" t="n">
        <v>0</v>
      </c>
      <c r="J140" t="n">
        <v>0</v>
      </c>
      <c r="K140" t="n">
        <v>0</v>
      </c>
      <c r="L140" t="n">
        <v>0</v>
      </c>
      <c r="M140" t="n">
        <v>0</v>
      </c>
      <c r="N140" t="n">
        <v>0</v>
      </c>
      <c r="O140" t="n">
        <v>0</v>
      </c>
      <c r="P140" t="n">
        <v>0</v>
      </c>
      <c r="Q140" t="n">
        <v>0</v>
      </c>
      <c r="R140" s="2" t="inlineStr"/>
    </row>
    <row r="141" ht="15" customHeight="1">
      <c r="A141" t="inlineStr">
        <is>
          <t>A 56523-2019</t>
        </is>
      </c>
      <c r="B141" s="1" t="n">
        <v>43763</v>
      </c>
      <c r="C141" s="1" t="n">
        <v>45635</v>
      </c>
      <c r="D141" t="inlineStr">
        <is>
          <t>DALARNAS LÄN</t>
        </is>
      </c>
      <c r="E141" t="inlineStr">
        <is>
          <t>MALUNG-SÄLEN</t>
        </is>
      </c>
      <c r="G141" t="n">
        <v>2.2</v>
      </c>
      <c r="H141" t="n">
        <v>0</v>
      </c>
      <c r="I141" t="n">
        <v>0</v>
      </c>
      <c r="J141" t="n">
        <v>0</v>
      </c>
      <c r="K141" t="n">
        <v>0</v>
      </c>
      <c r="L141" t="n">
        <v>0</v>
      </c>
      <c r="M141" t="n">
        <v>0</v>
      </c>
      <c r="N141" t="n">
        <v>0</v>
      </c>
      <c r="O141" t="n">
        <v>0</v>
      </c>
      <c r="P141" t="n">
        <v>0</v>
      </c>
      <c r="Q141" t="n">
        <v>0</v>
      </c>
      <c r="R141" s="2" t="inlineStr"/>
    </row>
    <row r="142" ht="15" customHeight="1">
      <c r="A142" t="inlineStr">
        <is>
          <t>A 57243-2019</t>
        </is>
      </c>
      <c r="B142" s="1" t="n">
        <v>43767</v>
      </c>
      <c r="C142" s="1" t="n">
        <v>45635</v>
      </c>
      <c r="D142" t="inlineStr">
        <is>
          <t>DALARNAS LÄN</t>
        </is>
      </c>
      <c r="E142" t="inlineStr">
        <is>
          <t>MALUNG-SÄLEN</t>
        </is>
      </c>
      <c r="G142" t="n">
        <v>0.9</v>
      </c>
      <c r="H142" t="n">
        <v>0</v>
      </c>
      <c r="I142" t="n">
        <v>0</v>
      </c>
      <c r="J142" t="n">
        <v>0</v>
      </c>
      <c r="K142" t="n">
        <v>0</v>
      </c>
      <c r="L142" t="n">
        <v>0</v>
      </c>
      <c r="M142" t="n">
        <v>0</v>
      </c>
      <c r="N142" t="n">
        <v>0</v>
      </c>
      <c r="O142" t="n">
        <v>0</v>
      </c>
      <c r="P142" t="n">
        <v>0</v>
      </c>
      <c r="Q142" t="n">
        <v>0</v>
      </c>
      <c r="R142" s="2" t="inlineStr"/>
    </row>
    <row r="143" ht="15" customHeight="1">
      <c r="A143" t="inlineStr">
        <is>
          <t>A 57486-2019</t>
        </is>
      </c>
      <c r="B143" s="1" t="n">
        <v>43767</v>
      </c>
      <c r="C143" s="1" t="n">
        <v>45635</v>
      </c>
      <c r="D143" t="inlineStr">
        <is>
          <t>DALARNAS LÄN</t>
        </is>
      </c>
      <c r="E143" t="inlineStr">
        <is>
          <t>MALUNG-SÄLEN</t>
        </is>
      </c>
      <c r="F143" t="inlineStr">
        <is>
          <t>Övriga statliga verk och myndigheter</t>
        </is>
      </c>
      <c r="G143" t="n">
        <v>6.9</v>
      </c>
      <c r="H143" t="n">
        <v>0</v>
      </c>
      <c r="I143" t="n">
        <v>0</v>
      </c>
      <c r="J143" t="n">
        <v>0</v>
      </c>
      <c r="K143" t="n">
        <v>0</v>
      </c>
      <c r="L143" t="n">
        <v>0</v>
      </c>
      <c r="M143" t="n">
        <v>0</v>
      </c>
      <c r="N143" t="n">
        <v>0</v>
      </c>
      <c r="O143" t="n">
        <v>0</v>
      </c>
      <c r="P143" t="n">
        <v>0</v>
      </c>
      <c r="Q143" t="n">
        <v>0</v>
      </c>
      <c r="R143" s="2" t="inlineStr"/>
    </row>
    <row r="144" ht="15" customHeight="1">
      <c r="A144" t="inlineStr">
        <is>
          <t>A 60957-2019</t>
        </is>
      </c>
      <c r="B144" s="1" t="n">
        <v>43782</v>
      </c>
      <c r="C144" s="1" t="n">
        <v>45635</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61100-2019</t>
        </is>
      </c>
      <c r="B145" s="1" t="n">
        <v>43782</v>
      </c>
      <c r="C145" s="1" t="n">
        <v>45635</v>
      </c>
      <c r="D145" t="inlineStr">
        <is>
          <t>DALARNAS LÄN</t>
        </is>
      </c>
      <c r="E145" t="inlineStr">
        <is>
          <t>MALUNG-SÄLEN</t>
        </is>
      </c>
      <c r="F145" t="inlineStr">
        <is>
          <t>Bergvik skog väst AB</t>
        </is>
      </c>
      <c r="G145" t="n">
        <v>13.7</v>
      </c>
      <c r="H145" t="n">
        <v>0</v>
      </c>
      <c r="I145" t="n">
        <v>0</v>
      </c>
      <c r="J145" t="n">
        <v>0</v>
      </c>
      <c r="K145" t="n">
        <v>0</v>
      </c>
      <c r="L145" t="n">
        <v>0</v>
      </c>
      <c r="M145" t="n">
        <v>0</v>
      </c>
      <c r="N145" t="n">
        <v>0</v>
      </c>
      <c r="O145" t="n">
        <v>0</v>
      </c>
      <c r="P145" t="n">
        <v>0</v>
      </c>
      <c r="Q145" t="n">
        <v>0</v>
      </c>
      <c r="R145" s="2" t="inlineStr"/>
    </row>
    <row r="146" ht="15" customHeight="1">
      <c r="A146" t="inlineStr">
        <is>
          <t>A 61280-2019</t>
        </is>
      </c>
      <c r="B146" s="1" t="n">
        <v>43783</v>
      </c>
      <c r="C146" s="1" t="n">
        <v>45635</v>
      </c>
      <c r="D146" t="inlineStr">
        <is>
          <t>DALARNAS LÄN</t>
        </is>
      </c>
      <c r="E146" t="inlineStr">
        <is>
          <t>MALUNG-SÄLEN</t>
        </is>
      </c>
      <c r="G146" t="n">
        <v>4.4</v>
      </c>
      <c r="H146" t="n">
        <v>0</v>
      </c>
      <c r="I146" t="n">
        <v>0</v>
      </c>
      <c r="J146" t="n">
        <v>0</v>
      </c>
      <c r="K146" t="n">
        <v>0</v>
      </c>
      <c r="L146" t="n">
        <v>0</v>
      </c>
      <c r="M146" t="n">
        <v>0</v>
      </c>
      <c r="N146" t="n">
        <v>0</v>
      </c>
      <c r="O146" t="n">
        <v>0</v>
      </c>
      <c r="P146" t="n">
        <v>0</v>
      </c>
      <c r="Q146" t="n">
        <v>0</v>
      </c>
      <c r="R146" s="2" t="inlineStr"/>
    </row>
    <row r="147" ht="15" customHeight="1">
      <c r="A147" t="inlineStr">
        <is>
          <t>A 63333-2019</t>
        </is>
      </c>
      <c r="B147" s="1" t="n">
        <v>43787</v>
      </c>
      <c r="C147" s="1" t="n">
        <v>45635</v>
      </c>
      <c r="D147" t="inlineStr">
        <is>
          <t>DALARNAS LÄN</t>
        </is>
      </c>
      <c r="E147" t="inlineStr">
        <is>
          <t>MALUNG-SÄLEN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62247-2019</t>
        </is>
      </c>
      <c r="B148" s="1" t="n">
        <v>43788</v>
      </c>
      <c r="C148" s="1" t="n">
        <v>45635</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62248-2019</t>
        </is>
      </c>
      <c r="B149" s="1" t="n">
        <v>43788</v>
      </c>
      <c r="C149" s="1" t="n">
        <v>45635</v>
      </c>
      <c r="D149" t="inlineStr">
        <is>
          <t>DALARNAS LÄN</t>
        </is>
      </c>
      <c r="E149" t="inlineStr">
        <is>
          <t>MALUNG-SÄLEN</t>
        </is>
      </c>
      <c r="G149" t="n">
        <v>0.5</v>
      </c>
      <c r="H149" t="n">
        <v>0</v>
      </c>
      <c r="I149" t="n">
        <v>0</v>
      </c>
      <c r="J149" t="n">
        <v>0</v>
      </c>
      <c r="K149" t="n">
        <v>0</v>
      </c>
      <c r="L149" t="n">
        <v>0</v>
      </c>
      <c r="M149" t="n">
        <v>0</v>
      </c>
      <c r="N149" t="n">
        <v>0</v>
      </c>
      <c r="O149" t="n">
        <v>0</v>
      </c>
      <c r="P149" t="n">
        <v>0</v>
      </c>
      <c r="Q149" t="n">
        <v>0</v>
      </c>
      <c r="R149" s="2" t="inlineStr"/>
    </row>
    <row r="150" ht="15" customHeight="1">
      <c r="A150" t="inlineStr">
        <is>
          <t>A 62312-2019</t>
        </is>
      </c>
      <c r="B150" s="1" t="n">
        <v>43788</v>
      </c>
      <c r="C150" s="1" t="n">
        <v>45635</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67339-2019</t>
        </is>
      </c>
      <c r="B151" s="1" t="n">
        <v>43812</v>
      </c>
      <c r="C151" s="1" t="n">
        <v>45635</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68789-2019</t>
        </is>
      </c>
      <c r="B152" s="1" t="n">
        <v>43819</v>
      </c>
      <c r="C152" s="1" t="n">
        <v>45635</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337-2020</t>
        </is>
      </c>
      <c r="B153" s="1" t="n">
        <v>43837</v>
      </c>
      <c r="C153" s="1" t="n">
        <v>45635</v>
      </c>
      <c r="D153" t="inlineStr">
        <is>
          <t>DALARNAS LÄN</t>
        </is>
      </c>
      <c r="E153" t="inlineStr">
        <is>
          <t>MALUNG-SÄLEN</t>
        </is>
      </c>
      <c r="G153" t="n">
        <v>0.8</v>
      </c>
      <c r="H153" t="n">
        <v>0</v>
      </c>
      <c r="I153" t="n">
        <v>0</v>
      </c>
      <c r="J153" t="n">
        <v>0</v>
      </c>
      <c r="K153" t="n">
        <v>0</v>
      </c>
      <c r="L153" t="n">
        <v>0</v>
      </c>
      <c r="M153" t="n">
        <v>0</v>
      </c>
      <c r="N153" t="n">
        <v>0</v>
      </c>
      <c r="O153" t="n">
        <v>0</v>
      </c>
      <c r="P153" t="n">
        <v>0</v>
      </c>
      <c r="Q153" t="n">
        <v>0</v>
      </c>
      <c r="R153" s="2" t="inlineStr"/>
    </row>
    <row r="154" ht="15" customHeight="1">
      <c r="A154" t="inlineStr">
        <is>
          <t>A 2198-2020</t>
        </is>
      </c>
      <c r="B154" s="1" t="n">
        <v>43839</v>
      </c>
      <c r="C154" s="1" t="n">
        <v>45635</v>
      </c>
      <c r="D154" t="inlineStr">
        <is>
          <t>DALARNAS LÄN</t>
        </is>
      </c>
      <c r="E154" t="inlineStr">
        <is>
          <t>MALUNG-SÄLEN</t>
        </is>
      </c>
      <c r="G154" t="n">
        <v>0.3</v>
      </c>
      <c r="H154" t="n">
        <v>0</v>
      </c>
      <c r="I154" t="n">
        <v>0</v>
      </c>
      <c r="J154" t="n">
        <v>0</v>
      </c>
      <c r="K154" t="n">
        <v>0</v>
      </c>
      <c r="L154" t="n">
        <v>0</v>
      </c>
      <c r="M154" t="n">
        <v>0</v>
      </c>
      <c r="N154" t="n">
        <v>0</v>
      </c>
      <c r="O154" t="n">
        <v>0</v>
      </c>
      <c r="P154" t="n">
        <v>0</v>
      </c>
      <c r="Q154" t="n">
        <v>0</v>
      </c>
      <c r="R154" s="2" t="inlineStr"/>
    </row>
    <row r="155" ht="15" customHeight="1">
      <c r="A155" t="inlineStr">
        <is>
          <t>A 4747-2020</t>
        </is>
      </c>
      <c r="B155" s="1" t="n">
        <v>43859</v>
      </c>
      <c r="C155" s="1" t="n">
        <v>45635</v>
      </c>
      <c r="D155" t="inlineStr">
        <is>
          <t>DALARNAS LÄN</t>
        </is>
      </c>
      <c r="E155" t="inlineStr">
        <is>
          <t>MALUNG-SÄLEN</t>
        </is>
      </c>
      <c r="F155" t="inlineStr">
        <is>
          <t>Allmännings- och besparingsskogar</t>
        </is>
      </c>
      <c r="G155" t="n">
        <v>27.6</v>
      </c>
      <c r="H155" t="n">
        <v>0</v>
      </c>
      <c r="I155" t="n">
        <v>0</v>
      </c>
      <c r="J155" t="n">
        <v>0</v>
      </c>
      <c r="K155" t="n">
        <v>0</v>
      </c>
      <c r="L155" t="n">
        <v>0</v>
      </c>
      <c r="M155" t="n">
        <v>0</v>
      </c>
      <c r="N155" t="n">
        <v>0</v>
      </c>
      <c r="O155" t="n">
        <v>0</v>
      </c>
      <c r="P155" t="n">
        <v>0</v>
      </c>
      <c r="Q155" t="n">
        <v>0</v>
      </c>
      <c r="R155" s="2" t="inlineStr"/>
    </row>
    <row r="156" ht="15" customHeight="1">
      <c r="A156" t="inlineStr">
        <is>
          <t>A 8728-2020</t>
        </is>
      </c>
      <c r="B156" s="1" t="n">
        <v>43878</v>
      </c>
      <c r="C156" s="1" t="n">
        <v>45635</v>
      </c>
      <c r="D156" t="inlineStr">
        <is>
          <t>DALARNAS LÄN</t>
        </is>
      </c>
      <c r="E156" t="inlineStr">
        <is>
          <t>MALUNG-SÄLEN</t>
        </is>
      </c>
      <c r="F156" t="inlineStr">
        <is>
          <t>Bergvik skog öst AB</t>
        </is>
      </c>
      <c r="G156" t="n">
        <v>5.8</v>
      </c>
      <c r="H156" t="n">
        <v>0</v>
      </c>
      <c r="I156" t="n">
        <v>0</v>
      </c>
      <c r="J156" t="n">
        <v>0</v>
      </c>
      <c r="K156" t="n">
        <v>0</v>
      </c>
      <c r="L156" t="n">
        <v>0</v>
      </c>
      <c r="M156" t="n">
        <v>0</v>
      </c>
      <c r="N156" t="n">
        <v>0</v>
      </c>
      <c r="O156" t="n">
        <v>0</v>
      </c>
      <c r="P156" t="n">
        <v>0</v>
      </c>
      <c r="Q156" t="n">
        <v>0</v>
      </c>
      <c r="R156" s="2" t="inlineStr"/>
    </row>
    <row r="157" ht="15" customHeight="1">
      <c r="A157" t="inlineStr">
        <is>
          <t>A 8737-2020</t>
        </is>
      </c>
      <c r="B157" s="1" t="n">
        <v>43878</v>
      </c>
      <c r="C157" s="1" t="n">
        <v>45635</v>
      </c>
      <c r="D157" t="inlineStr">
        <is>
          <t>DALARNAS LÄN</t>
        </is>
      </c>
      <c r="E157" t="inlineStr">
        <is>
          <t>MALUNG-SÄLEN</t>
        </is>
      </c>
      <c r="F157" t="inlineStr">
        <is>
          <t>Bergvik skog öst AB</t>
        </is>
      </c>
      <c r="G157" t="n">
        <v>3.2</v>
      </c>
      <c r="H157" t="n">
        <v>0</v>
      </c>
      <c r="I157" t="n">
        <v>0</v>
      </c>
      <c r="J157" t="n">
        <v>0</v>
      </c>
      <c r="K157" t="n">
        <v>0</v>
      </c>
      <c r="L157" t="n">
        <v>0</v>
      </c>
      <c r="M157" t="n">
        <v>0</v>
      </c>
      <c r="N157" t="n">
        <v>0</v>
      </c>
      <c r="O157" t="n">
        <v>0</v>
      </c>
      <c r="P157" t="n">
        <v>0</v>
      </c>
      <c r="Q157" t="n">
        <v>0</v>
      </c>
      <c r="R157" s="2" t="inlineStr"/>
    </row>
    <row r="158" ht="15" customHeight="1">
      <c r="A158" t="inlineStr">
        <is>
          <t>A 10447-2020</t>
        </is>
      </c>
      <c r="B158" s="1" t="n">
        <v>43886</v>
      </c>
      <c r="C158" s="1" t="n">
        <v>45635</v>
      </c>
      <c r="D158" t="inlineStr">
        <is>
          <t>DALARNAS LÄN</t>
        </is>
      </c>
      <c r="E158" t="inlineStr">
        <is>
          <t>MALUNG-SÄLEN</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11273-2020</t>
        </is>
      </c>
      <c r="B159" s="1" t="n">
        <v>43888</v>
      </c>
      <c r="C159" s="1" t="n">
        <v>45635</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12791-2020</t>
        </is>
      </c>
      <c r="B160" s="1" t="n">
        <v>43894</v>
      </c>
      <c r="C160" s="1" t="n">
        <v>45635</v>
      </c>
      <c r="D160" t="inlineStr">
        <is>
          <t>DALARNAS LÄN</t>
        </is>
      </c>
      <c r="E160" t="inlineStr">
        <is>
          <t>MALUNG-SÄLEN</t>
        </is>
      </c>
      <c r="F160" t="inlineStr">
        <is>
          <t>Allmännings- och besparingsskogar</t>
        </is>
      </c>
      <c r="G160" t="n">
        <v>0.6</v>
      </c>
      <c r="H160" t="n">
        <v>0</v>
      </c>
      <c r="I160" t="n">
        <v>0</v>
      </c>
      <c r="J160" t="n">
        <v>0</v>
      </c>
      <c r="K160" t="n">
        <v>0</v>
      </c>
      <c r="L160" t="n">
        <v>0</v>
      </c>
      <c r="M160" t="n">
        <v>0</v>
      </c>
      <c r="N160" t="n">
        <v>0</v>
      </c>
      <c r="O160" t="n">
        <v>0</v>
      </c>
      <c r="P160" t="n">
        <v>0</v>
      </c>
      <c r="Q160" t="n">
        <v>0</v>
      </c>
      <c r="R160" s="2" t="inlineStr"/>
    </row>
    <row r="161" ht="15" customHeight="1">
      <c r="A161" t="inlineStr">
        <is>
          <t>A 14922-2020</t>
        </is>
      </c>
      <c r="B161" s="1" t="n">
        <v>43906</v>
      </c>
      <c r="C161" s="1" t="n">
        <v>45635</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14265-2020</t>
        </is>
      </c>
      <c r="B162" s="1" t="n">
        <v>43907</v>
      </c>
      <c r="C162" s="1" t="n">
        <v>45635</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14260-2020</t>
        </is>
      </c>
      <c r="B163" s="1" t="n">
        <v>43907</v>
      </c>
      <c r="C163" s="1" t="n">
        <v>45635</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15207-2020</t>
        </is>
      </c>
      <c r="B164" s="1" t="n">
        <v>43909</v>
      </c>
      <c r="C164" s="1" t="n">
        <v>45635</v>
      </c>
      <c r="D164" t="inlineStr">
        <is>
          <t>DALARNAS LÄN</t>
        </is>
      </c>
      <c r="E164" t="inlineStr">
        <is>
          <t>MALUNG-SÄLEN</t>
        </is>
      </c>
      <c r="G164" t="n">
        <v>2.7</v>
      </c>
      <c r="H164" t="n">
        <v>0</v>
      </c>
      <c r="I164" t="n">
        <v>0</v>
      </c>
      <c r="J164" t="n">
        <v>0</v>
      </c>
      <c r="K164" t="n">
        <v>0</v>
      </c>
      <c r="L164" t="n">
        <v>0</v>
      </c>
      <c r="M164" t="n">
        <v>0</v>
      </c>
      <c r="N164" t="n">
        <v>0</v>
      </c>
      <c r="O164" t="n">
        <v>0</v>
      </c>
      <c r="P164" t="n">
        <v>0</v>
      </c>
      <c r="Q164" t="n">
        <v>0</v>
      </c>
      <c r="R164" s="2" t="inlineStr"/>
    </row>
    <row r="165" ht="15" customHeight="1">
      <c r="A165" t="inlineStr">
        <is>
          <t>A 17366-2020</t>
        </is>
      </c>
      <c r="B165" s="1" t="n">
        <v>43923</v>
      </c>
      <c r="C165" s="1" t="n">
        <v>45635</v>
      </c>
      <c r="D165" t="inlineStr">
        <is>
          <t>DALARNAS LÄN</t>
        </is>
      </c>
      <c r="E165" t="inlineStr">
        <is>
          <t>MALUNG-SÄLEN</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17712-2020</t>
        </is>
      </c>
      <c r="B166" s="1" t="n">
        <v>43924</v>
      </c>
      <c r="C166" s="1" t="n">
        <v>45635</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18150-2020</t>
        </is>
      </c>
      <c r="B167" s="1" t="n">
        <v>43927</v>
      </c>
      <c r="C167" s="1" t="n">
        <v>45635</v>
      </c>
      <c r="D167" t="inlineStr">
        <is>
          <t>DALARNAS LÄN</t>
        </is>
      </c>
      <c r="E167" t="inlineStr">
        <is>
          <t>MALUNG-SÄLEN</t>
        </is>
      </c>
      <c r="G167" t="n">
        <v>0.7</v>
      </c>
      <c r="H167" t="n">
        <v>0</v>
      </c>
      <c r="I167" t="n">
        <v>0</v>
      </c>
      <c r="J167" t="n">
        <v>0</v>
      </c>
      <c r="K167" t="n">
        <v>0</v>
      </c>
      <c r="L167" t="n">
        <v>0</v>
      </c>
      <c r="M167" t="n">
        <v>0</v>
      </c>
      <c r="N167" t="n">
        <v>0</v>
      </c>
      <c r="O167" t="n">
        <v>0</v>
      </c>
      <c r="P167" t="n">
        <v>0</v>
      </c>
      <c r="Q167" t="n">
        <v>0</v>
      </c>
      <c r="R167" s="2" t="inlineStr"/>
    </row>
    <row r="168" ht="15" customHeight="1">
      <c r="A168" t="inlineStr">
        <is>
          <t>A 18625-2020</t>
        </is>
      </c>
      <c r="B168" s="1" t="n">
        <v>43928</v>
      </c>
      <c r="C168" s="1" t="n">
        <v>45635</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18751-2020</t>
        </is>
      </c>
      <c r="B169" s="1" t="n">
        <v>43930</v>
      </c>
      <c r="C169" s="1" t="n">
        <v>45635</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19366-2020</t>
        </is>
      </c>
      <c r="B170" s="1" t="n">
        <v>43938</v>
      </c>
      <c r="C170" s="1" t="n">
        <v>45635</v>
      </c>
      <c r="D170" t="inlineStr">
        <is>
          <t>DALARNAS LÄN</t>
        </is>
      </c>
      <c r="E170" t="inlineStr">
        <is>
          <t>MALUNG-SÄLEN</t>
        </is>
      </c>
      <c r="G170" t="n">
        <v>2.9</v>
      </c>
      <c r="H170" t="n">
        <v>0</v>
      </c>
      <c r="I170" t="n">
        <v>0</v>
      </c>
      <c r="J170" t="n">
        <v>0</v>
      </c>
      <c r="K170" t="n">
        <v>0</v>
      </c>
      <c r="L170" t="n">
        <v>0</v>
      </c>
      <c r="M170" t="n">
        <v>0</v>
      </c>
      <c r="N170" t="n">
        <v>0</v>
      </c>
      <c r="O170" t="n">
        <v>0</v>
      </c>
      <c r="P170" t="n">
        <v>0</v>
      </c>
      <c r="Q170" t="n">
        <v>0</v>
      </c>
      <c r="R170" s="2" t="inlineStr"/>
    </row>
    <row r="171" ht="15" customHeight="1">
      <c r="A171" t="inlineStr">
        <is>
          <t>A 20042-2020</t>
        </is>
      </c>
      <c r="B171" s="1" t="n">
        <v>43943</v>
      </c>
      <c r="C171" s="1" t="n">
        <v>45635</v>
      </c>
      <c r="D171" t="inlineStr">
        <is>
          <t>DALARNAS LÄN</t>
        </is>
      </c>
      <c r="E171" t="inlineStr">
        <is>
          <t>MALUNG-SÄLEN</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20360-2020</t>
        </is>
      </c>
      <c r="B172" s="1" t="n">
        <v>43945</v>
      </c>
      <c r="C172" s="1" t="n">
        <v>45635</v>
      </c>
      <c r="D172" t="inlineStr">
        <is>
          <t>DALARNAS LÄN</t>
        </is>
      </c>
      <c r="E172" t="inlineStr">
        <is>
          <t>MALUNG-SÄLEN</t>
        </is>
      </c>
      <c r="G172" t="n">
        <v>4.2</v>
      </c>
      <c r="H172" t="n">
        <v>0</v>
      </c>
      <c r="I172" t="n">
        <v>0</v>
      </c>
      <c r="J172" t="n">
        <v>0</v>
      </c>
      <c r="K172" t="n">
        <v>0</v>
      </c>
      <c r="L172" t="n">
        <v>0</v>
      </c>
      <c r="M172" t="n">
        <v>0</v>
      </c>
      <c r="N172" t="n">
        <v>0</v>
      </c>
      <c r="O172" t="n">
        <v>0</v>
      </c>
      <c r="P172" t="n">
        <v>0</v>
      </c>
      <c r="Q172" t="n">
        <v>0</v>
      </c>
      <c r="R172" s="2" t="inlineStr"/>
    </row>
    <row r="173" ht="15" customHeight="1">
      <c r="A173" t="inlineStr">
        <is>
          <t>A 23815-2020</t>
        </is>
      </c>
      <c r="B173" s="1" t="n">
        <v>43970</v>
      </c>
      <c r="C173" s="1" t="n">
        <v>45635</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24942-2020</t>
        </is>
      </c>
      <c r="B174" s="1" t="n">
        <v>43979</v>
      </c>
      <c r="C174" s="1" t="n">
        <v>45635</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26299-2020</t>
        </is>
      </c>
      <c r="B175" s="1" t="n">
        <v>43986</v>
      </c>
      <c r="C175" s="1" t="n">
        <v>45635</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26305-2020</t>
        </is>
      </c>
      <c r="B176" s="1" t="n">
        <v>43986</v>
      </c>
      <c r="C176" s="1" t="n">
        <v>45635</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26303-2020</t>
        </is>
      </c>
      <c r="B177" s="1" t="n">
        <v>43986</v>
      </c>
      <c r="C177" s="1" t="n">
        <v>45635</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26546-2020</t>
        </is>
      </c>
      <c r="B178" s="1" t="n">
        <v>43987</v>
      </c>
      <c r="C178" s="1" t="n">
        <v>45635</v>
      </c>
      <c r="D178" t="inlineStr">
        <is>
          <t>DALARNAS LÄN</t>
        </is>
      </c>
      <c r="E178" t="inlineStr">
        <is>
          <t>MALUNG-SÄLEN</t>
        </is>
      </c>
      <c r="G178" t="n">
        <v>0.4</v>
      </c>
      <c r="H178" t="n">
        <v>0</v>
      </c>
      <c r="I178" t="n">
        <v>0</v>
      </c>
      <c r="J178" t="n">
        <v>0</v>
      </c>
      <c r="K178" t="n">
        <v>0</v>
      </c>
      <c r="L178" t="n">
        <v>0</v>
      </c>
      <c r="M178" t="n">
        <v>0</v>
      </c>
      <c r="N178" t="n">
        <v>0</v>
      </c>
      <c r="O178" t="n">
        <v>0</v>
      </c>
      <c r="P178" t="n">
        <v>0</v>
      </c>
      <c r="Q178" t="n">
        <v>0</v>
      </c>
      <c r="R178" s="2" t="inlineStr"/>
    </row>
    <row r="179" ht="15" customHeight="1">
      <c r="A179" t="inlineStr">
        <is>
          <t>A 26898-2020</t>
        </is>
      </c>
      <c r="B179" s="1" t="n">
        <v>43990</v>
      </c>
      <c r="C179" s="1" t="n">
        <v>45635</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26697-2020</t>
        </is>
      </c>
      <c r="B180" s="1" t="n">
        <v>43990</v>
      </c>
      <c r="C180" s="1" t="n">
        <v>45635</v>
      </c>
      <c r="D180" t="inlineStr">
        <is>
          <t>DALARNAS LÄN</t>
        </is>
      </c>
      <c r="E180" t="inlineStr">
        <is>
          <t>MALUNG-SÄLEN</t>
        </is>
      </c>
      <c r="F180" t="inlineStr">
        <is>
          <t>Allmännings- och besparingsskogar</t>
        </is>
      </c>
      <c r="G180" t="n">
        <v>1.2</v>
      </c>
      <c r="H180" t="n">
        <v>0</v>
      </c>
      <c r="I180" t="n">
        <v>0</v>
      </c>
      <c r="J180" t="n">
        <v>0</v>
      </c>
      <c r="K180" t="n">
        <v>0</v>
      </c>
      <c r="L180" t="n">
        <v>0</v>
      </c>
      <c r="M180" t="n">
        <v>0</v>
      </c>
      <c r="N180" t="n">
        <v>0</v>
      </c>
      <c r="O180" t="n">
        <v>0</v>
      </c>
      <c r="P180" t="n">
        <v>0</v>
      </c>
      <c r="Q180" t="n">
        <v>0</v>
      </c>
      <c r="R180" s="2" t="inlineStr"/>
    </row>
    <row r="181" ht="15" customHeight="1">
      <c r="A181" t="inlineStr">
        <is>
          <t>A 26910-2020</t>
        </is>
      </c>
      <c r="B181" s="1" t="n">
        <v>43990</v>
      </c>
      <c r="C181" s="1" t="n">
        <v>45635</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26905-2020</t>
        </is>
      </c>
      <c r="B182" s="1" t="n">
        <v>43990</v>
      </c>
      <c r="C182" s="1" t="n">
        <v>45635</v>
      </c>
      <c r="D182" t="inlineStr">
        <is>
          <t>DALARNAS LÄN</t>
        </is>
      </c>
      <c r="E182" t="inlineStr">
        <is>
          <t>MALUNG-SÄLEN</t>
        </is>
      </c>
      <c r="G182" t="n">
        <v>1</v>
      </c>
      <c r="H182" t="n">
        <v>0</v>
      </c>
      <c r="I182" t="n">
        <v>0</v>
      </c>
      <c r="J182" t="n">
        <v>0</v>
      </c>
      <c r="K182" t="n">
        <v>0</v>
      </c>
      <c r="L182" t="n">
        <v>0</v>
      </c>
      <c r="M182" t="n">
        <v>0</v>
      </c>
      <c r="N182" t="n">
        <v>0</v>
      </c>
      <c r="O182" t="n">
        <v>0</v>
      </c>
      <c r="P182" t="n">
        <v>0</v>
      </c>
      <c r="Q182" t="n">
        <v>0</v>
      </c>
      <c r="R182" s="2" t="inlineStr"/>
    </row>
    <row r="183" ht="15" customHeight="1">
      <c r="A183" t="inlineStr">
        <is>
          <t>A 27125-2020</t>
        </is>
      </c>
      <c r="B183" s="1" t="n">
        <v>43990</v>
      </c>
      <c r="C183" s="1" t="n">
        <v>45635</v>
      </c>
      <c r="D183" t="inlineStr">
        <is>
          <t>DALARNAS LÄN</t>
        </is>
      </c>
      <c r="E183" t="inlineStr">
        <is>
          <t>MALUNG-SÄLEN</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27020-2020</t>
        </is>
      </c>
      <c r="B184" s="1" t="n">
        <v>43991</v>
      </c>
      <c r="C184" s="1" t="n">
        <v>45635</v>
      </c>
      <c r="D184" t="inlineStr">
        <is>
          <t>DALARNAS LÄN</t>
        </is>
      </c>
      <c r="E184" t="inlineStr">
        <is>
          <t>MALUNG-SÄLEN</t>
        </is>
      </c>
      <c r="G184" t="n">
        <v>2.4</v>
      </c>
      <c r="H184" t="n">
        <v>0</v>
      </c>
      <c r="I184" t="n">
        <v>0</v>
      </c>
      <c r="J184" t="n">
        <v>0</v>
      </c>
      <c r="K184" t="n">
        <v>0</v>
      </c>
      <c r="L184" t="n">
        <v>0</v>
      </c>
      <c r="M184" t="n">
        <v>0</v>
      </c>
      <c r="N184" t="n">
        <v>0</v>
      </c>
      <c r="O184" t="n">
        <v>0</v>
      </c>
      <c r="P184" t="n">
        <v>0</v>
      </c>
      <c r="Q184" t="n">
        <v>0</v>
      </c>
      <c r="R184" s="2" t="inlineStr"/>
    </row>
    <row r="185" ht="15" customHeight="1">
      <c r="A185" t="inlineStr">
        <is>
          <t>A 28171-2020</t>
        </is>
      </c>
      <c r="B185" s="1" t="n">
        <v>43997</v>
      </c>
      <c r="C185" s="1" t="n">
        <v>45635</v>
      </c>
      <c r="D185" t="inlineStr">
        <is>
          <t>DALARNAS LÄN</t>
        </is>
      </c>
      <c r="E185" t="inlineStr">
        <is>
          <t>MALUNG-SÄLEN</t>
        </is>
      </c>
      <c r="G185" t="n">
        <v>7</v>
      </c>
      <c r="H185" t="n">
        <v>0</v>
      </c>
      <c r="I185" t="n">
        <v>0</v>
      </c>
      <c r="J185" t="n">
        <v>0</v>
      </c>
      <c r="K185" t="n">
        <v>0</v>
      </c>
      <c r="L185" t="n">
        <v>0</v>
      </c>
      <c r="M185" t="n">
        <v>0</v>
      </c>
      <c r="N185" t="n">
        <v>0</v>
      </c>
      <c r="O185" t="n">
        <v>0</v>
      </c>
      <c r="P185" t="n">
        <v>0</v>
      </c>
      <c r="Q185" t="n">
        <v>0</v>
      </c>
      <c r="R185" s="2" t="inlineStr"/>
    </row>
    <row r="186" ht="15" customHeight="1">
      <c r="A186" t="inlineStr">
        <is>
          <t>A 28377-2020</t>
        </is>
      </c>
      <c r="B186" s="1" t="n">
        <v>43998</v>
      </c>
      <c r="C186" s="1" t="n">
        <v>45635</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28515-2020</t>
        </is>
      </c>
      <c r="B187" s="1" t="n">
        <v>43999</v>
      </c>
      <c r="C187" s="1" t="n">
        <v>45635</v>
      </c>
      <c r="D187" t="inlineStr">
        <is>
          <t>DALARNAS LÄN</t>
        </is>
      </c>
      <c r="E187" t="inlineStr">
        <is>
          <t>MALUNG-SÄLEN</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28696-2020</t>
        </is>
      </c>
      <c r="B188" s="1" t="n">
        <v>43999</v>
      </c>
      <c r="C188" s="1" t="n">
        <v>45635</v>
      </c>
      <c r="D188" t="inlineStr">
        <is>
          <t>DALARNAS LÄN</t>
        </is>
      </c>
      <c r="E188" t="inlineStr">
        <is>
          <t>MALUNG-SÄLEN</t>
        </is>
      </c>
      <c r="G188" t="n">
        <v>4.1</v>
      </c>
      <c r="H188" t="n">
        <v>0</v>
      </c>
      <c r="I188" t="n">
        <v>0</v>
      </c>
      <c r="J188" t="n">
        <v>0</v>
      </c>
      <c r="K188" t="n">
        <v>0</v>
      </c>
      <c r="L188" t="n">
        <v>0</v>
      </c>
      <c r="M188" t="n">
        <v>0</v>
      </c>
      <c r="N188" t="n">
        <v>0</v>
      </c>
      <c r="O188" t="n">
        <v>0</v>
      </c>
      <c r="P188" t="n">
        <v>0</v>
      </c>
      <c r="Q188" t="n">
        <v>0</v>
      </c>
      <c r="R188" s="2" t="inlineStr"/>
    </row>
    <row r="189" ht="15" customHeight="1">
      <c r="A189" t="inlineStr">
        <is>
          <t>A 28836-2020</t>
        </is>
      </c>
      <c r="B189" s="1" t="n">
        <v>44000</v>
      </c>
      <c r="C189" s="1" t="n">
        <v>45635</v>
      </c>
      <c r="D189" t="inlineStr">
        <is>
          <t>DALARNAS LÄN</t>
        </is>
      </c>
      <c r="E189" t="inlineStr">
        <is>
          <t>MALUNG-SÄLEN</t>
        </is>
      </c>
      <c r="G189" t="n">
        <v>16.6</v>
      </c>
      <c r="H189" t="n">
        <v>0</v>
      </c>
      <c r="I189" t="n">
        <v>0</v>
      </c>
      <c r="J189" t="n">
        <v>0</v>
      </c>
      <c r="K189" t="n">
        <v>0</v>
      </c>
      <c r="L189" t="n">
        <v>0</v>
      </c>
      <c r="M189" t="n">
        <v>0</v>
      </c>
      <c r="N189" t="n">
        <v>0</v>
      </c>
      <c r="O189" t="n">
        <v>0</v>
      </c>
      <c r="P189" t="n">
        <v>0</v>
      </c>
      <c r="Q189" t="n">
        <v>0</v>
      </c>
      <c r="R189" s="2" t="inlineStr"/>
    </row>
    <row r="190" ht="15" customHeight="1">
      <c r="A190" t="inlineStr">
        <is>
          <t>A 29551-2020</t>
        </is>
      </c>
      <c r="B190" s="1" t="n">
        <v>44005</v>
      </c>
      <c r="C190" s="1" t="n">
        <v>45635</v>
      </c>
      <c r="D190" t="inlineStr">
        <is>
          <t>DALARNAS LÄN</t>
        </is>
      </c>
      <c r="E190" t="inlineStr">
        <is>
          <t>MALUNG-SÄLEN</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30262-2020</t>
        </is>
      </c>
      <c r="B191" s="1" t="n">
        <v>44007</v>
      </c>
      <c r="C191" s="1" t="n">
        <v>45635</v>
      </c>
      <c r="D191" t="inlineStr">
        <is>
          <t>DALARNAS LÄN</t>
        </is>
      </c>
      <c r="E191" t="inlineStr">
        <is>
          <t>MALUNG-SÄLEN</t>
        </is>
      </c>
      <c r="G191" t="n">
        <v>7.1</v>
      </c>
      <c r="H191" t="n">
        <v>0</v>
      </c>
      <c r="I191" t="n">
        <v>0</v>
      </c>
      <c r="J191" t="n">
        <v>0</v>
      </c>
      <c r="K191" t="n">
        <v>0</v>
      </c>
      <c r="L191" t="n">
        <v>0</v>
      </c>
      <c r="M191" t="n">
        <v>0</v>
      </c>
      <c r="N191" t="n">
        <v>0</v>
      </c>
      <c r="O191" t="n">
        <v>0</v>
      </c>
      <c r="P191" t="n">
        <v>0</v>
      </c>
      <c r="Q191" t="n">
        <v>0</v>
      </c>
      <c r="R191" s="2" t="inlineStr"/>
    </row>
    <row r="192" ht="15" customHeight="1">
      <c r="A192" t="inlineStr">
        <is>
          <t>A 31075-2020</t>
        </is>
      </c>
      <c r="B192" s="1" t="n">
        <v>44012</v>
      </c>
      <c r="C192" s="1" t="n">
        <v>45635</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31161-2020</t>
        </is>
      </c>
      <c r="B193" s="1" t="n">
        <v>44012</v>
      </c>
      <c r="C193" s="1" t="n">
        <v>45635</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32815-2020</t>
        </is>
      </c>
      <c r="B194" s="1" t="n">
        <v>44020</v>
      </c>
      <c r="C194" s="1" t="n">
        <v>45635</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33065-2020</t>
        </is>
      </c>
      <c r="B195" s="1" t="n">
        <v>44021</v>
      </c>
      <c r="C195" s="1" t="n">
        <v>45635</v>
      </c>
      <c r="D195" t="inlineStr">
        <is>
          <t>DALARNAS LÄN</t>
        </is>
      </c>
      <c r="E195" t="inlineStr">
        <is>
          <t>MALUNG-SÄLEN</t>
        </is>
      </c>
      <c r="G195" t="n">
        <v>2.1</v>
      </c>
      <c r="H195" t="n">
        <v>0</v>
      </c>
      <c r="I195" t="n">
        <v>0</v>
      </c>
      <c r="J195" t="n">
        <v>0</v>
      </c>
      <c r="K195" t="n">
        <v>0</v>
      </c>
      <c r="L195" t="n">
        <v>0</v>
      </c>
      <c r="M195" t="n">
        <v>0</v>
      </c>
      <c r="N195" t="n">
        <v>0</v>
      </c>
      <c r="O195" t="n">
        <v>0</v>
      </c>
      <c r="P195" t="n">
        <v>0</v>
      </c>
      <c r="Q195" t="n">
        <v>0</v>
      </c>
      <c r="R195" s="2" t="inlineStr"/>
    </row>
    <row r="196" ht="15" customHeight="1">
      <c r="A196" t="inlineStr">
        <is>
          <t>A 33071-2020</t>
        </is>
      </c>
      <c r="B196" s="1" t="n">
        <v>44021</v>
      </c>
      <c r="C196" s="1" t="n">
        <v>45635</v>
      </c>
      <c r="D196" t="inlineStr">
        <is>
          <t>DALARNAS LÄN</t>
        </is>
      </c>
      <c r="E196" t="inlineStr">
        <is>
          <t>MALUNG-SÄLEN</t>
        </is>
      </c>
      <c r="G196" t="n">
        <v>0.7</v>
      </c>
      <c r="H196" t="n">
        <v>0</v>
      </c>
      <c r="I196" t="n">
        <v>0</v>
      </c>
      <c r="J196" t="n">
        <v>0</v>
      </c>
      <c r="K196" t="n">
        <v>0</v>
      </c>
      <c r="L196" t="n">
        <v>0</v>
      </c>
      <c r="M196" t="n">
        <v>0</v>
      </c>
      <c r="N196" t="n">
        <v>0</v>
      </c>
      <c r="O196" t="n">
        <v>0</v>
      </c>
      <c r="P196" t="n">
        <v>0</v>
      </c>
      <c r="Q196" t="n">
        <v>0</v>
      </c>
      <c r="R196" s="2" t="inlineStr"/>
    </row>
    <row r="197" ht="15" customHeight="1">
      <c r="A197" t="inlineStr">
        <is>
          <t>A 35536-2020</t>
        </is>
      </c>
      <c r="B197" s="1" t="n">
        <v>44043</v>
      </c>
      <c r="C197" s="1" t="n">
        <v>45635</v>
      </c>
      <c r="D197" t="inlineStr">
        <is>
          <t>DALARNAS LÄN</t>
        </is>
      </c>
      <c r="E197" t="inlineStr">
        <is>
          <t>MALUNG-SÄLEN</t>
        </is>
      </c>
      <c r="G197" t="n">
        <v>0.4</v>
      </c>
      <c r="H197" t="n">
        <v>0</v>
      </c>
      <c r="I197" t="n">
        <v>0</v>
      </c>
      <c r="J197" t="n">
        <v>0</v>
      </c>
      <c r="K197" t="n">
        <v>0</v>
      </c>
      <c r="L197" t="n">
        <v>0</v>
      </c>
      <c r="M197" t="n">
        <v>0</v>
      </c>
      <c r="N197" t="n">
        <v>0</v>
      </c>
      <c r="O197" t="n">
        <v>0</v>
      </c>
      <c r="P197" t="n">
        <v>0</v>
      </c>
      <c r="Q197" t="n">
        <v>0</v>
      </c>
      <c r="R197" s="2" t="inlineStr"/>
    </row>
    <row r="198" ht="15" customHeight="1">
      <c r="A198" t="inlineStr">
        <is>
          <t>A 36308-2020</t>
        </is>
      </c>
      <c r="B198" s="1" t="n">
        <v>44049</v>
      </c>
      <c r="C198" s="1" t="n">
        <v>45635</v>
      </c>
      <c r="D198" t="inlineStr">
        <is>
          <t>DALARNAS LÄN</t>
        </is>
      </c>
      <c r="E198" t="inlineStr">
        <is>
          <t>MALUNG-SÄLEN</t>
        </is>
      </c>
      <c r="G198" t="n">
        <v>1.2</v>
      </c>
      <c r="H198" t="n">
        <v>0</v>
      </c>
      <c r="I198" t="n">
        <v>0</v>
      </c>
      <c r="J198" t="n">
        <v>0</v>
      </c>
      <c r="K198" t="n">
        <v>0</v>
      </c>
      <c r="L198" t="n">
        <v>0</v>
      </c>
      <c r="M198" t="n">
        <v>0</v>
      </c>
      <c r="N198" t="n">
        <v>0</v>
      </c>
      <c r="O198" t="n">
        <v>0</v>
      </c>
      <c r="P198" t="n">
        <v>0</v>
      </c>
      <c r="Q198" t="n">
        <v>0</v>
      </c>
      <c r="R198" s="2" t="inlineStr"/>
    </row>
    <row r="199" ht="15" customHeight="1">
      <c r="A199" t="inlineStr">
        <is>
          <t>A 37574-2020</t>
        </is>
      </c>
      <c r="B199" s="1" t="n">
        <v>44056</v>
      </c>
      <c r="C199" s="1" t="n">
        <v>45635</v>
      </c>
      <c r="D199" t="inlineStr">
        <is>
          <t>DALARNAS LÄN</t>
        </is>
      </c>
      <c r="E199" t="inlineStr">
        <is>
          <t>MALUNG-SÄLEN</t>
        </is>
      </c>
      <c r="G199" t="n">
        <v>0.8</v>
      </c>
      <c r="H199" t="n">
        <v>0</v>
      </c>
      <c r="I199" t="n">
        <v>0</v>
      </c>
      <c r="J199" t="n">
        <v>0</v>
      </c>
      <c r="K199" t="n">
        <v>0</v>
      </c>
      <c r="L199" t="n">
        <v>0</v>
      </c>
      <c r="M199" t="n">
        <v>0</v>
      </c>
      <c r="N199" t="n">
        <v>0</v>
      </c>
      <c r="O199" t="n">
        <v>0</v>
      </c>
      <c r="P199" t="n">
        <v>0</v>
      </c>
      <c r="Q199" t="n">
        <v>0</v>
      </c>
      <c r="R199" s="2" t="inlineStr"/>
    </row>
    <row r="200" ht="15" customHeight="1">
      <c r="A200" t="inlineStr">
        <is>
          <t>A 37587-2020</t>
        </is>
      </c>
      <c r="B200" s="1" t="n">
        <v>44056</v>
      </c>
      <c r="C200" s="1" t="n">
        <v>45635</v>
      </c>
      <c r="D200" t="inlineStr">
        <is>
          <t>DALARNAS LÄN</t>
        </is>
      </c>
      <c r="E200" t="inlineStr">
        <is>
          <t>MALUNG-SÄLEN</t>
        </is>
      </c>
      <c r="G200" t="n">
        <v>0.3</v>
      </c>
      <c r="H200" t="n">
        <v>0</v>
      </c>
      <c r="I200" t="n">
        <v>0</v>
      </c>
      <c r="J200" t="n">
        <v>0</v>
      </c>
      <c r="K200" t="n">
        <v>0</v>
      </c>
      <c r="L200" t="n">
        <v>0</v>
      </c>
      <c r="M200" t="n">
        <v>0</v>
      </c>
      <c r="N200" t="n">
        <v>0</v>
      </c>
      <c r="O200" t="n">
        <v>0</v>
      </c>
      <c r="P200" t="n">
        <v>0</v>
      </c>
      <c r="Q200" t="n">
        <v>0</v>
      </c>
      <c r="R200" s="2" t="inlineStr"/>
    </row>
    <row r="201" ht="15" customHeight="1">
      <c r="A201" t="inlineStr">
        <is>
          <t>A 37740-2020</t>
        </is>
      </c>
      <c r="B201" s="1" t="n">
        <v>44056</v>
      </c>
      <c r="C201" s="1" t="n">
        <v>45635</v>
      </c>
      <c r="D201" t="inlineStr">
        <is>
          <t>DALARNAS LÄN</t>
        </is>
      </c>
      <c r="E201" t="inlineStr">
        <is>
          <t>MALUNG-SÄLEN</t>
        </is>
      </c>
      <c r="G201" t="n">
        <v>22.5</v>
      </c>
      <c r="H201" t="n">
        <v>0</v>
      </c>
      <c r="I201" t="n">
        <v>0</v>
      </c>
      <c r="J201" t="n">
        <v>0</v>
      </c>
      <c r="K201" t="n">
        <v>0</v>
      </c>
      <c r="L201" t="n">
        <v>0</v>
      </c>
      <c r="M201" t="n">
        <v>0</v>
      </c>
      <c r="N201" t="n">
        <v>0</v>
      </c>
      <c r="O201" t="n">
        <v>0</v>
      </c>
      <c r="P201" t="n">
        <v>0</v>
      </c>
      <c r="Q201" t="n">
        <v>0</v>
      </c>
      <c r="R201" s="2" t="inlineStr"/>
    </row>
    <row r="202" ht="15" customHeight="1">
      <c r="A202" t="inlineStr">
        <is>
          <t>A 38169-2020</t>
        </is>
      </c>
      <c r="B202" s="1" t="n">
        <v>44057</v>
      </c>
      <c r="C202" s="1" t="n">
        <v>45635</v>
      </c>
      <c r="D202" t="inlineStr">
        <is>
          <t>DALARNAS LÄN</t>
        </is>
      </c>
      <c r="E202" t="inlineStr">
        <is>
          <t>MALUNG-SÄLEN</t>
        </is>
      </c>
      <c r="F202" t="inlineStr">
        <is>
          <t>Allmännings- och besparingsskogar</t>
        </is>
      </c>
      <c r="G202" t="n">
        <v>32.1</v>
      </c>
      <c r="H202" t="n">
        <v>0</v>
      </c>
      <c r="I202" t="n">
        <v>0</v>
      </c>
      <c r="J202" t="n">
        <v>0</v>
      </c>
      <c r="K202" t="n">
        <v>0</v>
      </c>
      <c r="L202" t="n">
        <v>0</v>
      </c>
      <c r="M202" t="n">
        <v>0</v>
      </c>
      <c r="N202" t="n">
        <v>0</v>
      </c>
      <c r="O202" t="n">
        <v>0</v>
      </c>
      <c r="P202" t="n">
        <v>0</v>
      </c>
      <c r="Q202" t="n">
        <v>0</v>
      </c>
      <c r="R202" s="2" t="inlineStr"/>
    </row>
    <row r="203" ht="15" customHeight="1">
      <c r="A203" t="inlineStr">
        <is>
          <t>A 38604-2020</t>
        </is>
      </c>
      <c r="B203" s="1" t="n">
        <v>44061</v>
      </c>
      <c r="C203" s="1" t="n">
        <v>45635</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40350-2020</t>
        </is>
      </c>
      <c r="B204" s="1" t="n">
        <v>44068</v>
      </c>
      <c r="C204" s="1" t="n">
        <v>45635</v>
      </c>
      <c r="D204" t="inlineStr">
        <is>
          <t>DALARNAS LÄN</t>
        </is>
      </c>
      <c r="E204" t="inlineStr">
        <is>
          <t>MALUNG-SÄLEN</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40354-2020</t>
        </is>
      </c>
      <c r="B205" s="1" t="n">
        <v>44068</v>
      </c>
      <c r="C205" s="1" t="n">
        <v>45635</v>
      </c>
      <c r="D205" t="inlineStr">
        <is>
          <t>DALARNAS LÄN</t>
        </is>
      </c>
      <c r="E205" t="inlineStr">
        <is>
          <t>MALUNG-SÄLEN</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42116-2020</t>
        </is>
      </c>
      <c r="B206" s="1" t="n">
        <v>44071</v>
      </c>
      <c r="C206" s="1" t="n">
        <v>45635</v>
      </c>
      <c r="D206" t="inlineStr">
        <is>
          <t>DALARNAS LÄN</t>
        </is>
      </c>
      <c r="E206" t="inlineStr">
        <is>
          <t>MALUNG-SÄLEN</t>
        </is>
      </c>
      <c r="F206" t="inlineStr">
        <is>
          <t>Allmännings- och besparingsskogar</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42985-2020</t>
        </is>
      </c>
      <c r="B207" s="1" t="n">
        <v>44078</v>
      </c>
      <c r="C207" s="1" t="n">
        <v>45635</v>
      </c>
      <c r="D207" t="inlineStr">
        <is>
          <t>DALARNAS LÄN</t>
        </is>
      </c>
      <c r="E207" t="inlineStr">
        <is>
          <t>MALUNG-SÄLEN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44448-2020</t>
        </is>
      </c>
      <c r="B208" s="1" t="n">
        <v>44084</v>
      </c>
      <c r="C208" s="1" t="n">
        <v>45635</v>
      </c>
      <c r="D208" t="inlineStr">
        <is>
          <t>DALARNAS LÄN</t>
        </is>
      </c>
      <c r="E208" t="inlineStr">
        <is>
          <t>MALUNG-SÄLEN</t>
        </is>
      </c>
      <c r="G208" t="n">
        <v>3.6</v>
      </c>
      <c r="H208" t="n">
        <v>0</v>
      </c>
      <c r="I208" t="n">
        <v>0</v>
      </c>
      <c r="J208" t="n">
        <v>0</v>
      </c>
      <c r="K208" t="n">
        <v>0</v>
      </c>
      <c r="L208" t="n">
        <v>0</v>
      </c>
      <c r="M208" t="n">
        <v>0</v>
      </c>
      <c r="N208" t="n">
        <v>0</v>
      </c>
      <c r="O208" t="n">
        <v>0</v>
      </c>
      <c r="P208" t="n">
        <v>0</v>
      </c>
      <c r="Q208" t="n">
        <v>0</v>
      </c>
      <c r="R208" s="2" t="inlineStr"/>
    </row>
    <row r="209" ht="15" customHeight="1">
      <c r="A209" t="inlineStr">
        <is>
          <t>A 44935-2020</t>
        </is>
      </c>
      <c r="B209" s="1" t="n">
        <v>44088</v>
      </c>
      <c r="C209" s="1" t="n">
        <v>45635</v>
      </c>
      <c r="D209" t="inlineStr">
        <is>
          <t>DALARNAS LÄN</t>
        </is>
      </c>
      <c r="E209" t="inlineStr">
        <is>
          <t>MALUNG-SÄLEN</t>
        </is>
      </c>
      <c r="G209" t="n">
        <v>11.8</v>
      </c>
      <c r="H209" t="n">
        <v>0</v>
      </c>
      <c r="I209" t="n">
        <v>0</v>
      </c>
      <c r="J209" t="n">
        <v>0</v>
      </c>
      <c r="K209" t="n">
        <v>0</v>
      </c>
      <c r="L209" t="n">
        <v>0</v>
      </c>
      <c r="M209" t="n">
        <v>0</v>
      </c>
      <c r="N209" t="n">
        <v>0</v>
      </c>
      <c r="O209" t="n">
        <v>0</v>
      </c>
      <c r="P209" t="n">
        <v>0</v>
      </c>
      <c r="Q209" t="n">
        <v>0</v>
      </c>
      <c r="R209" s="2" t="inlineStr"/>
    </row>
    <row r="210" ht="15" customHeight="1">
      <c r="A210" t="inlineStr">
        <is>
          <t>A 45722-2020</t>
        </is>
      </c>
      <c r="B210" s="1" t="n">
        <v>44090</v>
      </c>
      <c r="C210" s="1" t="n">
        <v>45635</v>
      </c>
      <c r="D210" t="inlineStr">
        <is>
          <t>DALARNAS LÄN</t>
        </is>
      </c>
      <c r="E210" t="inlineStr">
        <is>
          <t>MALUNG-SÄLEN</t>
        </is>
      </c>
      <c r="F210" t="inlineStr">
        <is>
          <t>Bergvik skog öst AB</t>
        </is>
      </c>
      <c r="G210" t="n">
        <v>0.2</v>
      </c>
      <c r="H210" t="n">
        <v>0</v>
      </c>
      <c r="I210" t="n">
        <v>0</v>
      </c>
      <c r="J210" t="n">
        <v>0</v>
      </c>
      <c r="K210" t="n">
        <v>0</v>
      </c>
      <c r="L210" t="n">
        <v>0</v>
      </c>
      <c r="M210" t="n">
        <v>0</v>
      </c>
      <c r="N210" t="n">
        <v>0</v>
      </c>
      <c r="O210" t="n">
        <v>0</v>
      </c>
      <c r="P210" t="n">
        <v>0</v>
      </c>
      <c r="Q210" t="n">
        <v>0</v>
      </c>
      <c r="R210" s="2" t="inlineStr"/>
    </row>
    <row r="211" ht="15" customHeight="1">
      <c r="A211" t="inlineStr">
        <is>
          <t>A 46832-2020</t>
        </is>
      </c>
      <c r="B211" s="1" t="n">
        <v>44090</v>
      </c>
      <c r="C211" s="1" t="n">
        <v>45635</v>
      </c>
      <c r="D211" t="inlineStr">
        <is>
          <t>DALARNAS LÄN</t>
        </is>
      </c>
      <c r="E211" t="inlineStr">
        <is>
          <t>MALUNG-SÄLEN</t>
        </is>
      </c>
      <c r="F211" t="inlineStr">
        <is>
          <t>Allmännings- och besparingsskogar</t>
        </is>
      </c>
      <c r="G211" t="n">
        <v>62.4</v>
      </c>
      <c r="H211" t="n">
        <v>0</v>
      </c>
      <c r="I211" t="n">
        <v>0</v>
      </c>
      <c r="J211" t="n">
        <v>0</v>
      </c>
      <c r="K211" t="n">
        <v>0</v>
      </c>
      <c r="L211" t="n">
        <v>0</v>
      </c>
      <c r="M211" t="n">
        <v>0</v>
      </c>
      <c r="N211" t="n">
        <v>0</v>
      </c>
      <c r="O211" t="n">
        <v>0</v>
      </c>
      <c r="P211" t="n">
        <v>0</v>
      </c>
      <c r="Q211" t="n">
        <v>0</v>
      </c>
      <c r="R211" s="2" t="inlineStr"/>
    </row>
    <row r="212" ht="15" customHeight="1">
      <c r="A212" t="inlineStr">
        <is>
          <t>A 47073-2020</t>
        </is>
      </c>
      <c r="B212" s="1" t="n">
        <v>44096</v>
      </c>
      <c r="C212" s="1" t="n">
        <v>45635</v>
      </c>
      <c r="D212" t="inlineStr">
        <is>
          <t>DALARNAS LÄN</t>
        </is>
      </c>
      <c r="E212" t="inlineStr">
        <is>
          <t>MALUNG-SÄLEN</t>
        </is>
      </c>
      <c r="G212" t="n">
        <v>2.4</v>
      </c>
      <c r="H212" t="n">
        <v>0</v>
      </c>
      <c r="I212" t="n">
        <v>0</v>
      </c>
      <c r="J212" t="n">
        <v>0</v>
      </c>
      <c r="K212" t="n">
        <v>0</v>
      </c>
      <c r="L212" t="n">
        <v>0</v>
      </c>
      <c r="M212" t="n">
        <v>0</v>
      </c>
      <c r="N212" t="n">
        <v>0</v>
      </c>
      <c r="O212" t="n">
        <v>0</v>
      </c>
      <c r="P212" t="n">
        <v>0</v>
      </c>
      <c r="Q212" t="n">
        <v>0</v>
      </c>
      <c r="R212" s="2" t="inlineStr"/>
    </row>
    <row r="213" ht="15" customHeight="1">
      <c r="A213" t="inlineStr">
        <is>
          <t>A 47190-2020</t>
        </is>
      </c>
      <c r="B213" s="1" t="n">
        <v>44097</v>
      </c>
      <c r="C213" s="1" t="n">
        <v>45635</v>
      </c>
      <c r="D213" t="inlineStr">
        <is>
          <t>DALARNAS LÄN</t>
        </is>
      </c>
      <c r="E213" t="inlineStr">
        <is>
          <t>MALUNG-SÄLEN</t>
        </is>
      </c>
      <c r="G213" t="n">
        <v>6</v>
      </c>
      <c r="H213" t="n">
        <v>0</v>
      </c>
      <c r="I213" t="n">
        <v>0</v>
      </c>
      <c r="J213" t="n">
        <v>0</v>
      </c>
      <c r="K213" t="n">
        <v>0</v>
      </c>
      <c r="L213" t="n">
        <v>0</v>
      </c>
      <c r="M213" t="n">
        <v>0</v>
      </c>
      <c r="N213" t="n">
        <v>0</v>
      </c>
      <c r="O213" t="n">
        <v>0</v>
      </c>
      <c r="P213" t="n">
        <v>0</v>
      </c>
      <c r="Q213" t="n">
        <v>0</v>
      </c>
      <c r="R213" s="2" t="inlineStr"/>
    </row>
    <row r="214" ht="15" customHeight="1">
      <c r="A214" t="inlineStr">
        <is>
          <t>A 47254-2020</t>
        </is>
      </c>
      <c r="B214" s="1" t="n">
        <v>44097</v>
      </c>
      <c r="C214" s="1" t="n">
        <v>45635</v>
      </c>
      <c r="D214" t="inlineStr">
        <is>
          <t>DALARNAS LÄN</t>
        </is>
      </c>
      <c r="E214" t="inlineStr">
        <is>
          <t>MALUNG-SÄLEN</t>
        </is>
      </c>
      <c r="G214" t="n">
        <v>5.3</v>
      </c>
      <c r="H214" t="n">
        <v>0</v>
      </c>
      <c r="I214" t="n">
        <v>0</v>
      </c>
      <c r="J214" t="n">
        <v>0</v>
      </c>
      <c r="K214" t="n">
        <v>0</v>
      </c>
      <c r="L214" t="n">
        <v>0</v>
      </c>
      <c r="M214" t="n">
        <v>0</v>
      </c>
      <c r="N214" t="n">
        <v>0</v>
      </c>
      <c r="O214" t="n">
        <v>0</v>
      </c>
      <c r="P214" t="n">
        <v>0</v>
      </c>
      <c r="Q214" t="n">
        <v>0</v>
      </c>
      <c r="R214" s="2" t="inlineStr"/>
    </row>
    <row r="215" ht="15" customHeight="1">
      <c r="A215" t="inlineStr">
        <is>
          <t>A 47986-2020</t>
        </is>
      </c>
      <c r="B215" s="1" t="n">
        <v>44099</v>
      </c>
      <c r="C215" s="1" t="n">
        <v>45635</v>
      </c>
      <c r="D215" t="inlineStr">
        <is>
          <t>DALARNAS LÄN</t>
        </is>
      </c>
      <c r="E215" t="inlineStr">
        <is>
          <t>MALUNG-SÄLEN</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48525-2020</t>
        </is>
      </c>
      <c r="B216" s="1" t="n">
        <v>44103</v>
      </c>
      <c r="C216" s="1" t="n">
        <v>45635</v>
      </c>
      <c r="D216" t="inlineStr">
        <is>
          <t>DALARNAS LÄN</t>
        </is>
      </c>
      <c r="E216" t="inlineStr">
        <is>
          <t>MALUNG-SÄLEN</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49375-2020</t>
        </is>
      </c>
      <c r="B217" s="1" t="n">
        <v>44105</v>
      </c>
      <c r="C217" s="1" t="n">
        <v>45635</v>
      </c>
      <c r="D217" t="inlineStr">
        <is>
          <t>DALARNAS LÄN</t>
        </is>
      </c>
      <c r="E217" t="inlineStr">
        <is>
          <t>MALUNG-SÄLEN</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50436-2020</t>
        </is>
      </c>
      <c r="B218" s="1" t="n">
        <v>44110</v>
      </c>
      <c r="C218" s="1" t="n">
        <v>45635</v>
      </c>
      <c r="D218" t="inlineStr">
        <is>
          <t>DALARNAS LÄN</t>
        </is>
      </c>
      <c r="E218" t="inlineStr">
        <is>
          <t>MALUNG-SÄLEN</t>
        </is>
      </c>
      <c r="F218" t="inlineStr">
        <is>
          <t>Övriga statliga verk och myndigheter</t>
        </is>
      </c>
      <c r="G218" t="n">
        <v>2.9</v>
      </c>
      <c r="H218" t="n">
        <v>0</v>
      </c>
      <c r="I218" t="n">
        <v>0</v>
      </c>
      <c r="J218" t="n">
        <v>0</v>
      </c>
      <c r="K218" t="n">
        <v>0</v>
      </c>
      <c r="L218" t="n">
        <v>0</v>
      </c>
      <c r="M218" t="n">
        <v>0</v>
      </c>
      <c r="N218" t="n">
        <v>0</v>
      </c>
      <c r="O218" t="n">
        <v>0</v>
      </c>
      <c r="P218" t="n">
        <v>0</v>
      </c>
      <c r="Q218" t="n">
        <v>0</v>
      </c>
      <c r="R218" s="2" t="inlineStr"/>
    </row>
    <row r="219" ht="15" customHeight="1">
      <c r="A219" t="inlineStr">
        <is>
          <t>A 50397-2020</t>
        </is>
      </c>
      <c r="B219" s="1" t="n">
        <v>44110</v>
      </c>
      <c r="C219" s="1" t="n">
        <v>45635</v>
      </c>
      <c r="D219" t="inlineStr">
        <is>
          <t>DALARNAS LÄN</t>
        </is>
      </c>
      <c r="E219" t="inlineStr">
        <is>
          <t>MALUNG-SÄLEN</t>
        </is>
      </c>
      <c r="G219" t="n">
        <v>6.8</v>
      </c>
      <c r="H219" t="n">
        <v>0</v>
      </c>
      <c r="I219" t="n">
        <v>0</v>
      </c>
      <c r="J219" t="n">
        <v>0</v>
      </c>
      <c r="K219" t="n">
        <v>0</v>
      </c>
      <c r="L219" t="n">
        <v>0</v>
      </c>
      <c r="M219" t="n">
        <v>0</v>
      </c>
      <c r="N219" t="n">
        <v>0</v>
      </c>
      <c r="O219" t="n">
        <v>0</v>
      </c>
      <c r="P219" t="n">
        <v>0</v>
      </c>
      <c r="Q219" t="n">
        <v>0</v>
      </c>
      <c r="R219" s="2" t="inlineStr"/>
    </row>
    <row r="220" ht="15" customHeight="1">
      <c r="A220" t="inlineStr">
        <is>
          <t>A 52009-2020</t>
        </is>
      </c>
      <c r="B220" s="1" t="n">
        <v>44111</v>
      </c>
      <c r="C220" s="1" t="n">
        <v>45635</v>
      </c>
      <c r="D220" t="inlineStr">
        <is>
          <t>DALARNAS LÄN</t>
        </is>
      </c>
      <c r="E220" t="inlineStr">
        <is>
          <t>MALUNG-SÄLEN</t>
        </is>
      </c>
      <c r="G220" t="n">
        <v>2</v>
      </c>
      <c r="H220" t="n">
        <v>0</v>
      </c>
      <c r="I220" t="n">
        <v>0</v>
      </c>
      <c r="J220" t="n">
        <v>0</v>
      </c>
      <c r="K220" t="n">
        <v>0</v>
      </c>
      <c r="L220" t="n">
        <v>0</v>
      </c>
      <c r="M220" t="n">
        <v>0</v>
      </c>
      <c r="N220" t="n">
        <v>0</v>
      </c>
      <c r="O220" t="n">
        <v>0</v>
      </c>
      <c r="P220" t="n">
        <v>0</v>
      </c>
      <c r="Q220" t="n">
        <v>0</v>
      </c>
      <c r="R220" s="2" t="inlineStr"/>
    </row>
    <row r="221" ht="15" customHeight="1">
      <c r="A221" t="inlineStr">
        <is>
          <t>A 55488-2020</t>
        </is>
      </c>
      <c r="B221" s="1" t="n">
        <v>44131</v>
      </c>
      <c r="C221" s="1" t="n">
        <v>45635</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55535-2020</t>
        </is>
      </c>
      <c r="B222" s="1" t="n">
        <v>44131</v>
      </c>
      <c r="C222" s="1" t="n">
        <v>45635</v>
      </c>
      <c r="D222" t="inlineStr">
        <is>
          <t>DALARNAS LÄN</t>
        </is>
      </c>
      <c r="E222" t="inlineStr">
        <is>
          <t>MALUNG-SÄLEN</t>
        </is>
      </c>
      <c r="G222" t="n">
        <v>1</v>
      </c>
      <c r="H222" t="n">
        <v>0</v>
      </c>
      <c r="I222" t="n">
        <v>0</v>
      </c>
      <c r="J222" t="n">
        <v>0</v>
      </c>
      <c r="K222" t="n">
        <v>0</v>
      </c>
      <c r="L222" t="n">
        <v>0</v>
      </c>
      <c r="M222" t="n">
        <v>0</v>
      </c>
      <c r="N222" t="n">
        <v>0</v>
      </c>
      <c r="O222" t="n">
        <v>0</v>
      </c>
      <c r="P222" t="n">
        <v>0</v>
      </c>
      <c r="Q222" t="n">
        <v>0</v>
      </c>
      <c r="R222" s="2" t="inlineStr"/>
    </row>
    <row r="223" ht="15" customHeight="1">
      <c r="A223" t="inlineStr">
        <is>
          <t>A 56332-2020</t>
        </is>
      </c>
      <c r="B223" s="1" t="n">
        <v>44134</v>
      </c>
      <c r="C223" s="1" t="n">
        <v>45635</v>
      </c>
      <c r="D223" t="inlineStr">
        <is>
          <t>DALARNAS LÄN</t>
        </is>
      </c>
      <c r="E223" t="inlineStr">
        <is>
          <t>MALUNG-SÄLEN</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56561-2020</t>
        </is>
      </c>
      <c r="B224" s="1" t="n">
        <v>44137</v>
      </c>
      <c r="C224" s="1" t="n">
        <v>45635</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56584-2020</t>
        </is>
      </c>
      <c r="B225" s="1" t="n">
        <v>44137</v>
      </c>
      <c r="C225" s="1" t="n">
        <v>45635</v>
      </c>
      <c r="D225" t="inlineStr">
        <is>
          <t>DALARNAS LÄN</t>
        </is>
      </c>
      <c r="E225" t="inlineStr">
        <is>
          <t>MALUNG-SÄLEN</t>
        </is>
      </c>
      <c r="G225" t="n">
        <v>4.1</v>
      </c>
      <c r="H225" t="n">
        <v>0</v>
      </c>
      <c r="I225" t="n">
        <v>0</v>
      </c>
      <c r="J225" t="n">
        <v>0</v>
      </c>
      <c r="K225" t="n">
        <v>0</v>
      </c>
      <c r="L225" t="n">
        <v>0</v>
      </c>
      <c r="M225" t="n">
        <v>0</v>
      </c>
      <c r="N225" t="n">
        <v>0</v>
      </c>
      <c r="O225" t="n">
        <v>0</v>
      </c>
      <c r="P225" t="n">
        <v>0</v>
      </c>
      <c r="Q225" t="n">
        <v>0</v>
      </c>
      <c r="R225" s="2" t="inlineStr"/>
    </row>
    <row r="226" ht="15" customHeight="1">
      <c r="A226" t="inlineStr">
        <is>
          <t>A 56590-2020</t>
        </is>
      </c>
      <c r="B226" s="1" t="n">
        <v>44137</v>
      </c>
      <c r="C226" s="1" t="n">
        <v>45635</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58169-2020</t>
        </is>
      </c>
      <c r="B227" s="1" t="n">
        <v>44144</v>
      </c>
      <c r="C227" s="1" t="n">
        <v>45635</v>
      </c>
      <c r="D227" t="inlineStr">
        <is>
          <t>DALARNAS LÄN</t>
        </is>
      </c>
      <c r="E227" t="inlineStr">
        <is>
          <t>MALUNG-SÄLEN</t>
        </is>
      </c>
      <c r="G227" t="n">
        <v>0.7</v>
      </c>
      <c r="H227" t="n">
        <v>0</v>
      </c>
      <c r="I227" t="n">
        <v>0</v>
      </c>
      <c r="J227" t="n">
        <v>0</v>
      </c>
      <c r="K227" t="n">
        <v>0</v>
      </c>
      <c r="L227" t="n">
        <v>0</v>
      </c>
      <c r="M227" t="n">
        <v>0</v>
      </c>
      <c r="N227" t="n">
        <v>0</v>
      </c>
      <c r="O227" t="n">
        <v>0</v>
      </c>
      <c r="P227" t="n">
        <v>0</v>
      </c>
      <c r="Q227" t="n">
        <v>0</v>
      </c>
      <c r="R227" s="2" t="inlineStr"/>
    </row>
    <row r="228" ht="15" customHeight="1">
      <c r="A228" t="inlineStr">
        <is>
          <t>A 58462-2020</t>
        </is>
      </c>
      <c r="B228" s="1" t="n">
        <v>44144</v>
      </c>
      <c r="C228" s="1" t="n">
        <v>45635</v>
      </c>
      <c r="D228" t="inlineStr">
        <is>
          <t>DALARNAS LÄN</t>
        </is>
      </c>
      <c r="E228" t="inlineStr">
        <is>
          <t>MALUNG-SÄLEN</t>
        </is>
      </c>
      <c r="F228" t="inlineStr">
        <is>
          <t>Allmännings- och besparingsskogar</t>
        </is>
      </c>
      <c r="G228" t="n">
        <v>25.2</v>
      </c>
      <c r="H228" t="n">
        <v>0</v>
      </c>
      <c r="I228" t="n">
        <v>0</v>
      </c>
      <c r="J228" t="n">
        <v>0</v>
      </c>
      <c r="K228" t="n">
        <v>0</v>
      </c>
      <c r="L228" t="n">
        <v>0</v>
      </c>
      <c r="M228" t="n">
        <v>0</v>
      </c>
      <c r="N228" t="n">
        <v>0</v>
      </c>
      <c r="O228" t="n">
        <v>0</v>
      </c>
      <c r="P228" t="n">
        <v>0</v>
      </c>
      <c r="Q228" t="n">
        <v>0</v>
      </c>
      <c r="R228" s="2" t="inlineStr"/>
    </row>
    <row r="229" ht="15" customHeight="1">
      <c r="A229" t="inlineStr">
        <is>
          <t>A 58821-2020</t>
        </is>
      </c>
      <c r="B229" s="1" t="n">
        <v>44146</v>
      </c>
      <c r="C229" s="1" t="n">
        <v>45635</v>
      </c>
      <c r="D229" t="inlineStr">
        <is>
          <t>DALARNAS LÄN</t>
        </is>
      </c>
      <c r="E229" t="inlineStr">
        <is>
          <t>MALUNG-SÄLEN</t>
        </is>
      </c>
      <c r="G229" t="n">
        <v>0.3</v>
      </c>
      <c r="H229" t="n">
        <v>0</v>
      </c>
      <c r="I229" t="n">
        <v>0</v>
      </c>
      <c r="J229" t="n">
        <v>0</v>
      </c>
      <c r="K229" t="n">
        <v>0</v>
      </c>
      <c r="L229" t="n">
        <v>0</v>
      </c>
      <c r="M229" t="n">
        <v>0</v>
      </c>
      <c r="N229" t="n">
        <v>0</v>
      </c>
      <c r="O229" t="n">
        <v>0</v>
      </c>
      <c r="P229" t="n">
        <v>0</v>
      </c>
      <c r="Q229" t="n">
        <v>0</v>
      </c>
      <c r="R229" s="2" t="inlineStr"/>
    </row>
    <row r="230" ht="15" customHeight="1">
      <c r="A230" t="inlineStr">
        <is>
          <t>A 59345-2020</t>
        </is>
      </c>
      <c r="B230" s="1" t="n">
        <v>44148</v>
      </c>
      <c r="C230" s="1" t="n">
        <v>45635</v>
      </c>
      <c r="D230" t="inlineStr">
        <is>
          <t>DALARNAS LÄN</t>
        </is>
      </c>
      <c r="E230" t="inlineStr">
        <is>
          <t>MALUNG-SÄLEN</t>
        </is>
      </c>
      <c r="G230" t="n">
        <v>2.2</v>
      </c>
      <c r="H230" t="n">
        <v>0</v>
      </c>
      <c r="I230" t="n">
        <v>0</v>
      </c>
      <c r="J230" t="n">
        <v>0</v>
      </c>
      <c r="K230" t="n">
        <v>0</v>
      </c>
      <c r="L230" t="n">
        <v>0</v>
      </c>
      <c r="M230" t="n">
        <v>0</v>
      </c>
      <c r="N230" t="n">
        <v>0</v>
      </c>
      <c r="O230" t="n">
        <v>0</v>
      </c>
      <c r="P230" t="n">
        <v>0</v>
      </c>
      <c r="Q230" t="n">
        <v>0</v>
      </c>
      <c r="R230" s="2" t="inlineStr"/>
    </row>
    <row r="231" ht="15" customHeight="1">
      <c r="A231" t="inlineStr">
        <is>
          <t>A 59612-2020</t>
        </is>
      </c>
      <c r="B231" s="1" t="n">
        <v>44149</v>
      </c>
      <c r="C231" s="1" t="n">
        <v>45635</v>
      </c>
      <c r="D231" t="inlineStr">
        <is>
          <t>DALARNAS LÄN</t>
        </is>
      </c>
      <c r="E231" t="inlineStr">
        <is>
          <t>MALUNG-SÄLEN</t>
        </is>
      </c>
      <c r="G231" t="n">
        <v>1.1</v>
      </c>
      <c r="H231" t="n">
        <v>0</v>
      </c>
      <c r="I231" t="n">
        <v>0</v>
      </c>
      <c r="J231" t="n">
        <v>0</v>
      </c>
      <c r="K231" t="n">
        <v>0</v>
      </c>
      <c r="L231" t="n">
        <v>0</v>
      </c>
      <c r="M231" t="n">
        <v>0</v>
      </c>
      <c r="N231" t="n">
        <v>0</v>
      </c>
      <c r="O231" t="n">
        <v>0</v>
      </c>
      <c r="P231" t="n">
        <v>0</v>
      </c>
      <c r="Q231" t="n">
        <v>0</v>
      </c>
      <c r="R231" s="2" t="inlineStr"/>
    </row>
    <row r="232" ht="15" customHeight="1">
      <c r="A232" t="inlineStr">
        <is>
          <t>A 60903-2020</t>
        </is>
      </c>
      <c r="B232" s="1" t="n">
        <v>44153</v>
      </c>
      <c r="C232" s="1" t="n">
        <v>45635</v>
      </c>
      <c r="D232" t="inlineStr">
        <is>
          <t>DALARNAS LÄN</t>
        </is>
      </c>
      <c r="E232" t="inlineStr">
        <is>
          <t>MALUNG-SÄLEN</t>
        </is>
      </c>
      <c r="G232" t="n">
        <v>1.9</v>
      </c>
      <c r="H232" t="n">
        <v>0</v>
      </c>
      <c r="I232" t="n">
        <v>0</v>
      </c>
      <c r="J232" t="n">
        <v>0</v>
      </c>
      <c r="K232" t="n">
        <v>0</v>
      </c>
      <c r="L232" t="n">
        <v>0</v>
      </c>
      <c r="M232" t="n">
        <v>0</v>
      </c>
      <c r="N232" t="n">
        <v>0</v>
      </c>
      <c r="O232" t="n">
        <v>0</v>
      </c>
      <c r="P232" t="n">
        <v>0</v>
      </c>
      <c r="Q232" t="n">
        <v>0</v>
      </c>
      <c r="R232" s="2" t="inlineStr"/>
    </row>
    <row r="233" ht="15" customHeight="1">
      <c r="A233" t="inlineStr">
        <is>
          <t>A 60818-2020</t>
        </is>
      </c>
      <c r="B233" s="1" t="n">
        <v>44154</v>
      </c>
      <c r="C233" s="1" t="n">
        <v>45635</v>
      </c>
      <c r="D233" t="inlineStr">
        <is>
          <t>DALARNAS LÄN</t>
        </is>
      </c>
      <c r="E233" t="inlineStr">
        <is>
          <t>MALUNG-SÄLEN</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63352-2020</t>
        </is>
      </c>
      <c r="B234" s="1" t="n">
        <v>44165</v>
      </c>
      <c r="C234" s="1" t="n">
        <v>45635</v>
      </c>
      <c r="D234" t="inlineStr">
        <is>
          <t>DALARNAS LÄN</t>
        </is>
      </c>
      <c r="E234" t="inlineStr">
        <is>
          <t>MALUNG-SÄLEN</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63508-2020</t>
        </is>
      </c>
      <c r="B235" s="1" t="n">
        <v>44165</v>
      </c>
      <c r="C235" s="1" t="n">
        <v>45635</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63903-2020</t>
        </is>
      </c>
      <c r="B236" s="1" t="n">
        <v>44166</v>
      </c>
      <c r="C236" s="1" t="n">
        <v>45635</v>
      </c>
      <c r="D236" t="inlineStr">
        <is>
          <t>DALARNAS LÄN</t>
        </is>
      </c>
      <c r="E236" t="inlineStr">
        <is>
          <t>MALUNG-SÄLEN</t>
        </is>
      </c>
      <c r="G236" t="n">
        <v>1.3</v>
      </c>
      <c r="H236" t="n">
        <v>0</v>
      </c>
      <c r="I236" t="n">
        <v>0</v>
      </c>
      <c r="J236" t="n">
        <v>0</v>
      </c>
      <c r="K236" t="n">
        <v>0</v>
      </c>
      <c r="L236" t="n">
        <v>0</v>
      </c>
      <c r="M236" t="n">
        <v>0</v>
      </c>
      <c r="N236" t="n">
        <v>0</v>
      </c>
      <c r="O236" t="n">
        <v>0</v>
      </c>
      <c r="P236" t="n">
        <v>0</v>
      </c>
      <c r="Q236" t="n">
        <v>0</v>
      </c>
      <c r="R236" s="2" t="inlineStr"/>
    </row>
    <row r="237" ht="15" customHeight="1">
      <c r="A237" t="inlineStr">
        <is>
          <t>A 63896-2020</t>
        </is>
      </c>
      <c r="B237" s="1" t="n">
        <v>44166</v>
      </c>
      <c r="C237" s="1" t="n">
        <v>45635</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63890-2020</t>
        </is>
      </c>
      <c r="B238" s="1" t="n">
        <v>44166</v>
      </c>
      <c r="C238" s="1" t="n">
        <v>45635</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66163-2020</t>
        </is>
      </c>
      <c r="B239" s="1" t="n">
        <v>44175</v>
      </c>
      <c r="C239" s="1" t="n">
        <v>45635</v>
      </c>
      <c r="D239" t="inlineStr">
        <is>
          <t>DALARNAS LÄN</t>
        </is>
      </c>
      <c r="E239" t="inlineStr">
        <is>
          <t>MALUNG-SÄLEN</t>
        </is>
      </c>
      <c r="G239" t="n">
        <v>3.3</v>
      </c>
      <c r="H239" t="n">
        <v>0</v>
      </c>
      <c r="I239" t="n">
        <v>0</v>
      </c>
      <c r="J239" t="n">
        <v>0</v>
      </c>
      <c r="K239" t="n">
        <v>0</v>
      </c>
      <c r="L239" t="n">
        <v>0</v>
      </c>
      <c r="M239" t="n">
        <v>0</v>
      </c>
      <c r="N239" t="n">
        <v>0</v>
      </c>
      <c r="O239" t="n">
        <v>0</v>
      </c>
      <c r="P239" t="n">
        <v>0</v>
      </c>
      <c r="Q239" t="n">
        <v>0</v>
      </c>
      <c r="R239" s="2" t="inlineStr"/>
    </row>
    <row r="240" ht="15" customHeight="1">
      <c r="A240" t="inlineStr">
        <is>
          <t>A 67774-2020</t>
        </is>
      </c>
      <c r="B240" s="1" t="n">
        <v>44182</v>
      </c>
      <c r="C240" s="1" t="n">
        <v>45635</v>
      </c>
      <c r="D240" t="inlineStr">
        <is>
          <t>DALARNAS LÄN</t>
        </is>
      </c>
      <c r="E240" t="inlineStr">
        <is>
          <t>MALUNG-SÄLEN</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68150-2020</t>
        </is>
      </c>
      <c r="B241" s="1" t="n">
        <v>44183</v>
      </c>
      <c r="C241" s="1" t="n">
        <v>45635</v>
      </c>
      <c r="D241" t="inlineStr">
        <is>
          <t>DALARNAS LÄN</t>
        </is>
      </c>
      <c r="E241" t="inlineStr">
        <is>
          <t>MALUNG-SÄLEN</t>
        </is>
      </c>
      <c r="G241" t="n">
        <v>4.1</v>
      </c>
      <c r="H241" t="n">
        <v>0</v>
      </c>
      <c r="I241" t="n">
        <v>0</v>
      </c>
      <c r="J241" t="n">
        <v>0</v>
      </c>
      <c r="K241" t="n">
        <v>0</v>
      </c>
      <c r="L241" t="n">
        <v>0</v>
      </c>
      <c r="M241" t="n">
        <v>0</v>
      </c>
      <c r="N241" t="n">
        <v>0</v>
      </c>
      <c r="O241" t="n">
        <v>0</v>
      </c>
      <c r="P241" t="n">
        <v>0</v>
      </c>
      <c r="Q241" t="n">
        <v>0</v>
      </c>
      <c r="R241" s="2" t="inlineStr"/>
    </row>
    <row r="242" ht="15" customHeight="1">
      <c r="A242" t="inlineStr">
        <is>
          <t>A 68326-2020</t>
        </is>
      </c>
      <c r="B242" s="1" t="n">
        <v>44185</v>
      </c>
      <c r="C242" s="1" t="n">
        <v>45635</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68323-2020</t>
        </is>
      </c>
      <c r="B243" s="1" t="n">
        <v>44185</v>
      </c>
      <c r="C243" s="1" t="n">
        <v>45635</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68325-2020</t>
        </is>
      </c>
      <c r="B244" s="1" t="n">
        <v>44185</v>
      </c>
      <c r="C244" s="1" t="n">
        <v>45635</v>
      </c>
      <c r="D244" t="inlineStr">
        <is>
          <t>DALARNAS LÄN</t>
        </is>
      </c>
      <c r="E244" t="inlineStr">
        <is>
          <t>MALUNG-SÄLEN</t>
        </is>
      </c>
      <c r="G244" t="n">
        <v>1.4</v>
      </c>
      <c r="H244" t="n">
        <v>0</v>
      </c>
      <c r="I244" t="n">
        <v>0</v>
      </c>
      <c r="J244" t="n">
        <v>0</v>
      </c>
      <c r="K244" t="n">
        <v>0</v>
      </c>
      <c r="L244" t="n">
        <v>0</v>
      </c>
      <c r="M244" t="n">
        <v>0</v>
      </c>
      <c r="N244" t="n">
        <v>0</v>
      </c>
      <c r="O244" t="n">
        <v>0</v>
      </c>
      <c r="P244" t="n">
        <v>0</v>
      </c>
      <c r="Q244" t="n">
        <v>0</v>
      </c>
      <c r="R244" s="2" t="inlineStr"/>
    </row>
    <row r="245" ht="15" customHeight="1">
      <c r="A245" t="inlineStr">
        <is>
          <t>A 68324-2020</t>
        </is>
      </c>
      <c r="B245" s="1" t="n">
        <v>44185</v>
      </c>
      <c r="C245" s="1" t="n">
        <v>45635</v>
      </c>
      <c r="D245" t="inlineStr">
        <is>
          <t>DALARNAS LÄN</t>
        </is>
      </c>
      <c r="E245" t="inlineStr">
        <is>
          <t>MALUNG-SÄLEN</t>
        </is>
      </c>
      <c r="G245" t="n">
        <v>3.2</v>
      </c>
      <c r="H245" t="n">
        <v>0</v>
      </c>
      <c r="I245" t="n">
        <v>0</v>
      </c>
      <c r="J245" t="n">
        <v>0</v>
      </c>
      <c r="K245" t="n">
        <v>0</v>
      </c>
      <c r="L245" t="n">
        <v>0</v>
      </c>
      <c r="M245" t="n">
        <v>0</v>
      </c>
      <c r="N245" t="n">
        <v>0</v>
      </c>
      <c r="O245" t="n">
        <v>0</v>
      </c>
      <c r="P245" t="n">
        <v>0</v>
      </c>
      <c r="Q245" t="n">
        <v>0</v>
      </c>
      <c r="R245" s="2" t="inlineStr"/>
    </row>
    <row r="246" ht="15" customHeight="1">
      <c r="A246" t="inlineStr">
        <is>
          <t>A 69555-2020</t>
        </is>
      </c>
      <c r="B246" s="1" t="n">
        <v>44194</v>
      </c>
      <c r="C246" s="1" t="n">
        <v>45635</v>
      </c>
      <c r="D246" t="inlineStr">
        <is>
          <t>DALARNAS LÄN</t>
        </is>
      </c>
      <c r="E246" t="inlineStr">
        <is>
          <t>MALUNG-SÄLEN</t>
        </is>
      </c>
      <c r="F246" t="inlineStr">
        <is>
          <t>Bergvik skog öst AB</t>
        </is>
      </c>
      <c r="G246" t="n">
        <v>1.2</v>
      </c>
      <c r="H246" t="n">
        <v>0</v>
      </c>
      <c r="I246" t="n">
        <v>0</v>
      </c>
      <c r="J246" t="n">
        <v>0</v>
      </c>
      <c r="K246" t="n">
        <v>0</v>
      </c>
      <c r="L246" t="n">
        <v>0</v>
      </c>
      <c r="M246" t="n">
        <v>0</v>
      </c>
      <c r="N246" t="n">
        <v>0</v>
      </c>
      <c r="O246" t="n">
        <v>0</v>
      </c>
      <c r="P246" t="n">
        <v>0</v>
      </c>
      <c r="Q246" t="n">
        <v>0</v>
      </c>
      <c r="R246" s="2" t="inlineStr"/>
    </row>
    <row r="247" ht="15" customHeight="1">
      <c r="A247" t="inlineStr">
        <is>
          <t>A 185-2021</t>
        </is>
      </c>
      <c r="B247" s="1" t="n">
        <v>44200</v>
      </c>
      <c r="C247" s="1" t="n">
        <v>45635</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283-2021</t>
        </is>
      </c>
      <c r="B248" s="1" t="n">
        <v>44201</v>
      </c>
      <c r="C248" s="1" t="n">
        <v>45635</v>
      </c>
      <c r="D248" t="inlineStr">
        <is>
          <t>DALARNAS LÄN</t>
        </is>
      </c>
      <c r="E248" t="inlineStr">
        <is>
          <t>MALUNG-SÄLEN</t>
        </is>
      </c>
      <c r="G248" t="n">
        <v>4.8</v>
      </c>
      <c r="H248" t="n">
        <v>0</v>
      </c>
      <c r="I248" t="n">
        <v>0</v>
      </c>
      <c r="J248" t="n">
        <v>0</v>
      </c>
      <c r="K248" t="n">
        <v>0</v>
      </c>
      <c r="L248" t="n">
        <v>0</v>
      </c>
      <c r="M248" t="n">
        <v>0</v>
      </c>
      <c r="N248" t="n">
        <v>0</v>
      </c>
      <c r="O248" t="n">
        <v>0</v>
      </c>
      <c r="P248" t="n">
        <v>0</v>
      </c>
      <c r="Q248" t="n">
        <v>0</v>
      </c>
      <c r="R248" s="2" t="inlineStr"/>
    </row>
    <row r="249" ht="15" customHeight="1">
      <c r="A249" t="inlineStr">
        <is>
          <t>A 560-2021</t>
        </is>
      </c>
      <c r="B249" s="1" t="n">
        <v>44203</v>
      </c>
      <c r="C249" s="1" t="n">
        <v>45635</v>
      </c>
      <c r="D249" t="inlineStr">
        <is>
          <t>DALARNAS LÄN</t>
        </is>
      </c>
      <c r="E249" t="inlineStr">
        <is>
          <t>MALUNG-SÄLEN</t>
        </is>
      </c>
      <c r="G249" t="n">
        <v>5.8</v>
      </c>
      <c r="H249" t="n">
        <v>0</v>
      </c>
      <c r="I249" t="n">
        <v>0</v>
      </c>
      <c r="J249" t="n">
        <v>0</v>
      </c>
      <c r="K249" t="n">
        <v>0</v>
      </c>
      <c r="L249" t="n">
        <v>0</v>
      </c>
      <c r="M249" t="n">
        <v>0</v>
      </c>
      <c r="N249" t="n">
        <v>0</v>
      </c>
      <c r="O249" t="n">
        <v>0</v>
      </c>
      <c r="P249" t="n">
        <v>0</v>
      </c>
      <c r="Q249" t="n">
        <v>0</v>
      </c>
      <c r="R249" s="2" t="inlineStr"/>
    </row>
    <row r="250" ht="15" customHeight="1">
      <c r="A250" t="inlineStr">
        <is>
          <t>A 1286-2021</t>
        </is>
      </c>
      <c r="B250" s="1" t="n">
        <v>44208</v>
      </c>
      <c r="C250" s="1" t="n">
        <v>45635</v>
      </c>
      <c r="D250" t="inlineStr">
        <is>
          <t>DALARNAS LÄN</t>
        </is>
      </c>
      <c r="E250" t="inlineStr">
        <is>
          <t>MALUNG-SÄLEN</t>
        </is>
      </c>
      <c r="G250" t="n">
        <v>7.7</v>
      </c>
      <c r="H250" t="n">
        <v>0</v>
      </c>
      <c r="I250" t="n">
        <v>0</v>
      </c>
      <c r="J250" t="n">
        <v>0</v>
      </c>
      <c r="K250" t="n">
        <v>0</v>
      </c>
      <c r="L250" t="n">
        <v>0</v>
      </c>
      <c r="M250" t="n">
        <v>0</v>
      </c>
      <c r="N250" t="n">
        <v>0</v>
      </c>
      <c r="O250" t="n">
        <v>0</v>
      </c>
      <c r="P250" t="n">
        <v>0</v>
      </c>
      <c r="Q250" t="n">
        <v>0</v>
      </c>
      <c r="R250" s="2" t="inlineStr"/>
    </row>
    <row r="251" ht="15" customHeight="1">
      <c r="A251" t="inlineStr">
        <is>
          <t>A 1837-2021</t>
        </is>
      </c>
      <c r="B251" s="1" t="n">
        <v>44210</v>
      </c>
      <c r="C251" s="1" t="n">
        <v>45635</v>
      </c>
      <c r="D251" t="inlineStr">
        <is>
          <t>DALARNAS LÄN</t>
        </is>
      </c>
      <c r="E251" t="inlineStr">
        <is>
          <t>MALUNG-SÄLEN</t>
        </is>
      </c>
      <c r="G251" t="n">
        <v>1.9</v>
      </c>
      <c r="H251" t="n">
        <v>0</v>
      </c>
      <c r="I251" t="n">
        <v>0</v>
      </c>
      <c r="J251" t="n">
        <v>0</v>
      </c>
      <c r="K251" t="n">
        <v>0</v>
      </c>
      <c r="L251" t="n">
        <v>0</v>
      </c>
      <c r="M251" t="n">
        <v>0</v>
      </c>
      <c r="N251" t="n">
        <v>0</v>
      </c>
      <c r="O251" t="n">
        <v>0</v>
      </c>
      <c r="P251" t="n">
        <v>0</v>
      </c>
      <c r="Q251" t="n">
        <v>0</v>
      </c>
      <c r="R251" s="2" t="inlineStr"/>
    </row>
    <row r="252" ht="15" customHeight="1">
      <c r="A252" t="inlineStr">
        <is>
          <t>A 2208-2021</t>
        </is>
      </c>
      <c r="B252" s="1" t="n">
        <v>44211</v>
      </c>
      <c r="C252" s="1" t="n">
        <v>45635</v>
      </c>
      <c r="D252" t="inlineStr">
        <is>
          <t>DALARNAS LÄN</t>
        </is>
      </c>
      <c r="E252" t="inlineStr">
        <is>
          <t>MALUNG-SÄLEN</t>
        </is>
      </c>
      <c r="G252" t="n">
        <v>1.7</v>
      </c>
      <c r="H252" t="n">
        <v>0</v>
      </c>
      <c r="I252" t="n">
        <v>0</v>
      </c>
      <c r="J252" t="n">
        <v>0</v>
      </c>
      <c r="K252" t="n">
        <v>0</v>
      </c>
      <c r="L252" t="n">
        <v>0</v>
      </c>
      <c r="M252" t="n">
        <v>0</v>
      </c>
      <c r="N252" t="n">
        <v>0</v>
      </c>
      <c r="O252" t="n">
        <v>0</v>
      </c>
      <c r="P252" t="n">
        <v>0</v>
      </c>
      <c r="Q252" t="n">
        <v>0</v>
      </c>
      <c r="R252" s="2" t="inlineStr"/>
    </row>
    <row r="253" ht="15" customHeight="1">
      <c r="A253" t="inlineStr">
        <is>
          <t>A 2390-2021</t>
        </is>
      </c>
      <c r="B253" s="1" t="n">
        <v>44214</v>
      </c>
      <c r="C253" s="1" t="n">
        <v>45635</v>
      </c>
      <c r="D253" t="inlineStr">
        <is>
          <t>DALARNAS LÄN</t>
        </is>
      </c>
      <c r="E253" t="inlineStr">
        <is>
          <t>MALUNG-SÄLEN</t>
        </is>
      </c>
      <c r="G253" t="n">
        <v>1</v>
      </c>
      <c r="H253" t="n">
        <v>0</v>
      </c>
      <c r="I253" t="n">
        <v>0</v>
      </c>
      <c r="J253" t="n">
        <v>0</v>
      </c>
      <c r="K253" t="n">
        <v>0</v>
      </c>
      <c r="L253" t="n">
        <v>0</v>
      </c>
      <c r="M253" t="n">
        <v>0</v>
      </c>
      <c r="N253" t="n">
        <v>0</v>
      </c>
      <c r="O253" t="n">
        <v>0</v>
      </c>
      <c r="P253" t="n">
        <v>0</v>
      </c>
      <c r="Q253" t="n">
        <v>0</v>
      </c>
      <c r="R253" s="2" t="inlineStr"/>
    </row>
    <row r="254" ht="15" customHeight="1">
      <c r="A254" t="inlineStr">
        <is>
          <t>A 2406-2021</t>
        </is>
      </c>
      <c r="B254" s="1" t="n">
        <v>44214</v>
      </c>
      <c r="C254" s="1" t="n">
        <v>45635</v>
      </c>
      <c r="D254" t="inlineStr">
        <is>
          <t>DALARNAS LÄN</t>
        </is>
      </c>
      <c r="E254" t="inlineStr">
        <is>
          <t>MALUNG-SÄLEN</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2391-2021</t>
        </is>
      </c>
      <c r="B255" s="1" t="n">
        <v>44214</v>
      </c>
      <c r="C255" s="1" t="n">
        <v>45635</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3132-2021</t>
        </is>
      </c>
      <c r="B256" s="1" t="n">
        <v>44217</v>
      </c>
      <c r="C256" s="1" t="n">
        <v>45635</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3941-2021</t>
        </is>
      </c>
      <c r="B257" s="1" t="n">
        <v>44222</v>
      </c>
      <c r="C257" s="1" t="n">
        <v>45635</v>
      </c>
      <c r="D257" t="inlineStr">
        <is>
          <t>DALARNAS LÄN</t>
        </is>
      </c>
      <c r="E257" t="inlineStr">
        <is>
          <t>MALUNG-SÄLEN</t>
        </is>
      </c>
      <c r="G257" t="n">
        <v>0.8</v>
      </c>
      <c r="H257" t="n">
        <v>0</v>
      </c>
      <c r="I257" t="n">
        <v>0</v>
      </c>
      <c r="J257" t="n">
        <v>0</v>
      </c>
      <c r="K257" t="n">
        <v>0</v>
      </c>
      <c r="L257" t="n">
        <v>0</v>
      </c>
      <c r="M257" t="n">
        <v>0</v>
      </c>
      <c r="N257" t="n">
        <v>0</v>
      </c>
      <c r="O257" t="n">
        <v>0</v>
      </c>
      <c r="P257" t="n">
        <v>0</v>
      </c>
      <c r="Q257" t="n">
        <v>0</v>
      </c>
      <c r="R257" s="2" t="inlineStr"/>
    </row>
    <row r="258" ht="15" customHeight="1">
      <c r="A258" t="inlineStr">
        <is>
          <t>A 4030-2021</t>
        </is>
      </c>
      <c r="B258" s="1" t="n">
        <v>44222</v>
      </c>
      <c r="C258" s="1" t="n">
        <v>45635</v>
      </c>
      <c r="D258" t="inlineStr">
        <is>
          <t>DALARNAS LÄN</t>
        </is>
      </c>
      <c r="E258" t="inlineStr">
        <is>
          <t>MALUNG-SÄLEN</t>
        </is>
      </c>
      <c r="G258" t="n">
        <v>2.1</v>
      </c>
      <c r="H258" t="n">
        <v>0</v>
      </c>
      <c r="I258" t="n">
        <v>0</v>
      </c>
      <c r="J258" t="n">
        <v>0</v>
      </c>
      <c r="K258" t="n">
        <v>0</v>
      </c>
      <c r="L258" t="n">
        <v>0</v>
      </c>
      <c r="M258" t="n">
        <v>0</v>
      </c>
      <c r="N258" t="n">
        <v>0</v>
      </c>
      <c r="O258" t="n">
        <v>0</v>
      </c>
      <c r="P258" t="n">
        <v>0</v>
      </c>
      <c r="Q258" t="n">
        <v>0</v>
      </c>
      <c r="R258" s="2" t="inlineStr"/>
    </row>
    <row r="259" ht="15" customHeight="1">
      <c r="A259" t="inlineStr">
        <is>
          <t>A 4525-2021</t>
        </is>
      </c>
      <c r="B259" s="1" t="n">
        <v>44224</v>
      </c>
      <c r="C259" s="1" t="n">
        <v>45635</v>
      </c>
      <c r="D259" t="inlineStr">
        <is>
          <t>DALARNAS LÄN</t>
        </is>
      </c>
      <c r="E259" t="inlineStr">
        <is>
          <t>MALUNG-SÄLEN</t>
        </is>
      </c>
      <c r="G259" t="n">
        <v>5.3</v>
      </c>
      <c r="H259" t="n">
        <v>0</v>
      </c>
      <c r="I259" t="n">
        <v>0</v>
      </c>
      <c r="J259" t="n">
        <v>0</v>
      </c>
      <c r="K259" t="n">
        <v>0</v>
      </c>
      <c r="L259" t="n">
        <v>0</v>
      </c>
      <c r="M259" t="n">
        <v>0</v>
      </c>
      <c r="N259" t="n">
        <v>0</v>
      </c>
      <c r="O259" t="n">
        <v>0</v>
      </c>
      <c r="P259" t="n">
        <v>0</v>
      </c>
      <c r="Q259" t="n">
        <v>0</v>
      </c>
      <c r="R259" s="2" t="inlineStr"/>
    </row>
    <row r="260" ht="15" customHeight="1">
      <c r="A260" t="inlineStr">
        <is>
          <t>A 5215-2021</t>
        </is>
      </c>
      <c r="B260" s="1" t="n">
        <v>44229</v>
      </c>
      <c r="C260" s="1" t="n">
        <v>45635</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6254-2021</t>
        </is>
      </c>
      <c r="B261" s="1" t="n">
        <v>44235</v>
      </c>
      <c r="C261" s="1" t="n">
        <v>45635</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7859-2021</t>
        </is>
      </c>
      <c r="B262" s="1" t="n">
        <v>44242</v>
      </c>
      <c r="C262" s="1" t="n">
        <v>45635</v>
      </c>
      <c r="D262" t="inlineStr">
        <is>
          <t>DALARNAS LÄN</t>
        </is>
      </c>
      <c r="E262" t="inlineStr">
        <is>
          <t>MALUNG-SÄLEN</t>
        </is>
      </c>
      <c r="G262" t="n">
        <v>2</v>
      </c>
      <c r="H262" t="n">
        <v>0</v>
      </c>
      <c r="I262" t="n">
        <v>0</v>
      </c>
      <c r="J262" t="n">
        <v>0</v>
      </c>
      <c r="K262" t="n">
        <v>0</v>
      </c>
      <c r="L262" t="n">
        <v>0</v>
      </c>
      <c r="M262" t="n">
        <v>0</v>
      </c>
      <c r="N262" t="n">
        <v>0</v>
      </c>
      <c r="O262" t="n">
        <v>0</v>
      </c>
      <c r="P262" t="n">
        <v>0</v>
      </c>
      <c r="Q262" t="n">
        <v>0</v>
      </c>
      <c r="R262" s="2" t="inlineStr"/>
    </row>
    <row r="263" ht="15" customHeight="1">
      <c r="A263" t="inlineStr">
        <is>
          <t>A 12376-2021</t>
        </is>
      </c>
      <c r="B263" s="1" t="n">
        <v>44267</v>
      </c>
      <c r="C263" s="1" t="n">
        <v>45635</v>
      </c>
      <c r="D263" t="inlineStr">
        <is>
          <t>DALARNAS LÄN</t>
        </is>
      </c>
      <c r="E263" t="inlineStr">
        <is>
          <t>MALUNG-SÄLEN</t>
        </is>
      </c>
      <c r="G263" t="n">
        <v>0.7</v>
      </c>
      <c r="H263" t="n">
        <v>0</v>
      </c>
      <c r="I263" t="n">
        <v>0</v>
      </c>
      <c r="J263" t="n">
        <v>0</v>
      </c>
      <c r="K263" t="n">
        <v>0</v>
      </c>
      <c r="L263" t="n">
        <v>0</v>
      </c>
      <c r="M263" t="n">
        <v>0</v>
      </c>
      <c r="N263" t="n">
        <v>0</v>
      </c>
      <c r="O263" t="n">
        <v>0</v>
      </c>
      <c r="P263" t="n">
        <v>0</v>
      </c>
      <c r="Q263" t="n">
        <v>0</v>
      </c>
      <c r="R263" s="2" t="inlineStr"/>
    </row>
    <row r="264" ht="15" customHeight="1">
      <c r="A264" t="inlineStr">
        <is>
          <t>A 12375-2021</t>
        </is>
      </c>
      <c r="B264" s="1" t="n">
        <v>44267</v>
      </c>
      <c r="C264" s="1" t="n">
        <v>45635</v>
      </c>
      <c r="D264" t="inlineStr">
        <is>
          <t>DALARNAS LÄN</t>
        </is>
      </c>
      <c r="E264" t="inlineStr">
        <is>
          <t>MALUNG-SÄLEN</t>
        </is>
      </c>
      <c r="G264" t="n">
        <v>3</v>
      </c>
      <c r="H264" t="n">
        <v>0</v>
      </c>
      <c r="I264" t="n">
        <v>0</v>
      </c>
      <c r="J264" t="n">
        <v>0</v>
      </c>
      <c r="K264" t="n">
        <v>0</v>
      </c>
      <c r="L264" t="n">
        <v>0</v>
      </c>
      <c r="M264" t="n">
        <v>0</v>
      </c>
      <c r="N264" t="n">
        <v>0</v>
      </c>
      <c r="O264" t="n">
        <v>0</v>
      </c>
      <c r="P264" t="n">
        <v>0</v>
      </c>
      <c r="Q264" t="n">
        <v>0</v>
      </c>
      <c r="R264" s="2" t="inlineStr"/>
    </row>
    <row r="265" ht="15" customHeight="1">
      <c r="A265" t="inlineStr">
        <is>
          <t>A 12985-2021</t>
        </is>
      </c>
      <c r="B265" s="1" t="n">
        <v>44271</v>
      </c>
      <c r="C265" s="1" t="n">
        <v>45635</v>
      </c>
      <c r="D265" t="inlineStr">
        <is>
          <t>DALARNAS LÄN</t>
        </is>
      </c>
      <c r="E265" t="inlineStr">
        <is>
          <t>MALUNG-SÄLEN</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13934-2021</t>
        </is>
      </c>
      <c r="B266" s="1" t="n">
        <v>44277</v>
      </c>
      <c r="C266" s="1" t="n">
        <v>45635</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14035-2021</t>
        </is>
      </c>
      <c r="B267" s="1" t="n">
        <v>44277</v>
      </c>
      <c r="C267" s="1" t="n">
        <v>45635</v>
      </c>
      <c r="D267" t="inlineStr">
        <is>
          <t>DALARNAS LÄN</t>
        </is>
      </c>
      <c r="E267" t="inlineStr">
        <is>
          <t>MALUNG-SÄLEN</t>
        </is>
      </c>
      <c r="G267" t="n">
        <v>6.9</v>
      </c>
      <c r="H267" t="n">
        <v>0</v>
      </c>
      <c r="I267" t="n">
        <v>0</v>
      </c>
      <c r="J267" t="n">
        <v>0</v>
      </c>
      <c r="K267" t="n">
        <v>0</v>
      </c>
      <c r="L267" t="n">
        <v>0</v>
      </c>
      <c r="M267" t="n">
        <v>0</v>
      </c>
      <c r="N267" t="n">
        <v>0</v>
      </c>
      <c r="O267" t="n">
        <v>0</v>
      </c>
      <c r="P267" t="n">
        <v>0</v>
      </c>
      <c r="Q267" t="n">
        <v>0</v>
      </c>
      <c r="R267" s="2" t="inlineStr"/>
    </row>
    <row r="268" ht="15" customHeight="1">
      <c r="A268" t="inlineStr">
        <is>
          <t>A 15734-2021</t>
        </is>
      </c>
      <c r="B268" s="1" t="n">
        <v>44286</v>
      </c>
      <c r="C268" s="1" t="n">
        <v>45635</v>
      </c>
      <c r="D268" t="inlineStr">
        <is>
          <t>DALARNAS LÄN</t>
        </is>
      </c>
      <c r="E268" t="inlineStr">
        <is>
          <t>MALUNG-SÄLEN</t>
        </is>
      </c>
      <c r="G268" t="n">
        <v>5.2</v>
      </c>
      <c r="H268" t="n">
        <v>0</v>
      </c>
      <c r="I268" t="n">
        <v>0</v>
      </c>
      <c r="J268" t="n">
        <v>0</v>
      </c>
      <c r="K268" t="n">
        <v>0</v>
      </c>
      <c r="L268" t="n">
        <v>0</v>
      </c>
      <c r="M268" t="n">
        <v>0</v>
      </c>
      <c r="N268" t="n">
        <v>0</v>
      </c>
      <c r="O268" t="n">
        <v>0</v>
      </c>
      <c r="P268" t="n">
        <v>0</v>
      </c>
      <c r="Q268" t="n">
        <v>0</v>
      </c>
      <c r="R268" s="2" t="inlineStr"/>
    </row>
    <row r="269" ht="15" customHeight="1">
      <c r="A269" t="inlineStr">
        <is>
          <t>A 17502-2021</t>
        </is>
      </c>
      <c r="B269" s="1" t="n">
        <v>44299</v>
      </c>
      <c r="C269" s="1" t="n">
        <v>45635</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17763-2021</t>
        </is>
      </c>
      <c r="B270" s="1" t="n">
        <v>44300</v>
      </c>
      <c r="C270" s="1" t="n">
        <v>45635</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18637-2021</t>
        </is>
      </c>
      <c r="B271" s="1" t="n">
        <v>44306</v>
      </c>
      <c r="C271" s="1" t="n">
        <v>45635</v>
      </c>
      <c r="D271" t="inlineStr">
        <is>
          <t>DALARNAS LÄN</t>
        </is>
      </c>
      <c r="E271" t="inlineStr">
        <is>
          <t>MALUNG-SÄLEN</t>
        </is>
      </c>
      <c r="G271" t="n">
        <v>1.9</v>
      </c>
      <c r="H271" t="n">
        <v>0</v>
      </c>
      <c r="I271" t="n">
        <v>0</v>
      </c>
      <c r="J271" t="n">
        <v>0</v>
      </c>
      <c r="K271" t="n">
        <v>0</v>
      </c>
      <c r="L271" t="n">
        <v>0</v>
      </c>
      <c r="M271" t="n">
        <v>0</v>
      </c>
      <c r="N271" t="n">
        <v>0</v>
      </c>
      <c r="O271" t="n">
        <v>0</v>
      </c>
      <c r="P271" t="n">
        <v>0</v>
      </c>
      <c r="Q271" t="n">
        <v>0</v>
      </c>
      <c r="R271" s="2" t="inlineStr"/>
    </row>
    <row r="272" ht="15" customHeight="1">
      <c r="A272" t="inlineStr">
        <is>
          <t>A 19768-2021</t>
        </is>
      </c>
      <c r="B272" s="1" t="n">
        <v>44312</v>
      </c>
      <c r="C272" s="1" t="n">
        <v>45635</v>
      </c>
      <c r="D272" t="inlineStr">
        <is>
          <t>DALARNAS LÄN</t>
        </is>
      </c>
      <c r="E272" t="inlineStr">
        <is>
          <t>MALUNG-SÄLEN</t>
        </is>
      </c>
      <c r="G272" t="n">
        <v>0.2</v>
      </c>
      <c r="H272" t="n">
        <v>0</v>
      </c>
      <c r="I272" t="n">
        <v>0</v>
      </c>
      <c r="J272" t="n">
        <v>0</v>
      </c>
      <c r="K272" t="n">
        <v>0</v>
      </c>
      <c r="L272" t="n">
        <v>0</v>
      </c>
      <c r="M272" t="n">
        <v>0</v>
      </c>
      <c r="N272" t="n">
        <v>0</v>
      </c>
      <c r="O272" t="n">
        <v>0</v>
      </c>
      <c r="P272" t="n">
        <v>0</v>
      </c>
      <c r="Q272" t="n">
        <v>0</v>
      </c>
      <c r="R272" s="2" t="inlineStr"/>
    </row>
    <row r="273" ht="15" customHeight="1">
      <c r="A273" t="inlineStr">
        <is>
          <t>A 19764-2021</t>
        </is>
      </c>
      <c r="B273" s="1" t="n">
        <v>44313</v>
      </c>
      <c r="C273" s="1" t="n">
        <v>45635</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19944-2021</t>
        </is>
      </c>
      <c r="B274" s="1" t="n">
        <v>44313</v>
      </c>
      <c r="C274" s="1" t="n">
        <v>45635</v>
      </c>
      <c r="D274" t="inlineStr">
        <is>
          <t>DALARNAS LÄN</t>
        </is>
      </c>
      <c r="E274" t="inlineStr">
        <is>
          <t>MALUNG-SÄLEN</t>
        </is>
      </c>
      <c r="G274" t="n">
        <v>10.7</v>
      </c>
      <c r="H274" t="n">
        <v>0</v>
      </c>
      <c r="I274" t="n">
        <v>0</v>
      </c>
      <c r="J274" t="n">
        <v>0</v>
      </c>
      <c r="K274" t="n">
        <v>0</v>
      </c>
      <c r="L274" t="n">
        <v>0</v>
      </c>
      <c r="M274" t="n">
        <v>0</v>
      </c>
      <c r="N274" t="n">
        <v>0</v>
      </c>
      <c r="O274" t="n">
        <v>0</v>
      </c>
      <c r="P274" t="n">
        <v>0</v>
      </c>
      <c r="Q274" t="n">
        <v>0</v>
      </c>
      <c r="R274" s="2" t="inlineStr"/>
    </row>
    <row r="275" ht="15" customHeight="1">
      <c r="A275" t="inlineStr">
        <is>
          <t>A 19924-2021</t>
        </is>
      </c>
      <c r="B275" s="1" t="n">
        <v>44313</v>
      </c>
      <c r="C275" s="1" t="n">
        <v>45635</v>
      </c>
      <c r="D275" t="inlineStr">
        <is>
          <t>DALARNAS LÄN</t>
        </is>
      </c>
      <c r="E275" t="inlineStr">
        <is>
          <t>MALUNG-SÄLEN</t>
        </is>
      </c>
      <c r="G275" t="n">
        <v>17.3</v>
      </c>
      <c r="H275" t="n">
        <v>0</v>
      </c>
      <c r="I275" t="n">
        <v>0</v>
      </c>
      <c r="J275" t="n">
        <v>0</v>
      </c>
      <c r="K275" t="n">
        <v>0</v>
      </c>
      <c r="L275" t="n">
        <v>0</v>
      </c>
      <c r="M275" t="n">
        <v>0</v>
      </c>
      <c r="N275" t="n">
        <v>0</v>
      </c>
      <c r="O275" t="n">
        <v>0</v>
      </c>
      <c r="P275" t="n">
        <v>0</v>
      </c>
      <c r="Q275" t="n">
        <v>0</v>
      </c>
      <c r="R275" s="2" t="inlineStr"/>
    </row>
    <row r="276" ht="15" customHeight="1">
      <c r="A276" t="inlineStr">
        <is>
          <t>A 20228-2021</t>
        </is>
      </c>
      <c r="B276" s="1" t="n">
        <v>44314</v>
      </c>
      <c r="C276" s="1" t="n">
        <v>45635</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20427-2021</t>
        </is>
      </c>
      <c r="B277" s="1" t="n">
        <v>44315</v>
      </c>
      <c r="C277" s="1" t="n">
        <v>45635</v>
      </c>
      <c r="D277" t="inlineStr">
        <is>
          <t>DALARNAS LÄN</t>
        </is>
      </c>
      <c r="E277" t="inlineStr">
        <is>
          <t>MALUNG-SÄLEN</t>
        </is>
      </c>
      <c r="F277" t="inlineStr">
        <is>
          <t>Bergvik skog väst AB</t>
        </is>
      </c>
      <c r="G277" t="n">
        <v>13.1</v>
      </c>
      <c r="H277" t="n">
        <v>0</v>
      </c>
      <c r="I277" t="n">
        <v>0</v>
      </c>
      <c r="J277" t="n">
        <v>0</v>
      </c>
      <c r="K277" t="n">
        <v>0</v>
      </c>
      <c r="L277" t="n">
        <v>0</v>
      </c>
      <c r="M277" t="n">
        <v>0</v>
      </c>
      <c r="N277" t="n">
        <v>0</v>
      </c>
      <c r="O277" t="n">
        <v>0</v>
      </c>
      <c r="P277" t="n">
        <v>0</v>
      </c>
      <c r="Q277" t="n">
        <v>0</v>
      </c>
      <c r="R277" s="2" t="inlineStr"/>
    </row>
    <row r="278" ht="15" customHeight="1">
      <c r="A278" t="inlineStr">
        <is>
          <t>A 21011-2021</t>
        </is>
      </c>
      <c r="B278" s="1" t="n">
        <v>44319</v>
      </c>
      <c r="C278" s="1" t="n">
        <v>45635</v>
      </c>
      <c r="D278" t="inlineStr">
        <is>
          <t>DALARNAS LÄN</t>
        </is>
      </c>
      <c r="E278" t="inlineStr">
        <is>
          <t>MALUNG-SÄLEN</t>
        </is>
      </c>
      <c r="G278" t="n">
        <v>1.5</v>
      </c>
      <c r="H278" t="n">
        <v>0</v>
      </c>
      <c r="I278" t="n">
        <v>0</v>
      </c>
      <c r="J278" t="n">
        <v>0</v>
      </c>
      <c r="K278" t="n">
        <v>0</v>
      </c>
      <c r="L278" t="n">
        <v>0</v>
      </c>
      <c r="M278" t="n">
        <v>0</v>
      </c>
      <c r="N278" t="n">
        <v>0</v>
      </c>
      <c r="O278" t="n">
        <v>0</v>
      </c>
      <c r="P278" t="n">
        <v>0</v>
      </c>
      <c r="Q278" t="n">
        <v>0</v>
      </c>
      <c r="R278" s="2" t="inlineStr"/>
    </row>
    <row r="279" ht="15" customHeight="1">
      <c r="A279" t="inlineStr">
        <is>
          <t>A 21018-2021</t>
        </is>
      </c>
      <c r="B279" s="1" t="n">
        <v>44319</v>
      </c>
      <c r="C279" s="1" t="n">
        <v>45635</v>
      </c>
      <c r="D279" t="inlineStr">
        <is>
          <t>DALARNAS LÄN</t>
        </is>
      </c>
      <c r="E279" t="inlineStr">
        <is>
          <t>MALUNG-SÄLEN</t>
        </is>
      </c>
      <c r="G279" t="n">
        <v>1.4</v>
      </c>
      <c r="H279" t="n">
        <v>0</v>
      </c>
      <c r="I279" t="n">
        <v>0</v>
      </c>
      <c r="J279" t="n">
        <v>0</v>
      </c>
      <c r="K279" t="n">
        <v>0</v>
      </c>
      <c r="L279" t="n">
        <v>0</v>
      </c>
      <c r="M279" t="n">
        <v>0</v>
      </c>
      <c r="N279" t="n">
        <v>0</v>
      </c>
      <c r="O279" t="n">
        <v>0</v>
      </c>
      <c r="P279" t="n">
        <v>0</v>
      </c>
      <c r="Q279" t="n">
        <v>0</v>
      </c>
      <c r="R279" s="2" t="inlineStr"/>
    </row>
    <row r="280" ht="15" customHeight="1">
      <c r="A280" t="inlineStr">
        <is>
          <t>A 21368-2021</t>
        </is>
      </c>
      <c r="B280" s="1" t="n">
        <v>44321</v>
      </c>
      <c r="C280" s="1" t="n">
        <v>45635</v>
      </c>
      <c r="D280" t="inlineStr">
        <is>
          <t>DALARNAS LÄN</t>
        </is>
      </c>
      <c r="E280" t="inlineStr">
        <is>
          <t>MALUNG-SÄLEN</t>
        </is>
      </c>
      <c r="G280" t="n">
        <v>6.2</v>
      </c>
      <c r="H280" t="n">
        <v>0</v>
      </c>
      <c r="I280" t="n">
        <v>0</v>
      </c>
      <c r="J280" t="n">
        <v>0</v>
      </c>
      <c r="K280" t="n">
        <v>0</v>
      </c>
      <c r="L280" t="n">
        <v>0</v>
      </c>
      <c r="M280" t="n">
        <v>0</v>
      </c>
      <c r="N280" t="n">
        <v>0</v>
      </c>
      <c r="O280" t="n">
        <v>0</v>
      </c>
      <c r="P280" t="n">
        <v>0</v>
      </c>
      <c r="Q280" t="n">
        <v>0</v>
      </c>
      <c r="R280" s="2" t="inlineStr"/>
    </row>
    <row r="281" ht="15" customHeight="1">
      <c r="A281" t="inlineStr">
        <is>
          <t>A 21566-2021</t>
        </is>
      </c>
      <c r="B281" s="1" t="n">
        <v>44321</v>
      </c>
      <c r="C281" s="1" t="n">
        <v>45635</v>
      </c>
      <c r="D281" t="inlineStr">
        <is>
          <t>DALARNAS LÄN</t>
        </is>
      </c>
      <c r="E281" t="inlineStr">
        <is>
          <t>MALUNG-SÄLEN</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22455-2021</t>
        </is>
      </c>
      <c r="B282" s="1" t="n">
        <v>44321</v>
      </c>
      <c r="C282" s="1" t="n">
        <v>45635</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22721-2021</t>
        </is>
      </c>
      <c r="B283" s="1" t="n">
        <v>44325</v>
      </c>
      <c r="C283" s="1" t="n">
        <v>45635</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22329-2021</t>
        </is>
      </c>
      <c r="B284" s="1" t="n">
        <v>44326</v>
      </c>
      <c r="C284" s="1" t="n">
        <v>45635</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22258-2021</t>
        </is>
      </c>
      <c r="B285" s="1" t="n">
        <v>44326</v>
      </c>
      <c r="C285" s="1" t="n">
        <v>45635</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22855-2021</t>
        </is>
      </c>
      <c r="B286" s="1" t="n">
        <v>44328</v>
      </c>
      <c r="C286" s="1" t="n">
        <v>45635</v>
      </c>
      <c r="D286" t="inlineStr">
        <is>
          <t>DALARNAS LÄN</t>
        </is>
      </c>
      <c r="E286" t="inlineStr">
        <is>
          <t>MALUNG-SÄLEN</t>
        </is>
      </c>
      <c r="G286" t="n">
        <v>1.2</v>
      </c>
      <c r="H286" t="n">
        <v>0</v>
      </c>
      <c r="I286" t="n">
        <v>0</v>
      </c>
      <c r="J286" t="n">
        <v>0</v>
      </c>
      <c r="K286" t="n">
        <v>0</v>
      </c>
      <c r="L286" t="n">
        <v>0</v>
      </c>
      <c r="M286" t="n">
        <v>0</v>
      </c>
      <c r="N286" t="n">
        <v>0</v>
      </c>
      <c r="O286" t="n">
        <v>0</v>
      </c>
      <c r="P286" t="n">
        <v>0</v>
      </c>
      <c r="Q286" t="n">
        <v>0</v>
      </c>
      <c r="R286" s="2" t="inlineStr"/>
    </row>
    <row r="287" ht="15" customHeight="1">
      <c r="A287" t="inlineStr">
        <is>
          <t>A 23161-2021</t>
        </is>
      </c>
      <c r="B287" s="1" t="n">
        <v>44332</v>
      </c>
      <c r="C287" s="1" t="n">
        <v>45635</v>
      </c>
      <c r="D287" t="inlineStr">
        <is>
          <t>DALARNAS LÄN</t>
        </is>
      </c>
      <c r="E287" t="inlineStr">
        <is>
          <t>MALUNG-SÄLEN</t>
        </is>
      </c>
      <c r="G287" t="n">
        <v>1.6</v>
      </c>
      <c r="H287" t="n">
        <v>0</v>
      </c>
      <c r="I287" t="n">
        <v>0</v>
      </c>
      <c r="J287" t="n">
        <v>0</v>
      </c>
      <c r="K287" t="n">
        <v>0</v>
      </c>
      <c r="L287" t="n">
        <v>0</v>
      </c>
      <c r="M287" t="n">
        <v>0</v>
      </c>
      <c r="N287" t="n">
        <v>0</v>
      </c>
      <c r="O287" t="n">
        <v>0</v>
      </c>
      <c r="P287" t="n">
        <v>0</v>
      </c>
      <c r="Q287" t="n">
        <v>0</v>
      </c>
      <c r="R287" s="2" t="inlineStr"/>
    </row>
    <row r="288" ht="15" customHeight="1">
      <c r="A288" t="inlineStr">
        <is>
          <t>A 23162-2021</t>
        </is>
      </c>
      <c r="B288" s="1" t="n">
        <v>44332</v>
      </c>
      <c r="C288" s="1" t="n">
        <v>45635</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23281-2021</t>
        </is>
      </c>
      <c r="B289" s="1" t="n">
        <v>44333</v>
      </c>
      <c r="C289" s="1" t="n">
        <v>45635</v>
      </c>
      <c r="D289" t="inlineStr">
        <is>
          <t>DALARNAS LÄN</t>
        </is>
      </c>
      <c r="E289" t="inlineStr">
        <is>
          <t>MALUNG-SÄLEN</t>
        </is>
      </c>
      <c r="G289" t="n">
        <v>2.9</v>
      </c>
      <c r="H289" t="n">
        <v>0</v>
      </c>
      <c r="I289" t="n">
        <v>0</v>
      </c>
      <c r="J289" t="n">
        <v>0</v>
      </c>
      <c r="K289" t="n">
        <v>0</v>
      </c>
      <c r="L289" t="n">
        <v>0</v>
      </c>
      <c r="M289" t="n">
        <v>0</v>
      </c>
      <c r="N289" t="n">
        <v>0</v>
      </c>
      <c r="O289" t="n">
        <v>0</v>
      </c>
      <c r="P289" t="n">
        <v>0</v>
      </c>
      <c r="Q289" t="n">
        <v>0</v>
      </c>
      <c r="R289" s="2" t="inlineStr"/>
    </row>
    <row r="290" ht="15" customHeight="1">
      <c r="A290" t="inlineStr">
        <is>
          <t>A 23953-2021</t>
        </is>
      </c>
      <c r="B290" s="1" t="n">
        <v>44335</v>
      </c>
      <c r="C290" s="1" t="n">
        <v>45635</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25285-2021</t>
        </is>
      </c>
      <c r="B291" s="1" t="n">
        <v>44342</v>
      </c>
      <c r="C291" s="1" t="n">
        <v>45635</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26341-2021</t>
        </is>
      </c>
      <c r="B292" s="1" t="n">
        <v>44347</v>
      </c>
      <c r="C292" s="1" t="n">
        <v>45635</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26568-2021</t>
        </is>
      </c>
      <c r="B293" s="1" t="n">
        <v>44348</v>
      </c>
      <c r="C293" s="1" t="n">
        <v>45635</v>
      </c>
      <c r="D293" t="inlineStr">
        <is>
          <t>DALARNAS LÄN</t>
        </is>
      </c>
      <c r="E293" t="inlineStr">
        <is>
          <t>MALUNG-SÄLEN</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26693-2021</t>
        </is>
      </c>
      <c r="B294" s="1" t="n">
        <v>44349</v>
      </c>
      <c r="C294" s="1" t="n">
        <v>45635</v>
      </c>
      <c r="D294" t="inlineStr">
        <is>
          <t>DALARNAS LÄN</t>
        </is>
      </c>
      <c r="E294" t="inlineStr">
        <is>
          <t>MALUNG-SÄLEN</t>
        </is>
      </c>
      <c r="G294" t="n">
        <v>2.8</v>
      </c>
      <c r="H294" t="n">
        <v>0</v>
      </c>
      <c r="I294" t="n">
        <v>0</v>
      </c>
      <c r="J294" t="n">
        <v>0</v>
      </c>
      <c r="K294" t="n">
        <v>0</v>
      </c>
      <c r="L294" t="n">
        <v>0</v>
      </c>
      <c r="M294" t="n">
        <v>0</v>
      </c>
      <c r="N294" t="n">
        <v>0</v>
      </c>
      <c r="O294" t="n">
        <v>0</v>
      </c>
      <c r="P294" t="n">
        <v>0</v>
      </c>
      <c r="Q294" t="n">
        <v>0</v>
      </c>
      <c r="R294" s="2" t="inlineStr"/>
    </row>
    <row r="295" ht="15" customHeight="1">
      <c r="A295" t="inlineStr">
        <is>
          <t>A 27047-2021</t>
        </is>
      </c>
      <c r="B295" s="1" t="n">
        <v>44350</v>
      </c>
      <c r="C295" s="1" t="n">
        <v>45635</v>
      </c>
      <c r="D295" t="inlineStr">
        <is>
          <t>DALARNAS LÄN</t>
        </is>
      </c>
      <c r="E295" t="inlineStr">
        <is>
          <t>MALUNG-SÄLEN</t>
        </is>
      </c>
      <c r="G295" t="n">
        <v>3.7</v>
      </c>
      <c r="H295" t="n">
        <v>0</v>
      </c>
      <c r="I295" t="n">
        <v>0</v>
      </c>
      <c r="J295" t="n">
        <v>0</v>
      </c>
      <c r="K295" t="n">
        <v>0</v>
      </c>
      <c r="L295" t="n">
        <v>0</v>
      </c>
      <c r="M295" t="n">
        <v>0</v>
      </c>
      <c r="N295" t="n">
        <v>0</v>
      </c>
      <c r="O295" t="n">
        <v>0</v>
      </c>
      <c r="P295" t="n">
        <v>0</v>
      </c>
      <c r="Q295" t="n">
        <v>0</v>
      </c>
      <c r="R295" s="2" t="inlineStr"/>
    </row>
    <row r="296" ht="15" customHeight="1">
      <c r="A296" t="inlineStr">
        <is>
          <t>A 27470-2021</t>
        </is>
      </c>
      <c r="B296" s="1" t="n">
        <v>44351</v>
      </c>
      <c r="C296" s="1" t="n">
        <v>45635</v>
      </c>
      <c r="D296" t="inlineStr">
        <is>
          <t>DALARNAS LÄN</t>
        </is>
      </c>
      <c r="E296" t="inlineStr">
        <is>
          <t>MALUNG-SÄLEN</t>
        </is>
      </c>
      <c r="F296" t="inlineStr">
        <is>
          <t>Allmännings- och besparingsskogar</t>
        </is>
      </c>
      <c r="G296" t="n">
        <v>14.8</v>
      </c>
      <c r="H296" t="n">
        <v>0</v>
      </c>
      <c r="I296" t="n">
        <v>0</v>
      </c>
      <c r="J296" t="n">
        <v>0</v>
      </c>
      <c r="K296" t="n">
        <v>0</v>
      </c>
      <c r="L296" t="n">
        <v>0</v>
      </c>
      <c r="M296" t="n">
        <v>0</v>
      </c>
      <c r="N296" t="n">
        <v>0</v>
      </c>
      <c r="O296" t="n">
        <v>0</v>
      </c>
      <c r="P296" t="n">
        <v>0</v>
      </c>
      <c r="Q296" t="n">
        <v>0</v>
      </c>
      <c r="R296" s="2" t="inlineStr"/>
    </row>
    <row r="297" ht="15" customHeight="1">
      <c r="A297" t="inlineStr">
        <is>
          <t>A 27302-2021</t>
        </is>
      </c>
      <c r="B297" s="1" t="n">
        <v>44351</v>
      </c>
      <c r="C297" s="1" t="n">
        <v>45635</v>
      </c>
      <c r="D297" t="inlineStr">
        <is>
          <t>DALARNAS LÄN</t>
        </is>
      </c>
      <c r="E297" t="inlineStr">
        <is>
          <t>MALUNG-SÄLEN</t>
        </is>
      </c>
      <c r="F297" t="inlineStr">
        <is>
          <t>Allmännings- och besparingsskogar</t>
        </is>
      </c>
      <c r="G297" t="n">
        <v>5.7</v>
      </c>
      <c r="H297" t="n">
        <v>0</v>
      </c>
      <c r="I297" t="n">
        <v>0</v>
      </c>
      <c r="J297" t="n">
        <v>0</v>
      </c>
      <c r="K297" t="n">
        <v>0</v>
      </c>
      <c r="L297" t="n">
        <v>0</v>
      </c>
      <c r="M297" t="n">
        <v>0</v>
      </c>
      <c r="N297" t="n">
        <v>0</v>
      </c>
      <c r="O297" t="n">
        <v>0</v>
      </c>
      <c r="P297" t="n">
        <v>0</v>
      </c>
      <c r="Q297" t="n">
        <v>0</v>
      </c>
      <c r="R297" s="2" t="inlineStr"/>
    </row>
    <row r="298" ht="15" customHeight="1">
      <c r="A298" t="inlineStr">
        <is>
          <t>A 27466-2021</t>
        </is>
      </c>
      <c r="B298" s="1" t="n">
        <v>44351</v>
      </c>
      <c r="C298" s="1" t="n">
        <v>45635</v>
      </c>
      <c r="D298" t="inlineStr">
        <is>
          <t>DALARNAS LÄN</t>
        </is>
      </c>
      <c r="E298" t="inlineStr">
        <is>
          <t>MALUNG-SÄLEN</t>
        </is>
      </c>
      <c r="G298" t="n">
        <v>1.8</v>
      </c>
      <c r="H298" t="n">
        <v>0</v>
      </c>
      <c r="I298" t="n">
        <v>0</v>
      </c>
      <c r="J298" t="n">
        <v>0</v>
      </c>
      <c r="K298" t="n">
        <v>0</v>
      </c>
      <c r="L298" t="n">
        <v>0</v>
      </c>
      <c r="M298" t="n">
        <v>0</v>
      </c>
      <c r="N298" t="n">
        <v>0</v>
      </c>
      <c r="O298" t="n">
        <v>0</v>
      </c>
      <c r="P298" t="n">
        <v>0</v>
      </c>
      <c r="Q298" t="n">
        <v>0</v>
      </c>
      <c r="R298" s="2" t="inlineStr"/>
    </row>
    <row r="299" ht="15" customHeight="1">
      <c r="A299" t="inlineStr">
        <is>
          <t>A 27656-2021</t>
        </is>
      </c>
      <c r="B299" s="1" t="n">
        <v>44354</v>
      </c>
      <c r="C299" s="1" t="n">
        <v>45635</v>
      </c>
      <c r="D299" t="inlineStr">
        <is>
          <t>DALARNAS LÄN</t>
        </is>
      </c>
      <c r="E299" t="inlineStr">
        <is>
          <t>MALUNG-SÄLEN</t>
        </is>
      </c>
      <c r="G299" t="n">
        <v>1.1</v>
      </c>
      <c r="H299" t="n">
        <v>0</v>
      </c>
      <c r="I299" t="n">
        <v>0</v>
      </c>
      <c r="J299" t="n">
        <v>0</v>
      </c>
      <c r="K299" t="n">
        <v>0</v>
      </c>
      <c r="L299" t="n">
        <v>0</v>
      </c>
      <c r="M299" t="n">
        <v>0</v>
      </c>
      <c r="N299" t="n">
        <v>0</v>
      </c>
      <c r="O299" t="n">
        <v>0</v>
      </c>
      <c r="P299" t="n">
        <v>0</v>
      </c>
      <c r="Q299" t="n">
        <v>0</v>
      </c>
      <c r="R299" s="2" t="inlineStr"/>
    </row>
    <row r="300" ht="15" customHeight="1">
      <c r="A300" t="inlineStr">
        <is>
          <t>A 28204-2021</t>
        </is>
      </c>
      <c r="B300" s="1" t="n">
        <v>44355</v>
      </c>
      <c r="C300" s="1" t="n">
        <v>45635</v>
      </c>
      <c r="D300" t="inlineStr">
        <is>
          <t>DALARNAS LÄN</t>
        </is>
      </c>
      <c r="E300" t="inlineStr">
        <is>
          <t>MALUNG-SÄLEN</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28396-2021</t>
        </is>
      </c>
      <c r="B301" s="1" t="n">
        <v>44356</v>
      </c>
      <c r="C301" s="1" t="n">
        <v>45635</v>
      </c>
      <c r="D301" t="inlineStr">
        <is>
          <t>DALARNAS LÄN</t>
        </is>
      </c>
      <c r="E301" t="inlineStr">
        <is>
          <t>MALUNG-SÄLEN</t>
        </is>
      </c>
      <c r="G301" t="n">
        <v>0.6</v>
      </c>
      <c r="H301" t="n">
        <v>0</v>
      </c>
      <c r="I301" t="n">
        <v>0</v>
      </c>
      <c r="J301" t="n">
        <v>0</v>
      </c>
      <c r="K301" t="n">
        <v>0</v>
      </c>
      <c r="L301" t="n">
        <v>0</v>
      </c>
      <c r="M301" t="n">
        <v>0</v>
      </c>
      <c r="N301" t="n">
        <v>0</v>
      </c>
      <c r="O301" t="n">
        <v>0</v>
      </c>
      <c r="P301" t="n">
        <v>0</v>
      </c>
      <c r="Q301" t="n">
        <v>0</v>
      </c>
      <c r="R301" s="2" t="inlineStr"/>
    </row>
    <row r="302" ht="15" customHeight="1">
      <c r="A302" t="inlineStr">
        <is>
          <t>A 28415-2021</t>
        </is>
      </c>
      <c r="B302" s="1" t="n">
        <v>44356</v>
      </c>
      <c r="C302" s="1" t="n">
        <v>45635</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30006-2021</t>
        </is>
      </c>
      <c r="B303" s="1" t="n">
        <v>44363</v>
      </c>
      <c r="C303" s="1" t="n">
        <v>45635</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30140-2021</t>
        </is>
      </c>
      <c r="B304" s="1" t="n">
        <v>44363</v>
      </c>
      <c r="C304" s="1" t="n">
        <v>45635</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30079-2021</t>
        </is>
      </c>
      <c r="B305" s="1" t="n">
        <v>44363</v>
      </c>
      <c r="C305" s="1" t="n">
        <v>45635</v>
      </c>
      <c r="D305" t="inlineStr">
        <is>
          <t>DALARNAS LÄN</t>
        </is>
      </c>
      <c r="E305" t="inlineStr">
        <is>
          <t>MALUNG-SÄLEN</t>
        </is>
      </c>
      <c r="G305" t="n">
        <v>4.9</v>
      </c>
      <c r="H305" t="n">
        <v>0</v>
      </c>
      <c r="I305" t="n">
        <v>0</v>
      </c>
      <c r="J305" t="n">
        <v>0</v>
      </c>
      <c r="K305" t="n">
        <v>0</v>
      </c>
      <c r="L305" t="n">
        <v>0</v>
      </c>
      <c r="M305" t="n">
        <v>0</v>
      </c>
      <c r="N305" t="n">
        <v>0</v>
      </c>
      <c r="O305" t="n">
        <v>0</v>
      </c>
      <c r="P305" t="n">
        <v>0</v>
      </c>
      <c r="Q305" t="n">
        <v>0</v>
      </c>
      <c r="R305" s="2" t="inlineStr"/>
    </row>
    <row r="306" ht="15" customHeight="1">
      <c r="A306" t="inlineStr">
        <is>
          <t>A 30405-2021</t>
        </is>
      </c>
      <c r="B306" s="1" t="n">
        <v>44364</v>
      </c>
      <c r="C306" s="1" t="n">
        <v>45635</v>
      </c>
      <c r="D306" t="inlineStr">
        <is>
          <t>DALARNAS LÄN</t>
        </is>
      </c>
      <c r="E306" t="inlineStr">
        <is>
          <t>MALUNG-SÄLEN</t>
        </is>
      </c>
      <c r="G306" t="n">
        <v>1.9</v>
      </c>
      <c r="H306" t="n">
        <v>0</v>
      </c>
      <c r="I306" t="n">
        <v>0</v>
      </c>
      <c r="J306" t="n">
        <v>0</v>
      </c>
      <c r="K306" t="n">
        <v>0</v>
      </c>
      <c r="L306" t="n">
        <v>0</v>
      </c>
      <c r="M306" t="n">
        <v>0</v>
      </c>
      <c r="N306" t="n">
        <v>0</v>
      </c>
      <c r="O306" t="n">
        <v>0</v>
      </c>
      <c r="P306" t="n">
        <v>0</v>
      </c>
      <c r="Q306" t="n">
        <v>0</v>
      </c>
      <c r="R306" s="2" t="inlineStr"/>
    </row>
    <row r="307" ht="15" customHeight="1">
      <c r="A307" t="inlineStr">
        <is>
          <t>A 32548-2021</t>
        </is>
      </c>
      <c r="B307" s="1" t="n">
        <v>44375</v>
      </c>
      <c r="C307" s="1" t="n">
        <v>45635</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32869-2021</t>
        </is>
      </c>
      <c r="B308" s="1" t="n">
        <v>44375</v>
      </c>
      <c r="C308" s="1" t="n">
        <v>45635</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32863-2021</t>
        </is>
      </c>
      <c r="B309" s="1" t="n">
        <v>44375</v>
      </c>
      <c r="C309" s="1" t="n">
        <v>45635</v>
      </c>
      <c r="D309" t="inlineStr">
        <is>
          <t>DALARNAS LÄN</t>
        </is>
      </c>
      <c r="E309" t="inlineStr">
        <is>
          <t>MALUNG-SÄLEN</t>
        </is>
      </c>
      <c r="G309" t="n">
        <v>3.5</v>
      </c>
      <c r="H309" t="n">
        <v>0</v>
      </c>
      <c r="I309" t="n">
        <v>0</v>
      </c>
      <c r="J309" t="n">
        <v>0</v>
      </c>
      <c r="K309" t="n">
        <v>0</v>
      </c>
      <c r="L309" t="n">
        <v>0</v>
      </c>
      <c r="M309" t="n">
        <v>0</v>
      </c>
      <c r="N309" t="n">
        <v>0</v>
      </c>
      <c r="O309" t="n">
        <v>0</v>
      </c>
      <c r="P309" t="n">
        <v>0</v>
      </c>
      <c r="Q309" t="n">
        <v>0</v>
      </c>
      <c r="R309" s="2" t="inlineStr"/>
    </row>
    <row r="310" ht="15" customHeight="1">
      <c r="A310" t="inlineStr">
        <is>
          <t>A 34091-2021</t>
        </is>
      </c>
      <c r="B310" s="1" t="n">
        <v>44379</v>
      </c>
      <c r="C310" s="1" t="n">
        <v>45635</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35217-2021</t>
        </is>
      </c>
      <c r="B311" s="1" t="n">
        <v>44384</v>
      </c>
      <c r="C311" s="1" t="n">
        <v>45635</v>
      </c>
      <c r="D311" t="inlineStr">
        <is>
          <t>DALARNAS LÄN</t>
        </is>
      </c>
      <c r="E311" t="inlineStr">
        <is>
          <t>MALUNG-SÄLEN</t>
        </is>
      </c>
      <c r="G311" t="n">
        <v>0.8</v>
      </c>
      <c r="H311" t="n">
        <v>0</v>
      </c>
      <c r="I311" t="n">
        <v>0</v>
      </c>
      <c r="J311" t="n">
        <v>0</v>
      </c>
      <c r="K311" t="n">
        <v>0</v>
      </c>
      <c r="L311" t="n">
        <v>0</v>
      </c>
      <c r="M311" t="n">
        <v>0</v>
      </c>
      <c r="N311" t="n">
        <v>0</v>
      </c>
      <c r="O311" t="n">
        <v>0</v>
      </c>
      <c r="P311" t="n">
        <v>0</v>
      </c>
      <c r="Q311" t="n">
        <v>0</v>
      </c>
      <c r="R311" s="2" t="inlineStr"/>
    </row>
    <row r="312" ht="15" customHeight="1">
      <c r="A312" t="inlineStr">
        <is>
          <t>A 35378-2021</t>
        </is>
      </c>
      <c r="B312" s="1" t="n">
        <v>44385</v>
      </c>
      <c r="C312" s="1" t="n">
        <v>45635</v>
      </c>
      <c r="D312" t="inlineStr">
        <is>
          <t>DALARNAS LÄN</t>
        </is>
      </c>
      <c r="E312" t="inlineStr">
        <is>
          <t>MALUNG-SÄLEN</t>
        </is>
      </c>
      <c r="F312" t="inlineStr">
        <is>
          <t>Övriga statliga verk och myndigheter</t>
        </is>
      </c>
      <c r="G312" t="n">
        <v>5.8</v>
      </c>
      <c r="H312" t="n">
        <v>0</v>
      </c>
      <c r="I312" t="n">
        <v>0</v>
      </c>
      <c r="J312" t="n">
        <v>0</v>
      </c>
      <c r="K312" t="n">
        <v>0</v>
      </c>
      <c r="L312" t="n">
        <v>0</v>
      </c>
      <c r="M312" t="n">
        <v>0</v>
      </c>
      <c r="N312" t="n">
        <v>0</v>
      </c>
      <c r="O312" t="n">
        <v>0</v>
      </c>
      <c r="P312" t="n">
        <v>0</v>
      </c>
      <c r="Q312" t="n">
        <v>0</v>
      </c>
      <c r="R312" s="2" t="inlineStr"/>
    </row>
    <row r="313" ht="15" customHeight="1">
      <c r="A313" t="inlineStr">
        <is>
          <t>A 36340-2021</t>
        </is>
      </c>
      <c r="B313" s="1" t="n">
        <v>44390</v>
      </c>
      <c r="C313" s="1" t="n">
        <v>45635</v>
      </c>
      <c r="D313" t="inlineStr">
        <is>
          <t>DALARNAS LÄN</t>
        </is>
      </c>
      <c r="E313" t="inlineStr">
        <is>
          <t>MALUNG-SÄLEN</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36411-2021</t>
        </is>
      </c>
      <c r="B314" s="1" t="n">
        <v>44390</v>
      </c>
      <c r="C314" s="1" t="n">
        <v>45635</v>
      </c>
      <c r="D314" t="inlineStr">
        <is>
          <t>DALARNAS LÄN</t>
        </is>
      </c>
      <c r="E314" t="inlineStr">
        <is>
          <t>MALUNG-SÄLEN</t>
        </is>
      </c>
      <c r="G314" t="n">
        <v>0.4</v>
      </c>
      <c r="H314" t="n">
        <v>0</v>
      </c>
      <c r="I314" t="n">
        <v>0</v>
      </c>
      <c r="J314" t="n">
        <v>0</v>
      </c>
      <c r="K314" t="n">
        <v>0</v>
      </c>
      <c r="L314" t="n">
        <v>0</v>
      </c>
      <c r="M314" t="n">
        <v>0</v>
      </c>
      <c r="N314" t="n">
        <v>0</v>
      </c>
      <c r="O314" t="n">
        <v>0</v>
      </c>
      <c r="P314" t="n">
        <v>0</v>
      </c>
      <c r="Q314" t="n">
        <v>0</v>
      </c>
      <c r="R314" s="2" t="inlineStr"/>
    </row>
    <row r="315" ht="15" customHeight="1">
      <c r="A315" t="inlineStr">
        <is>
          <t>A 38193-2021</t>
        </is>
      </c>
      <c r="B315" s="1" t="n">
        <v>44405</v>
      </c>
      <c r="C315" s="1" t="n">
        <v>45635</v>
      </c>
      <c r="D315" t="inlineStr">
        <is>
          <t>DALARNAS LÄN</t>
        </is>
      </c>
      <c r="E315" t="inlineStr">
        <is>
          <t>MALUNG-SÄLEN</t>
        </is>
      </c>
      <c r="F315" t="inlineStr">
        <is>
          <t>Naturvårdsverket</t>
        </is>
      </c>
      <c r="G315" t="n">
        <v>7.1</v>
      </c>
      <c r="H315" t="n">
        <v>0</v>
      </c>
      <c r="I315" t="n">
        <v>0</v>
      </c>
      <c r="J315" t="n">
        <v>0</v>
      </c>
      <c r="K315" t="n">
        <v>0</v>
      </c>
      <c r="L315" t="n">
        <v>0</v>
      </c>
      <c r="M315" t="n">
        <v>0</v>
      </c>
      <c r="N315" t="n">
        <v>0</v>
      </c>
      <c r="O315" t="n">
        <v>0</v>
      </c>
      <c r="P315" t="n">
        <v>0</v>
      </c>
      <c r="Q315" t="n">
        <v>0</v>
      </c>
      <c r="R315" s="2" t="inlineStr"/>
    </row>
    <row r="316" ht="15" customHeight="1">
      <c r="A316" t="inlineStr">
        <is>
          <t>A 38204-2021</t>
        </is>
      </c>
      <c r="B316" s="1" t="n">
        <v>44405</v>
      </c>
      <c r="C316" s="1" t="n">
        <v>45635</v>
      </c>
      <c r="D316" t="inlineStr">
        <is>
          <t>DALARNAS LÄN</t>
        </is>
      </c>
      <c r="E316" t="inlineStr">
        <is>
          <t>MALUNG-SÄLEN</t>
        </is>
      </c>
      <c r="F316" t="inlineStr">
        <is>
          <t>Naturvårdsverket</t>
        </is>
      </c>
      <c r="G316" t="n">
        <v>2.5</v>
      </c>
      <c r="H316" t="n">
        <v>0</v>
      </c>
      <c r="I316" t="n">
        <v>0</v>
      </c>
      <c r="J316" t="n">
        <v>0</v>
      </c>
      <c r="K316" t="n">
        <v>0</v>
      </c>
      <c r="L316" t="n">
        <v>0</v>
      </c>
      <c r="M316" t="n">
        <v>0</v>
      </c>
      <c r="N316" t="n">
        <v>0</v>
      </c>
      <c r="O316" t="n">
        <v>0</v>
      </c>
      <c r="P316" t="n">
        <v>0</v>
      </c>
      <c r="Q316" t="n">
        <v>0</v>
      </c>
      <c r="R316" s="2" t="inlineStr"/>
    </row>
    <row r="317" ht="15" customHeight="1">
      <c r="A317" t="inlineStr">
        <is>
          <t>A 38492-2021</t>
        </is>
      </c>
      <c r="B317" s="1" t="n">
        <v>44405</v>
      </c>
      <c r="C317" s="1" t="n">
        <v>45635</v>
      </c>
      <c r="D317" t="inlineStr">
        <is>
          <t>DALARNAS LÄN</t>
        </is>
      </c>
      <c r="E317" t="inlineStr">
        <is>
          <t>MALUNG-SÄLEN</t>
        </is>
      </c>
      <c r="F317" t="inlineStr">
        <is>
          <t>Naturvårdsverket</t>
        </is>
      </c>
      <c r="G317" t="n">
        <v>5.2</v>
      </c>
      <c r="H317" t="n">
        <v>0</v>
      </c>
      <c r="I317" t="n">
        <v>0</v>
      </c>
      <c r="J317" t="n">
        <v>0</v>
      </c>
      <c r="K317" t="n">
        <v>0</v>
      </c>
      <c r="L317" t="n">
        <v>0</v>
      </c>
      <c r="M317" t="n">
        <v>0</v>
      </c>
      <c r="N317" t="n">
        <v>0</v>
      </c>
      <c r="O317" t="n">
        <v>0</v>
      </c>
      <c r="P317" t="n">
        <v>0</v>
      </c>
      <c r="Q317" t="n">
        <v>0</v>
      </c>
      <c r="R317" s="2" t="inlineStr"/>
    </row>
    <row r="318" ht="15" customHeight="1">
      <c r="A318" t="inlineStr">
        <is>
          <t>A 38833-2021</t>
        </is>
      </c>
      <c r="B318" s="1" t="n">
        <v>44411</v>
      </c>
      <c r="C318" s="1" t="n">
        <v>45635</v>
      </c>
      <c r="D318" t="inlineStr">
        <is>
          <t>DALARNAS LÄN</t>
        </is>
      </c>
      <c r="E318" t="inlineStr">
        <is>
          <t>MALUNG-SÄLEN</t>
        </is>
      </c>
      <c r="G318" t="n">
        <v>7.5</v>
      </c>
      <c r="H318" t="n">
        <v>0</v>
      </c>
      <c r="I318" t="n">
        <v>0</v>
      </c>
      <c r="J318" t="n">
        <v>0</v>
      </c>
      <c r="K318" t="n">
        <v>0</v>
      </c>
      <c r="L318" t="n">
        <v>0</v>
      </c>
      <c r="M318" t="n">
        <v>0</v>
      </c>
      <c r="N318" t="n">
        <v>0</v>
      </c>
      <c r="O318" t="n">
        <v>0</v>
      </c>
      <c r="P318" t="n">
        <v>0</v>
      </c>
      <c r="Q318" t="n">
        <v>0</v>
      </c>
      <c r="R318" s="2" t="inlineStr"/>
    </row>
    <row r="319" ht="15" customHeight="1">
      <c r="A319" t="inlineStr">
        <is>
          <t>A 40320-2021</t>
        </is>
      </c>
      <c r="B319" s="1" t="n">
        <v>44419</v>
      </c>
      <c r="C319" s="1" t="n">
        <v>45635</v>
      </c>
      <c r="D319" t="inlineStr">
        <is>
          <t>DALARNAS LÄN</t>
        </is>
      </c>
      <c r="E319" t="inlineStr">
        <is>
          <t>MALUNG-SÄLEN</t>
        </is>
      </c>
      <c r="G319" t="n">
        <v>0.1</v>
      </c>
      <c r="H319" t="n">
        <v>0</v>
      </c>
      <c r="I319" t="n">
        <v>0</v>
      </c>
      <c r="J319" t="n">
        <v>0</v>
      </c>
      <c r="K319" t="n">
        <v>0</v>
      </c>
      <c r="L319" t="n">
        <v>0</v>
      </c>
      <c r="M319" t="n">
        <v>0</v>
      </c>
      <c r="N319" t="n">
        <v>0</v>
      </c>
      <c r="O319" t="n">
        <v>0</v>
      </c>
      <c r="P319" t="n">
        <v>0</v>
      </c>
      <c r="Q319" t="n">
        <v>0</v>
      </c>
      <c r="R319" s="2" t="inlineStr"/>
    </row>
    <row r="320" ht="15" customHeight="1">
      <c r="A320" t="inlineStr">
        <is>
          <t>A 41194-2021</t>
        </is>
      </c>
      <c r="B320" s="1" t="n">
        <v>44424</v>
      </c>
      <c r="C320" s="1" t="n">
        <v>45635</v>
      </c>
      <c r="D320" t="inlineStr">
        <is>
          <t>DALARNAS LÄN</t>
        </is>
      </c>
      <c r="E320" t="inlineStr">
        <is>
          <t>MALUNG-SÄLEN</t>
        </is>
      </c>
      <c r="G320" t="n">
        <v>7.4</v>
      </c>
      <c r="H320" t="n">
        <v>0</v>
      </c>
      <c r="I320" t="n">
        <v>0</v>
      </c>
      <c r="J320" t="n">
        <v>0</v>
      </c>
      <c r="K320" t="n">
        <v>0</v>
      </c>
      <c r="L320" t="n">
        <v>0</v>
      </c>
      <c r="M320" t="n">
        <v>0</v>
      </c>
      <c r="N320" t="n">
        <v>0</v>
      </c>
      <c r="O320" t="n">
        <v>0</v>
      </c>
      <c r="P320" t="n">
        <v>0</v>
      </c>
      <c r="Q320" t="n">
        <v>0</v>
      </c>
      <c r="R320" s="2" t="inlineStr"/>
    </row>
    <row r="321" ht="15" customHeight="1">
      <c r="A321" t="inlineStr">
        <is>
          <t>A 41200-2021</t>
        </is>
      </c>
      <c r="B321" s="1" t="n">
        <v>44424</v>
      </c>
      <c r="C321" s="1" t="n">
        <v>45635</v>
      </c>
      <c r="D321" t="inlineStr">
        <is>
          <t>DALARNAS LÄN</t>
        </is>
      </c>
      <c r="E321" t="inlineStr">
        <is>
          <t>MALUNG-SÄLEN</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41238-2021</t>
        </is>
      </c>
      <c r="B322" s="1" t="n">
        <v>44424</v>
      </c>
      <c r="C322" s="1" t="n">
        <v>45635</v>
      </c>
      <c r="D322" t="inlineStr">
        <is>
          <t>DALARNAS LÄN</t>
        </is>
      </c>
      <c r="E322" t="inlineStr">
        <is>
          <t>MALUNG-SÄLEN</t>
        </is>
      </c>
      <c r="F322" t="inlineStr">
        <is>
          <t>Bergvik skog öst AB</t>
        </is>
      </c>
      <c r="G322" t="n">
        <v>3</v>
      </c>
      <c r="H322" t="n">
        <v>0</v>
      </c>
      <c r="I322" t="n">
        <v>0</v>
      </c>
      <c r="J322" t="n">
        <v>0</v>
      </c>
      <c r="K322" t="n">
        <v>0</v>
      </c>
      <c r="L322" t="n">
        <v>0</v>
      </c>
      <c r="M322" t="n">
        <v>0</v>
      </c>
      <c r="N322" t="n">
        <v>0</v>
      </c>
      <c r="O322" t="n">
        <v>0</v>
      </c>
      <c r="P322" t="n">
        <v>0</v>
      </c>
      <c r="Q322" t="n">
        <v>0</v>
      </c>
      <c r="R322" s="2" t="inlineStr"/>
    </row>
    <row r="323" ht="15" customHeight="1">
      <c r="A323" t="inlineStr">
        <is>
          <t>A 41950-2021</t>
        </is>
      </c>
      <c r="B323" s="1" t="n">
        <v>44426</v>
      </c>
      <c r="C323" s="1" t="n">
        <v>45635</v>
      </c>
      <c r="D323" t="inlineStr">
        <is>
          <t>DALARNAS LÄN</t>
        </is>
      </c>
      <c r="E323" t="inlineStr">
        <is>
          <t>MALUNG-SÄLEN</t>
        </is>
      </c>
      <c r="G323" t="n">
        <v>0.5</v>
      </c>
      <c r="H323" t="n">
        <v>0</v>
      </c>
      <c r="I323" t="n">
        <v>0</v>
      </c>
      <c r="J323" t="n">
        <v>0</v>
      </c>
      <c r="K323" t="n">
        <v>0</v>
      </c>
      <c r="L323" t="n">
        <v>0</v>
      </c>
      <c r="M323" t="n">
        <v>0</v>
      </c>
      <c r="N323" t="n">
        <v>0</v>
      </c>
      <c r="O323" t="n">
        <v>0</v>
      </c>
      <c r="P323" t="n">
        <v>0</v>
      </c>
      <c r="Q323" t="n">
        <v>0</v>
      </c>
      <c r="R323" s="2" t="inlineStr"/>
    </row>
    <row r="324" ht="15" customHeight="1">
      <c r="A324" t="inlineStr">
        <is>
          <t>A 43672-2021</t>
        </is>
      </c>
      <c r="B324" s="1" t="n">
        <v>44433</v>
      </c>
      <c r="C324" s="1" t="n">
        <v>45635</v>
      </c>
      <c r="D324" t="inlineStr">
        <is>
          <t>DALARNAS LÄN</t>
        </is>
      </c>
      <c r="E324" t="inlineStr">
        <is>
          <t>MALUNG-SÄLEN</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44505-2021</t>
        </is>
      </c>
      <c r="B325" s="1" t="n">
        <v>44435</v>
      </c>
      <c r="C325" s="1" t="n">
        <v>45635</v>
      </c>
      <c r="D325" t="inlineStr">
        <is>
          <t>DALARNAS LÄN</t>
        </is>
      </c>
      <c r="E325" t="inlineStr">
        <is>
          <t>MALUNG-SÄLEN</t>
        </is>
      </c>
      <c r="G325" t="n">
        <v>0.3</v>
      </c>
      <c r="H325" t="n">
        <v>0</v>
      </c>
      <c r="I325" t="n">
        <v>0</v>
      </c>
      <c r="J325" t="n">
        <v>0</v>
      </c>
      <c r="K325" t="n">
        <v>0</v>
      </c>
      <c r="L325" t="n">
        <v>0</v>
      </c>
      <c r="M325" t="n">
        <v>0</v>
      </c>
      <c r="N325" t="n">
        <v>0</v>
      </c>
      <c r="O325" t="n">
        <v>0</v>
      </c>
      <c r="P325" t="n">
        <v>0</v>
      </c>
      <c r="Q325" t="n">
        <v>0</v>
      </c>
      <c r="R325" s="2" t="inlineStr"/>
    </row>
    <row r="326" ht="15" customHeight="1">
      <c r="A326" t="inlineStr">
        <is>
          <t>A 44860-2021</t>
        </is>
      </c>
      <c r="B326" s="1" t="n">
        <v>44438</v>
      </c>
      <c r="C326" s="1" t="n">
        <v>45635</v>
      </c>
      <c r="D326" t="inlineStr">
        <is>
          <t>DALARNAS LÄN</t>
        </is>
      </c>
      <c r="E326" t="inlineStr">
        <is>
          <t>MALUNG-SÄLEN</t>
        </is>
      </c>
      <c r="G326" t="n">
        <v>14.9</v>
      </c>
      <c r="H326" t="n">
        <v>0</v>
      </c>
      <c r="I326" t="n">
        <v>0</v>
      </c>
      <c r="J326" t="n">
        <v>0</v>
      </c>
      <c r="K326" t="n">
        <v>0</v>
      </c>
      <c r="L326" t="n">
        <v>0</v>
      </c>
      <c r="M326" t="n">
        <v>0</v>
      </c>
      <c r="N326" t="n">
        <v>0</v>
      </c>
      <c r="O326" t="n">
        <v>0</v>
      </c>
      <c r="P326" t="n">
        <v>0</v>
      </c>
      <c r="Q326" t="n">
        <v>0</v>
      </c>
      <c r="R326" s="2" t="inlineStr"/>
    </row>
    <row r="327" ht="15" customHeight="1">
      <c r="A327" t="inlineStr">
        <is>
          <t>A 44946-2021</t>
        </is>
      </c>
      <c r="B327" s="1" t="n">
        <v>44438</v>
      </c>
      <c r="C327" s="1" t="n">
        <v>45635</v>
      </c>
      <c r="D327" t="inlineStr">
        <is>
          <t>DALARNAS LÄN</t>
        </is>
      </c>
      <c r="E327" t="inlineStr">
        <is>
          <t>MALUNG-SÄLEN</t>
        </is>
      </c>
      <c r="G327" t="n">
        <v>2</v>
      </c>
      <c r="H327" t="n">
        <v>0</v>
      </c>
      <c r="I327" t="n">
        <v>0</v>
      </c>
      <c r="J327" t="n">
        <v>0</v>
      </c>
      <c r="K327" t="n">
        <v>0</v>
      </c>
      <c r="L327" t="n">
        <v>0</v>
      </c>
      <c r="M327" t="n">
        <v>0</v>
      </c>
      <c r="N327" t="n">
        <v>0</v>
      </c>
      <c r="O327" t="n">
        <v>0</v>
      </c>
      <c r="P327" t="n">
        <v>0</v>
      </c>
      <c r="Q327" t="n">
        <v>0</v>
      </c>
      <c r="R327" s="2" t="inlineStr"/>
    </row>
    <row r="328" ht="15" customHeight="1">
      <c r="A328" t="inlineStr">
        <is>
          <t>A 44867-2021</t>
        </is>
      </c>
      <c r="B328" s="1" t="n">
        <v>44438</v>
      </c>
      <c r="C328" s="1" t="n">
        <v>45635</v>
      </c>
      <c r="D328" t="inlineStr">
        <is>
          <t>DALARNAS LÄN</t>
        </is>
      </c>
      <c r="E328" t="inlineStr">
        <is>
          <t>MALUNG-SÄLEN</t>
        </is>
      </c>
      <c r="G328" t="n">
        <v>12.6</v>
      </c>
      <c r="H328" t="n">
        <v>0</v>
      </c>
      <c r="I328" t="n">
        <v>0</v>
      </c>
      <c r="J328" t="n">
        <v>0</v>
      </c>
      <c r="K328" t="n">
        <v>0</v>
      </c>
      <c r="L328" t="n">
        <v>0</v>
      </c>
      <c r="M328" t="n">
        <v>0</v>
      </c>
      <c r="N328" t="n">
        <v>0</v>
      </c>
      <c r="O328" t="n">
        <v>0</v>
      </c>
      <c r="P328" t="n">
        <v>0</v>
      </c>
      <c r="Q328" t="n">
        <v>0</v>
      </c>
      <c r="R328" s="2" t="inlineStr"/>
    </row>
    <row r="329" ht="15" customHeight="1">
      <c r="A329" t="inlineStr">
        <is>
          <t>A 45195-2021</t>
        </is>
      </c>
      <c r="B329" s="1" t="n">
        <v>44439</v>
      </c>
      <c r="C329" s="1" t="n">
        <v>45635</v>
      </c>
      <c r="D329" t="inlineStr">
        <is>
          <t>DALARNAS LÄN</t>
        </is>
      </c>
      <c r="E329" t="inlineStr">
        <is>
          <t>MALUNG-SÄLEN</t>
        </is>
      </c>
      <c r="G329" t="n">
        <v>1.7</v>
      </c>
      <c r="H329" t="n">
        <v>0</v>
      </c>
      <c r="I329" t="n">
        <v>0</v>
      </c>
      <c r="J329" t="n">
        <v>0</v>
      </c>
      <c r="K329" t="n">
        <v>0</v>
      </c>
      <c r="L329" t="n">
        <v>0</v>
      </c>
      <c r="M329" t="n">
        <v>0</v>
      </c>
      <c r="N329" t="n">
        <v>0</v>
      </c>
      <c r="O329" t="n">
        <v>0</v>
      </c>
      <c r="P329" t="n">
        <v>0</v>
      </c>
      <c r="Q329" t="n">
        <v>0</v>
      </c>
      <c r="R329" s="2" t="inlineStr"/>
    </row>
    <row r="330" ht="15" customHeight="1">
      <c r="A330" t="inlineStr">
        <is>
          <t>A 45586-2021</t>
        </is>
      </c>
      <c r="B330" s="1" t="n">
        <v>44440</v>
      </c>
      <c r="C330" s="1" t="n">
        <v>45635</v>
      </c>
      <c r="D330" t="inlineStr">
        <is>
          <t>DALARNAS LÄN</t>
        </is>
      </c>
      <c r="E330" t="inlineStr">
        <is>
          <t>MALUNG-SÄLEN</t>
        </is>
      </c>
      <c r="F330" t="inlineStr">
        <is>
          <t>Bergvik skog öst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45440-2021</t>
        </is>
      </c>
      <c r="B331" s="1" t="n">
        <v>44440</v>
      </c>
      <c r="C331" s="1" t="n">
        <v>45635</v>
      </c>
      <c r="D331" t="inlineStr">
        <is>
          <t>DALARNAS LÄN</t>
        </is>
      </c>
      <c r="E331" t="inlineStr">
        <is>
          <t>MALUNG-SÄLEN</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47386-2021</t>
        </is>
      </c>
      <c r="B332" s="1" t="n">
        <v>44442</v>
      </c>
      <c r="C332" s="1" t="n">
        <v>45635</v>
      </c>
      <c r="D332" t="inlineStr">
        <is>
          <t>DALARNAS LÄN</t>
        </is>
      </c>
      <c r="E332" t="inlineStr">
        <is>
          <t>MALUNG-SÄLEN</t>
        </is>
      </c>
      <c r="G332" t="n">
        <v>4.3</v>
      </c>
      <c r="H332" t="n">
        <v>0</v>
      </c>
      <c r="I332" t="n">
        <v>0</v>
      </c>
      <c r="J332" t="n">
        <v>0</v>
      </c>
      <c r="K332" t="n">
        <v>0</v>
      </c>
      <c r="L332" t="n">
        <v>0</v>
      </c>
      <c r="M332" t="n">
        <v>0</v>
      </c>
      <c r="N332" t="n">
        <v>0</v>
      </c>
      <c r="O332" t="n">
        <v>0</v>
      </c>
      <c r="P332" t="n">
        <v>0</v>
      </c>
      <c r="Q332" t="n">
        <v>0</v>
      </c>
      <c r="R332" s="2" t="inlineStr"/>
    </row>
    <row r="333" ht="15" customHeight="1">
      <c r="A333" t="inlineStr">
        <is>
          <t>A 46604-2021</t>
        </is>
      </c>
      <c r="B333" s="1" t="n">
        <v>44445</v>
      </c>
      <c r="C333" s="1" t="n">
        <v>45635</v>
      </c>
      <c r="D333" t="inlineStr">
        <is>
          <t>DALARNAS LÄN</t>
        </is>
      </c>
      <c r="E333" t="inlineStr">
        <is>
          <t>MALUNG-SÄLEN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46820-2021</t>
        </is>
      </c>
      <c r="B334" s="1" t="n">
        <v>44445</v>
      </c>
      <c r="C334" s="1" t="n">
        <v>45635</v>
      </c>
      <c r="D334" t="inlineStr">
        <is>
          <t>DALARNAS LÄN</t>
        </is>
      </c>
      <c r="E334" t="inlineStr">
        <is>
          <t>MALUNG-SÄLEN</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46850-2021</t>
        </is>
      </c>
      <c r="B335" s="1" t="n">
        <v>44445</v>
      </c>
      <c r="C335" s="1" t="n">
        <v>45635</v>
      </c>
      <c r="D335" t="inlineStr">
        <is>
          <t>DALARNAS LÄN</t>
        </is>
      </c>
      <c r="E335" t="inlineStr">
        <is>
          <t>MALUNG-SÄLEN</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46809-2021</t>
        </is>
      </c>
      <c r="B336" s="1" t="n">
        <v>44445</v>
      </c>
      <c r="C336" s="1" t="n">
        <v>45635</v>
      </c>
      <c r="D336" t="inlineStr">
        <is>
          <t>DALARNAS LÄN</t>
        </is>
      </c>
      <c r="E336" t="inlineStr">
        <is>
          <t>MALUNG-SÄLEN</t>
        </is>
      </c>
      <c r="F336" t="inlineStr">
        <is>
          <t>Allmännings- och besparingsskogar</t>
        </is>
      </c>
      <c r="G336" t="n">
        <v>18.7</v>
      </c>
      <c r="H336" t="n">
        <v>0</v>
      </c>
      <c r="I336" t="n">
        <v>0</v>
      </c>
      <c r="J336" t="n">
        <v>0</v>
      </c>
      <c r="K336" t="n">
        <v>0</v>
      </c>
      <c r="L336" t="n">
        <v>0</v>
      </c>
      <c r="M336" t="n">
        <v>0</v>
      </c>
      <c r="N336" t="n">
        <v>0</v>
      </c>
      <c r="O336" t="n">
        <v>0</v>
      </c>
      <c r="P336" t="n">
        <v>0</v>
      </c>
      <c r="Q336" t="n">
        <v>0</v>
      </c>
      <c r="R336" s="2" t="inlineStr"/>
    </row>
    <row r="337" ht="15" customHeight="1">
      <c r="A337" t="inlineStr">
        <is>
          <t>A 46823-2021</t>
        </is>
      </c>
      <c r="B337" s="1" t="n">
        <v>44445</v>
      </c>
      <c r="C337" s="1" t="n">
        <v>45635</v>
      </c>
      <c r="D337" t="inlineStr">
        <is>
          <t>DALARNAS LÄN</t>
        </is>
      </c>
      <c r="E337" t="inlineStr">
        <is>
          <t>MALUNG-SÄLEN</t>
        </is>
      </c>
      <c r="F337" t="inlineStr">
        <is>
          <t>Allmännings- och besparingsskogar</t>
        </is>
      </c>
      <c r="G337" t="n">
        <v>26.2</v>
      </c>
      <c r="H337" t="n">
        <v>0</v>
      </c>
      <c r="I337" t="n">
        <v>0</v>
      </c>
      <c r="J337" t="n">
        <v>0</v>
      </c>
      <c r="K337" t="n">
        <v>0</v>
      </c>
      <c r="L337" t="n">
        <v>0</v>
      </c>
      <c r="M337" t="n">
        <v>0</v>
      </c>
      <c r="N337" t="n">
        <v>0</v>
      </c>
      <c r="O337" t="n">
        <v>0</v>
      </c>
      <c r="P337" t="n">
        <v>0</v>
      </c>
      <c r="Q337" t="n">
        <v>0</v>
      </c>
      <c r="R337" s="2" t="inlineStr"/>
    </row>
    <row r="338" ht="15" customHeight="1">
      <c r="A338" t="inlineStr">
        <is>
          <t>A 46845-2021</t>
        </is>
      </c>
      <c r="B338" s="1" t="n">
        <v>44445</v>
      </c>
      <c r="C338" s="1" t="n">
        <v>45635</v>
      </c>
      <c r="D338" t="inlineStr">
        <is>
          <t>DALARNAS LÄN</t>
        </is>
      </c>
      <c r="E338" t="inlineStr">
        <is>
          <t>MALUNG-SÄLEN</t>
        </is>
      </c>
      <c r="F338" t="inlineStr">
        <is>
          <t>Allmännings- och besparingsskogar</t>
        </is>
      </c>
      <c r="G338" t="n">
        <v>15.4</v>
      </c>
      <c r="H338" t="n">
        <v>0</v>
      </c>
      <c r="I338" t="n">
        <v>0</v>
      </c>
      <c r="J338" t="n">
        <v>0</v>
      </c>
      <c r="K338" t="n">
        <v>0</v>
      </c>
      <c r="L338" t="n">
        <v>0</v>
      </c>
      <c r="M338" t="n">
        <v>0</v>
      </c>
      <c r="N338" t="n">
        <v>0</v>
      </c>
      <c r="O338" t="n">
        <v>0</v>
      </c>
      <c r="P338" t="n">
        <v>0</v>
      </c>
      <c r="Q338" t="n">
        <v>0</v>
      </c>
      <c r="R338" s="2" t="inlineStr"/>
    </row>
    <row r="339" ht="15" customHeight="1">
      <c r="A339" t="inlineStr">
        <is>
          <t>A 47412-2021</t>
        </is>
      </c>
      <c r="B339" s="1" t="n">
        <v>44447</v>
      </c>
      <c r="C339" s="1" t="n">
        <v>45635</v>
      </c>
      <c r="D339" t="inlineStr">
        <is>
          <t>DALARNAS LÄN</t>
        </is>
      </c>
      <c r="E339" t="inlineStr">
        <is>
          <t>MALUNG-SÄLEN</t>
        </is>
      </c>
      <c r="G339" t="n">
        <v>0.4</v>
      </c>
      <c r="H339" t="n">
        <v>0</v>
      </c>
      <c r="I339" t="n">
        <v>0</v>
      </c>
      <c r="J339" t="n">
        <v>0</v>
      </c>
      <c r="K339" t="n">
        <v>0</v>
      </c>
      <c r="L339" t="n">
        <v>0</v>
      </c>
      <c r="M339" t="n">
        <v>0</v>
      </c>
      <c r="N339" t="n">
        <v>0</v>
      </c>
      <c r="O339" t="n">
        <v>0</v>
      </c>
      <c r="P339" t="n">
        <v>0</v>
      </c>
      <c r="Q339" t="n">
        <v>0</v>
      </c>
      <c r="R339" s="2" t="inlineStr"/>
    </row>
    <row r="340" ht="15" customHeight="1">
      <c r="A340" t="inlineStr">
        <is>
          <t>A 47423-2021</t>
        </is>
      </c>
      <c r="B340" s="1" t="n">
        <v>44447</v>
      </c>
      <c r="C340" s="1" t="n">
        <v>45635</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47419-2021</t>
        </is>
      </c>
      <c r="B341" s="1" t="n">
        <v>44447</v>
      </c>
      <c r="C341" s="1" t="n">
        <v>45635</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49798-2021</t>
        </is>
      </c>
      <c r="B342" s="1" t="n">
        <v>44455</v>
      </c>
      <c r="C342" s="1" t="n">
        <v>45635</v>
      </c>
      <c r="D342" t="inlineStr">
        <is>
          <t>DALARNAS LÄN</t>
        </is>
      </c>
      <c r="E342" t="inlineStr">
        <is>
          <t>MALUNG-SÄLEN</t>
        </is>
      </c>
      <c r="G342" t="n">
        <v>6</v>
      </c>
      <c r="H342" t="n">
        <v>0</v>
      </c>
      <c r="I342" t="n">
        <v>0</v>
      </c>
      <c r="J342" t="n">
        <v>0</v>
      </c>
      <c r="K342" t="n">
        <v>0</v>
      </c>
      <c r="L342" t="n">
        <v>0</v>
      </c>
      <c r="M342" t="n">
        <v>0</v>
      </c>
      <c r="N342" t="n">
        <v>0</v>
      </c>
      <c r="O342" t="n">
        <v>0</v>
      </c>
      <c r="P342" t="n">
        <v>0</v>
      </c>
      <c r="Q342" t="n">
        <v>0</v>
      </c>
      <c r="R342" s="2" t="inlineStr"/>
    </row>
    <row r="343" ht="15" customHeight="1">
      <c r="A343" t="inlineStr">
        <is>
          <t>A 50881-2021</t>
        </is>
      </c>
      <c r="B343" s="1" t="n">
        <v>44460</v>
      </c>
      <c r="C343" s="1" t="n">
        <v>45635</v>
      </c>
      <c r="D343" t="inlineStr">
        <is>
          <t>DALARNAS LÄN</t>
        </is>
      </c>
      <c r="E343" t="inlineStr">
        <is>
          <t>MALUNG-SÄLEN</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51533-2021</t>
        </is>
      </c>
      <c r="B344" s="1" t="n">
        <v>44462</v>
      </c>
      <c r="C344" s="1" t="n">
        <v>45635</v>
      </c>
      <c r="D344" t="inlineStr">
        <is>
          <t>DALARNAS LÄN</t>
        </is>
      </c>
      <c r="E344" t="inlineStr">
        <is>
          <t>MALUNG-SÄLEN</t>
        </is>
      </c>
      <c r="G344" t="n">
        <v>6.6</v>
      </c>
      <c r="H344" t="n">
        <v>0</v>
      </c>
      <c r="I344" t="n">
        <v>0</v>
      </c>
      <c r="J344" t="n">
        <v>0</v>
      </c>
      <c r="K344" t="n">
        <v>0</v>
      </c>
      <c r="L344" t="n">
        <v>0</v>
      </c>
      <c r="M344" t="n">
        <v>0</v>
      </c>
      <c r="N344" t="n">
        <v>0</v>
      </c>
      <c r="O344" t="n">
        <v>0</v>
      </c>
      <c r="P344" t="n">
        <v>0</v>
      </c>
      <c r="Q344" t="n">
        <v>0</v>
      </c>
      <c r="R344" s="2" t="inlineStr"/>
    </row>
    <row r="345" ht="15" customHeight="1">
      <c r="A345" t="inlineStr">
        <is>
          <t>A 52071-2021</t>
        </is>
      </c>
      <c r="B345" s="1" t="n">
        <v>44462</v>
      </c>
      <c r="C345" s="1" t="n">
        <v>45635</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52100-2021</t>
        </is>
      </c>
      <c r="B346" s="1" t="n">
        <v>44462</v>
      </c>
      <c r="C346" s="1" t="n">
        <v>45635</v>
      </c>
      <c r="D346" t="inlineStr">
        <is>
          <t>DALARNAS LÄN</t>
        </is>
      </c>
      <c r="E346" t="inlineStr">
        <is>
          <t>MALUNG-SÄLEN</t>
        </is>
      </c>
      <c r="G346" t="n">
        <v>1.3</v>
      </c>
      <c r="H346" t="n">
        <v>0</v>
      </c>
      <c r="I346" t="n">
        <v>0</v>
      </c>
      <c r="J346" t="n">
        <v>0</v>
      </c>
      <c r="K346" t="n">
        <v>0</v>
      </c>
      <c r="L346" t="n">
        <v>0</v>
      </c>
      <c r="M346" t="n">
        <v>0</v>
      </c>
      <c r="N346" t="n">
        <v>0</v>
      </c>
      <c r="O346" t="n">
        <v>0</v>
      </c>
      <c r="P346" t="n">
        <v>0</v>
      </c>
      <c r="Q346" t="n">
        <v>0</v>
      </c>
      <c r="R346" s="2" t="inlineStr"/>
    </row>
    <row r="347" ht="15" customHeight="1">
      <c r="A347" t="inlineStr">
        <is>
          <t>A 53210-2021</t>
        </is>
      </c>
      <c r="B347" s="1" t="n">
        <v>44468</v>
      </c>
      <c r="C347" s="1" t="n">
        <v>45635</v>
      </c>
      <c r="D347" t="inlineStr">
        <is>
          <t>DALARNAS LÄN</t>
        </is>
      </c>
      <c r="E347" t="inlineStr">
        <is>
          <t>MALUNG-SÄLEN</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54219-2021</t>
        </is>
      </c>
      <c r="B348" s="1" t="n">
        <v>44469</v>
      </c>
      <c r="C348" s="1" t="n">
        <v>45635</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54551-2021</t>
        </is>
      </c>
      <c r="B349" s="1" t="n">
        <v>44473</v>
      </c>
      <c r="C349" s="1" t="n">
        <v>45635</v>
      </c>
      <c r="D349" t="inlineStr">
        <is>
          <t>DALARNAS LÄN</t>
        </is>
      </c>
      <c r="E349" t="inlineStr">
        <is>
          <t>MALUNG-SÄLEN</t>
        </is>
      </c>
      <c r="G349" t="n">
        <v>0.3</v>
      </c>
      <c r="H349" t="n">
        <v>0</v>
      </c>
      <c r="I349" t="n">
        <v>0</v>
      </c>
      <c r="J349" t="n">
        <v>0</v>
      </c>
      <c r="K349" t="n">
        <v>0</v>
      </c>
      <c r="L349" t="n">
        <v>0</v>
      </c>
      <c r="M349" t="n">
        <v>0</v>
      </c>
      <c r="N349" t="n">
        <v>0</v>
      </c>
      <c r="O349" t="n">
        <v>0</v>
      </c>
      <c r="P349" t="n">
        <v>0</v>
      </c>
      <c r="Q349" t="n">
        <v>0</v>
      </c>
      <c r="R349" s="2" t="inlineStr"/>
    </row>
    <row r="350" ht="15" customHeight="1">
      <c r="A350" t="inlineStr">
        <is>
          <t>A 55514-2021</t>
        </is>
      </c>
      <c r="B350" s="1" t="n">
        <v>44475</v>
      </c>
      <c r="C350" s="1" t="n">
        <v>45635</v>
      </c>
      <c r="D350" t="inlineStr">
        <is>
          <t>DALARNAS LÄN</t>
        </is>
      </c>
      <c r="E350" t="inlineStr">
        <is>
          <t>MALUNG-SÄLEN</t>
        </is>
      </c>
      <c r="G350" t="n">
        <v>4</v>
      </c>
      <c r="H350" t="n">
        <v>0</v>
      </c>
      <c r="I350" t="n">
        <v>0</v>
      </c>
      <c r="J350" t="n">
        <v>0</v>
      </c>
      <c r="K350" t="n">
        <v>0</v>
      </c>
      <c r="L350" t="n">
        <v>0</v>
      </c>
      <c r="M350" t="n">
        <v>0</v>
      </c>
      <c r="N350" t="n">
        <v>0</v>
      </c>
      <c r="O350" t="n">
        <v>0</v>
      </c>
      <c r="P350" t="n">
        <v>0</v>
      </c>
      <c r="Q350" t="n">
        <v>0</v>
      </c>
      <c r="R350" s="2" t="inlineStr"/>
    </row>
    <row r="351" ht="15" customHeight="1">
      <c r="A351" t="inlineStr">
        <is>
          <t>A 55971-2021</t>
        </is>
      </c>
      <c r="B351" s="1" t="n">
        <v>44477</v>
      </c>
      <c r="C351" s="1" t="n">
        <v>45635</v>
      </c>
      <c r="D351" t="inlineStr">
        <is>
          <t>DALARNAS LÄN</t>
        </is>
      </c>
      <c r="E351" t="inlineStr">
        <is>
          <t>MALUNG-SÄLEN</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58899-2021</t>
        </is>
      </c>
      <c r="B352" s="1" t="n">
        <v>44489</v>
      </c>
      <c r="C352" s="1" t="n">
        <v>45635</v>
      </c>
      <c r="D352" t="inlineStr">
        <is>
          <t>DALARNAS LÄN</t>
        </is>
      </c>
      <c r="E352" t="inlineStr">
        <is>
          <t>MALUNG-SÄLEN</t>
        </is>
      </c>
      <c r="G352" t="n">
        <v>3.2</v>
      </c>
      <c r="H352" t="n">
        <v>0</v>
      </c>
      <c r="I352" t="n">
        <v>0</v>
      </c>
      <c r="J352" t="n">
        <v>0</v>
      </c>
      <c r="K352" t="n">
        <v>0</v>
      </c>
      <c r="L352" t="n">
        <v>0</v>
      </c>
      <c r="M352" t="n">
        <v>0</v>
      </c>
      <c r="N352" t="n">
        <v>0</v>
      </c>
      <c r="O352" t="n">
        <v>0</v>
      </c>
      <c r="P352" t="n">
        <v>0</v>
      </c>
      <c r="Q352" t="n">
        <v>0</v>
      </c>
      <c r="R352" s="2" t="inlineStr"/>
    </row>
    <row r="353" ht="15" customHeight="1">
      <c r="A353" t="inlineStr">
        <is>
          <t>A 59424-2021</t>
        </is>
      </c>
      <c r="B353" s="1" t="n">
        <v>44491</v>
      </c>
      <c r="C353" s="1" t="n">
        <v>45635</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59725-2021</t>
        </is>
      </c>
      <c r="B354" s="1" t="n">
        <v>44494</v>
      </c>
      <c r="C354" s="1" t="n">
        <v>45635</v>
      </c>
      <c r="D354" t="inlineStr">
        <is>
          <t>DALARNAS LÄN</t>
        </is>
      </c>
      <c r="E354" t="inlineStr">
        <is>
          <t>MALUNG-SÄLEN</t>
        </is>
      </c>
      <c r="F354" t="inlineStr">
        <is>
          <t>Kommuner</t>
        </is>
      </c>
      <c r="G354" t="n">
        <v>3.5</v>
      </c>
      <c r="H354" t="n">
        <v>0</v>
      </c>
      <c r="I354" t="n">
        <v>0</v>
      </c>
      <c r="J354" t="n">
        <v>0</v>
      </c>
      <c r="K354" t="n">
        <v>0</v>
      </c>
      <c r="L354" t="n">
        <v>0</v>
      </c>
      <c r="M354" t="n">
        <v>0</v>
      </c>
      <c r="N354" t="n">
        <v>0</v>
      </c>
      <c r="O354" t="n">
        <v>0</v>
      </c>
      <c r="P354" t="n">
        <v>0</v>
      </c>
      <c r="Q354" t="n">
        <v>0</v>
      </c>
      <c r="R354" s="2" t="inlineStr"/>
    </row>
    <row r="355" ht="15" customHeight="1">
      <c r="A355" t="inlineStr">
        <is>
          <t>A 60230-2021</t>
        </is>
      </c>
      <c r="B355" s="1" t="n">
        <v>44495</v>
      </c>
      <c r="C355" s="1" t="n">
        <v>45635</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60962-2021</t>
        </is>
      </c>
      <c r="B356" s="1" t="n">
        <v>44497</v>
      </c>
      <c r="C356" s="1" t="n">
        <v>45635</v>
      </c>
      <c r="D356" t="inlineStr">
        <is>
          <t>DALARNAS LÄN</t>
        </is>
      </c>
      <c r="E356" t="inlineStr">
        <is>
          <t>MALUNG-SÄLEN</t>
        </is>
      </c>
      <c r="F356" t="inlineStr">
        <is>
          <t>Bergvik skog öst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61978-2021</t>
        </is>
      </c>
      <c r="B357" s="1" t="n">
        <v>44501</v>
      </c>
      <c r="C357" s="1" t="n">
        <v>45635</v>
      </c>
      <c r="D357" t="inlineStr">
        <is>
          <t>DALARNAS LÄN</t>
        </is>
      </c>
      <c r="E357" t="inlineStr">
        <is>
          <t>MALUNG-SÄLEN</t>
        </is>
      </c>
      <c r="F357" t="inlineStr">
        <is>
          <t>Allmännings- och besparingsskogar</t>
        </is>
      </c>
      <c r="G357" t="n">
        <v>29</v>
      </c>
      <c r="H357" t="n">
        <v>0</v>
      </c>
      <c r="I357" t="n">
        <v>0</v>
      </c>
      <c r="J357" t="n">
        <v>0</v>
      </c>
      <c r="K357" t="n">
        <v>0</v>
      </c>
      <c r="L357" t="n">
        <v>0</v>
      </c>
      <c r="M357" t="n">
        <v>0</v>
      </c>
      <c r="N357" t="n">
        <v>0</v>
      </c>
      <c r="O357" t="n">
        <v>0</v>
      </c>
      <c r="P357" t="n">
        <v>0</v>
      </c>
      <c r="Q357" t="n">
        <v>0</v>
      </c>
      <c r="R357" s="2" t="inlineStr"/>
    </row>
    <row r="358" ht="15" customHeight="1">
      <c r="A358" t="inlineStr">
        <is>
          <t>A 61974-2021</t>
        </is>
      </c>
      <c r="B358" s="1" t="n">
        <v>44501</v>
      </c>
      <c r="C358" s="1" t="n">
        <v>45635</v>
      </c>
      <c r="D358" t="inlineStr">
        <is>
          <t>DALARNAS LÄN</t>
        </is>
      </c>
      <c r="E358" t="inlineStr">
        <is>
          <t>MALUNG-SÄLEN</t>
        </is>
      </c>
      <c r="F358" t="inlineStr">
        <is>
          <t>Allmännings- och besparingsskogar</t>
        </is>
      </c>
      <c r="G358" t="n">
        <v>12.5</v>
      </c>
      <c r="H358" t="n">
        <v>0</v>
      </c>
      <c r="I358" t="n">
        <v>0</v>
      </c>
      <c r="J358" t="n">
        <v>0</v>
      </c>
      <c r="K358" t="n">
        <v>0</v>
      </c>
      <c r="L358" t="n">
        <v>0</v>
      </c>
      <c r="M358" t="n">
        <v>0</v>
      </c>
      <c r="N358" t="n">
        <v>0</v>
      </c>
      <c r="O358" t="n">
        <v>0</v>
      </c>
      <c r="P358" t="n">
        <v>0</v>
      </c>
      <c r="Q358" t="n">
        <v>0</v>
      </c>
      <c r="R358" s="2" t="inlineStr"/>
    </row>
    <row r="359" ht="15" customHeight="1">
      <c r="A359" t="inlineStr">
        <is>
          <t>A 61969-2021</t>
        </is>
      </c>
      <c r="B359" s="1" t="n">
        <v>44501</v>
      </c>
      <c r="C359" s="1" t="n">
        <v>45635</v>
      </c>
      <c r="D359" t="inlineStr">
        <is>
          <t>DALARNAS LÄN</t>
        </is>
      </c>
      <c r="E359" t="inlineStr">
        <is>
          <t>MALUNG-SÄLEN</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61993-2021</t>
        </is>
      </c>
      <c r="B360" s="1" t="n">
        <v>44501</v>
      </c>
      <c r="C360" s="1" t="n">
        <v>45635</v>
      </c>
      <c r="D360" t="inlineStr">
        <is>
          <t>DALARNAS LÄN</t>
        </is>
      </c>
      <c r="E360" t="inlineStr">
        <is>
          <t>MALUNG-SÄLEN</t>
        </is>
      </c>
      <c r="F360" t="inlineStr">
        <is>
          <t>Allmännings- och besparingsskogar</t>
        </is>
      </c>
      <c r="G360" t="n">
        <v>21</v>
      </c>
      <c r="H360" t="n">
        <v>0</v>
      </c>
      <c r="I360" t="n">
        <v>0</v>
      </c>
      <c r="J360" t="n">
        <v>0</v>
      </c>
      <c r="K360" t="n">
        <v>0</v>
      </c>
      <c r="L360" t="n">
        <v>0</v>
      </c>
      <c r="M360" t="n">
        <v>0</v>
      </c>
      <c r="N360" t="n">
        <v>0</v>
      </c>
      <c r="O360" t="n">
        <v>0</v>
      </c>
      <c r="P360" t="n">
        <v>0</v>
      </c>
      <c r="Q360" t="n">
        <v>0</v>
      </c>
      <c r="R360" s="2" t="inlineStr"/>
    </row>
    <row r="361" ht="15" customHeight="1">
      <c r="A361" t="inlineStr">
        <is>
          <t>A 61962-2021</t>
        </is>
      </c>
      <c r="B361" s="1" t="n">
        <v>44501</v>
      </c>
      <c r="C361" s="1" t="n">
        <v>45635</v>
      </c>
      <c r="D361" t="inlineStr">
        <is>
          <t>DALARNAS LÄN</t>
        </is>
      </c>
      <c r="E361" t="inlineStr">
        <is>
          <t>MALUNG-SÄLEN</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61990-2021</t>
        </is>
      </c>
      <c r="B362" s="1" t="n">
        <v>44501</v>
      </c>
      <c r="C362" s="1" t="n">
        <v>45635</v>
      </c>
      <c r="D362" t="inlineStr">
        <is>
          <t>DALARNAS LÄN</t>
        </is>
      </c>
      <c r="E362" t="inlineStr">
        <is>
          <t>MALUNG-SÄLEN</t>
        </is>
      </c>
      <c r="F362" t="inlineStr">
        <is>
          <t>Allmännings- och besparingsskogar</t>
        </is>
      </c>
      <c r="G362" t="n">
        <v>33</v>
      </c>
      <c r="H362" t="n">
        <v>0</v>
      </c>
      <c r="I362" t="n">
        <v>0</v>
      </c>
      <c r="J362" t="n">
        <v>0</v>
      </c>
      <c r="K362" t="n">
        <v>0</v>
      </c>
      <c r="L362" t="n">
        <v>0</v>
      </c>
      <c r="M362" t="n">
        <v>0</v>
      </c>
      <c r="N362" t="n">
        <v>0</v>
      </c>
      <c r="O362" t="n">
        <v>0</v>
      </c>
      <c r="P362" t="n">
        <v>0</v>
      </c>
      <c r="Q362" t="n">
        <v>0</v>
      </c>
      <c r="R362" s="2" t="inlineStr"/>
    </row>
    <row r="363" ht="15" customHeight="1">
      <c r="A363" t="inlineStr">
        <is>
          <t>A 62253-2021</t>
        </is>
      </c>
      <c r="B363" s="1" t="n">
        <v>44503</v>
      </c>
      <c r="C363" s="1" t="n">
        <v>45635</v>
      </c>
      <c r="D363" t="inlineStr">
        <is>
          <t>DALARNAS LÄN</t>
        </is>
      </c>
      <c r="E363" t="inlineStr">
        <is>
          <t>MALUNG-SÄLEN</t>
        </is>
      </c>
      <c r="G363" t="n">
        <v>2.7</v>
      </c>
      <c r="H363" t="n">
        <v>0</v>
      </c>
      <c r="I363" t="n">
        <v>0</v>
      </c>
      <c r="J363" t="n">
        <v>0</v>
      </c>
      <c r="K363" t="n">
        <v>0</v>
      </c>
      <c r="L363" t="n">
        <v>0</v>
      </c>
      <c r="M363" t="n">
        <v>0</v>
      </c>
      <c r="N363" t="n">
        <v>0</v>
      </c>
      <c r="O363" t="n">
        <v>0</v>
      </c>
      <c r="P363" t="n">
        <v>0</v>
      </c>
      <c r="Q363" t="n">
        <v>0</v>
      </c>
      <c r="R363" s="2" t="inlineStr"/>
    </row>
    <row r="364" ht="15" customHeight="1">
      <c r="A364" t="inlineStr">
        <is>
          <t>A 62830-2021</t>
        </is>
      </c>
      <c r="B364" s="1" t="n">
        <v>44504</v>
      </c>
      <c r="C364" s="1" t="n">
        <v>45635</v>
      </c>
      <c r="D364" t="inlineStr">
        <is>
          <t>DALARNAS LÄN</t>
        </is>
      </c>
      <c r="E364" t="inlineStr">
        <is>
          <t>MALUNG-SÄLEN</t>
        </is>
      </c>
      <c r="F364" t="inlineStr">
        <is>
          <t>Bergvik skog öst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63270-2021</t>
        </is>
      </c>
      <c r="B365" s="1" t="n">
        <v>44508</v>
      </c>
      <c r="C365" s="1" t="n">
        <v>45635</v>
      </c>
      <c r="D365" t="inlineStr">
        <is>
          <t>DALARNAS LÄN</t>
        </is>
      </c>
      <c r="E365" t="inlineStr">
        <is>
          <t>MALUNG-SÄLEN</t>
        </is>
      </c>
      <c r="G365" t="n">
        <v>4.8</v>
      </c>
      <c r="H365" t="n">
        <v>0</v>
      </c>
      <c r="I365" t="n">
        <v>0</v>
      </c>
      <c r="J365" t="n">
        <v>0</v>
      </c>
      <c r="K365" t="n">
        <v>0</v>
      </c>
      <c r="L365" t="n">
        <v>0</v>
      </c>
      <c r="M365" t="n">
        <v>0</v>
      </c>
      <c r="N365" t="n">
        <v>0</v>
      </c>
      <c r="O365" t="n">
        <v>0</v>
      </c>
      <c r="P365" t="n">
        <v>0</v>
      </c>
      <c r="Q365" t="n">
        <v>0</v>
      </c>
      <c r="R365" s="2" t="inlineStr"/>
    </row>
    <row r="366" ht="15" customHeight="1">
      <c r="A366" t="inlineStr">
        <is>
          <t>A 63277-2021</t>
        </is>
      </c>
      <c r="B366" s="1" t="n">
        <v>44508</v>
      </c>
      <c r="C366" s="1" t="n">
        <v>45635</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64481-2021</t>
        </is>
      </c>
      <c r="B367" s="1" t="n">
        <v>44511</v>
      </c>
      <c r="C367" s="1" t="n">
        <v>45635</v>
      </c>
      <c r="D367" t="inlineStr">
        <is>
          <t>DALARNAS LÄN</t>
        </is>
      </c>
      <c r="E367" t="inlineStr">
        <is>
          <t>MALUNG-SÄLEN</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64577-2021</t>
        </is>
      </c>
      <c r="B368" s="1" t="n">
        <v>44511</v>
      </c>
      <c r="C368" s="1" t="n">
        <v>45635</v>
      </c>
      <c r="D368" t="inlineStr">
        <is>
          <t>DALARNAS LÄN</t>
        </is>
      </c>
      <c r="E368" t="inlineStr">
        <is>
          <t>MALUNG-SÄLEN</t>
        </is>
      </c>
      <c r="G368" t="n">
        <v>0.9</v>
      </c>
      <c r="H368" t="n">
        <v>0</v>
      </c>
      <c r="I368" t="n">
        <v>0</v>
      </c>
      <c r="J368" t="n">
        <v>0</v>
      </c>
      <c r="K368" t="n">
        <v>0</v>
      </c>
      <c r="L368" t="n">
        <v>0</v>
      </c>
      <c r="M368" t="n">
        <v>0</v>
      </c>
      <c r="N368" t="n">
        <v>0</v>
      </c>
      <c r="O368" t="n">
        <v>0</v>
      </c>
      <c r="P368" t="n">
        <v>0</v>
      </c>
      <c r="Q368" t="n">
        <v>0</v>
      </c>
      <c r="R368" s="2" t="inlineStr"/>
    </row>
    <row r="369" ht="15" customHeight="1">
      <c r="A369" t="inlineStr">
        <is>
          <t>A 64581-2021</t>
        </is>
      </c>
      <c r="B369" s="1" t="n">
        <v>44511</v>
      </c>
      <c r="C369" s="1" t="n">
        <v>45635</v>
      </c>
      <c r="D369" t="inlineStr">
        <is>
          <t>DALARNAS LÄN</t>
        </is>
      </c>
      <c r="E369" t="inlineStr">
        <is>
          <t>MALUNG-SÄLEN</t>
        </is>
      </c>
      <c r="G369" t="n">
        <v>0.4</v>
      </c>
      <c r="H369" t="n">
        <v>0</v>
      </c>
      <c r="I369" t="n">
        <v>0</v>
      </c>
      <c r="J369" t="n">
        <v>0</v>
      </c>
      <c r="K369" t="n">
        <v>0</v>
      </c>
      <c r="L369" t="n">
        <v>0</v>
      </c>
      <c r="M369" t="n">
        <v>0</v>
      </c>
      <c r="N369" t="n">
        <v>0</v>
      </c>
      <c r="O369" t="n">
        <v>0</v>
      </c>
      <c r="P369" t="n">
        <v>0</v>
      </c>
      <c r="Q369" t="n">
        <v>0</v>
      </c>
      <c r="R369" s="2" t="inlineStr"/>
    </row>
    <row r="370" ht="15" customHeight="1">
      <c r="A370" t="inlineStr">
        <is>
          <t>A 64739-2021</t>
        </is>
      </c>
      <c r="B370" s="1" t="n">
        <v>44512</v>
      </c>
      <c r="C370" s="1" t="n">
        <v>45635</v>
      </c>
      <c r="D370" t="inlineStr">
        <is>
          <t>DALARNAS LÄN</t>
        </is>
      </c>
      <c r="E370" t="inlineStr">
        <is>
          <t>MALUNG-SÄLEN</t>
        </is>
      </c>
      <c r="F370" t="inlineStr">
        <is>
          <t>Kommuner</t>
        </is>
      </c>
      <c r="G370" t="n">
        <v>1.2</v>
      </c>
      <c r="H370" t="n">
        <v>0</v>
      </c>
      <c r="I370" t="n">
        <v>0</v>
      </c>
      <c r="J370" t="n">
        <v>0</v>
      </c>
      <c r="K370" t="n">
        <v>0</v>
      </c>
      <c r="L370" t="n">
        <v>0</v>
      </c>
      <c r="M370" t="n">
        <v>0</v>
      </c>
      <c r="N370" t="n">
        <v>0</v>
      </c>
      <c r="O370" t="n">
        <v>0</v>
      </c>
      <c r="P370" t="n">
        <v>0</v>
      </c>
      <c r="Q370" t="n">
        <v>0</v>
      </c>
      <c r="R370" s="2" t="inlineStr"/>
    </row>
    <row r="371" ht="15" customHeight="1">
      <c r="A371" t="inlineStr">
        <is>
          <t>A 64787-2021</t>
        </is>
      </c>
      <c r="B371" s="1" t="n">
        <v>44512</v>
      </c>
      <c r="C371" s="1" t="n">
        <v>45635</v>
      </c>
      <c r="D371" t="inlineStr">
        <is>
          <t>DALARNAS LÄN</t>
        </is>
      </c>
      <c r="E371" t="inlineStr">
        <is>
          <t>MALUNG-SÄLEN</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64781-2021</t>
        </is>
      </c>
      <c r="B372" s="1" t="n">
        <v>44512</v>
      </c>
      <c r="C372" s="1" t="n">
        <v>45635</v>
      </c>
      <c r="D372" t="inlineStr">
        <is>
          <t>DALARNAS LÄN</t>
        </is>
      </c>
      <c r="E372" t="inlineStr">
        <is>
          <t>MALUNG-SÄLEN</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64863-2021</t>
        </is>
      </c>
      <c r="B373" s="1" t="n">
        <v>44512</v>
      </c>
      <c r="C373" s="1" t="n">
        <v>45635</v>
      </c>
      <c r="D373" t="inlineStr">
        <is>
          <t>DALARNAS LÄN</t>
        </is>
      </c>
      <c r="E373" t="inlineStr">
        <is>
          <t>MALUNG-SÄLEN</t>
        </is>
      </c>
      <c r="F373" t="inlineStr">
        <is>
          <t>Allmännings- och besparingsskogar</t>
        </is>
      </c>
      <c r="G373" t="n">
        <v>0.3</v>
      </c>
      <c r="H373" t="n">
        <v>0</v>
      </c>
      <c r="I373" t="n">
        <v>0</v>
      </c>
      <c r="J373" t="n">
        <v>0</v>
      </c>
      <c r="K373" t="n">
        <v>0</v>
      </c>
      <c r="L373" t="n">
        <v>0</v>
      </c>
      <c r="M373" t="n">
        <v>0</v>
      </c>
      <c r="N373" t="n">
        <v>0</v>
      </c>
      <c r="O373" t="n">
        <v>0</v>
      </c>
      <c r="P373" t="n">
        <v>0</v>
      </c>
      <c r="Q373" t="n">
        <v>0</v>
      </c>
      <c r="R373" s="2" t="inlineStr"/>
    </row>
    <row r="374" ht="15" customHeight="1">
      <c r="A374" t="inlineStr">
        <is>
          <t>A 64896-2021</t>
        </is>
      </c>
      <c r="B374" s="1" t="n">
        <v>44512</v>
      </c>
      <c r="C374" s="1" t="n">
        <v>45635</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65252-2021</t>
        </is>
      </c>
      <c r="B375" s="1" t="n">
        <v>44515</v>
      </c>
      <c r="C375" s="1" t="n">
        <v>45635</v>
      </c>
      <c r="D375" t="inlineStr">
        <is>
          <t>DALARNAS LÄN</t>
        </is>
      </c>
      <c r="E375" t="inlineStr">
        <is>
          <t>MALUNG-SÄLEN</t>
        </is>
      </c>
      <c r="F375" t="inlineStr">
        <is>
          <t>Allmännings- och besparingsskogar</t>
        </is>
      </c>
      <c r="G375" t="n">
        <v>0.7</v>
      </c>
      <c r="H375" t="n">
        <v>0</v>
      </c>
      <c r="I375" t="n">
        <v>0</v>
      </c>
      <c r="J375" t="n">
        <v>0</v>
      </c>
      <c r="K375" t="n">
        <v>0</v>
      </c>
      <c r="L375" t="n">
        <v>0</v>
      </c>
      <c r="M375" t="n">
        <v>0</v>
      </c>
      <c r="N375" t="n">
        <v>0</v>
      </c>
      <c r="O375" t="n">
        <v>0</v>
      </c>
      <c r="P375" t="n">
        <v>0</v>
      </c>
      <c r="Q375" t="n">
        <v>0</v>
      </c>
      <c r="R375" s="2" t="inlineStr"/>
    </row>
    <row r="376" ht="15" customHeight="1">
      <c r="A376" t="inlineStr">
        <is>
          <t>A 65260-2021</t>
        </is>
      </c>
      <c r="B376" s="1" t="n">
        <v>44515</v>
      </c>
      <c r="C376" s="1" t="n">
        <v>45635</v>
      </c>
      <c r="D376" t="inlineStr">
        <is>
          <t>DALARNAS LÄN</t>
        </is>
      </c>
      <c r="E376" t="inlineStr">
        <is>
          <t>MALUNG-SÄLEN</t>
        </is>
      </c>
      <c r="F376" t="inlineStr">
        <is>
          <t>Allmännings- och besparingsskogar</t>
        </is>
      </c>
      <c r="G376" t="n">
        <v>19.1</v>
      </c>
      <c r="H376" t="n">
        <v>0</v>
      </c>
      <c r="I376" t="n">
        <v>0</v>
      </c>
      <c r="J376" t="n">
        <v>0</v>
      </c>
      <c r="K376" t="n">
        <v>0</v>
      </c>
      <c r="L376" t="n">
        <v>0</v>
      </c>
      <c r="M376" t="n">
        <v>0</v>
      </c>
      <c r="N376" t="n">
        <v>0</v>
      </c>
      <c r="O376" t="n">
        <v>0</v>
      </c>
      <c r="P376" t="n">
        <v>0</v>
      </c>
      <c r="Q376" t="n">
        <v>0</v>
      </c>
      <c r="R376" s="2" t="inlineStr"/>
    </row>
    <row r="377" ht="15" customHeight="1">
      <c r="A377" t="inlineStr">
        <is>
          <t>A 65266-2021</t>
        </is>
      </c>
      <c r="B377" s="1" t="n">
        <v>44515</v>
      </c>
      <c r="C377" s="1" t="n">
        <v>45635</v>
      </c>
      <c r="D377" t="inlineStr">
        <is>
          <t>DALARNAS LÄN</t>
        </is>
      </c>
      <c r="E377" t="inlineStr">
        <is>
          <t>MALUNG-SÄLEN</t>
        </is>
      </c>
      <c r="F377" t="inlineStr">
        <is>
          <t>Allmännings- och besparingsskogar</t>
        </is>
      </c>
      <c r="G377" t="n">
        <v>33.6</v>
      </c>
      <c r="H377" t="n">
        <v>0</v>
      </c>
      <c r="I377" t="n">
        <v>0</v>
      </c>
      <c r="J377" t="n">
        <v>0</v>
      </c>
      <c r="K377" t="n">
        <v>0</v>
      </c>
      <c r="L377" t="n">
        <v>0</v>
      </c>
      <c r="M377" t="n">
        <v>0</v>
      </c>
      <c r="N377" t="n">
        <v>0</v>
      </c>
      <c r="O377" t="n">
        <v>0</v>
      </c>
      <c r="P377" t="n">
        <v>0</v>
      </c>
      <c r="Q377" t="n">
        <v>0</v>
      </c>
      <c r="R377" s="2" t="inlineStr"/>
    </row>
    <row r="378" ht="15" customHeight="1">
      <c r="A378" t="inlineStr">
        <is>
          <t>A 65275-2021</t>
        </is>
      </c>
      <c r="B378" s="1" t="n">
        <v>44515</v>
      </c>
      <c r="C378" s="1" t="n">
        <v>45635</v>
      </c>
      <c r="D378" t="inlineStr">
        <is>
          <t>DALARNAS LÄN</t>
        </is>
      </c>
      <c r="E378" t="inlineStr">
        <is>
          <t>MALUNG-SÄLEN</t>
        </is>
      </c>
      <c r="F378" t="inlineStr">
        <is>
          <t>Allmännings- och besparingsskogar</t>
        </is>
      </c>
      <c r="G378" t="n">
        <v>19</v>
      </c>
      <c r="H378" t="n">
        <v>0</v>
      </c>
      <c r="I378" t="n">
        <v>0</v>
      </c>
      <c r="J378" t="n">
        <v>0</v>
      </c>
      <c r="K378" t="n">
        <v>0</v>
      </c>
      <c r="L378" t="n">
        <v>0</v>
      </c>
      <c r="M378" t="n">
        <v>0</v>
      </c>
      <c r="N378" t="n">
        <v>0</v>
      </c>
      <c r="O378" t="n">
        <v>0</v>
      </c>
      <c r="P378" t="n">
        <v>0</v>
      </c>
      <c r="Q378" t="n">
        <v>0</v>
      </c>
      <c r="R378" s="2" t="inlineStr"/>
    </row>
    <row r="379" ht="15" customHeight="1">
      <c r="A379" t="inlineStr">
        <is>
          <t>A 65465-2021</t>
        </is>
      </c>
      <c r="B379" s="1" t="n">
        <v>44516</v>
      </c>
      <c r="C379" s="1" t="n">
        <v>45635</v>
      </c>
      <c r="D379" t="inlineStr">
        <is>
          <t>DALARNAS LÄN</t>
        </is>
      </c>
      <c r="E379" t="inlineStr">
        <is>
          <t>MALUNG-SÄLEN</t>
        </is>
      </c>
      <c r="G379" t="n">
        <v>3.1</v>
      </c>
      <c r="H379" t="n">
        <v>0</v>
      </c>
      <c r="I379" t="n">
        <v>0</v>
      </c>
      <c r="J379" t="n">
        <v>0</v>
      </c>
      <c r="K379" t="n">
        <v>0</v>
      </c>
      <c r="L379" t="n">
        <v>0</v>
      </c>
      <c r="M379" t="n">
        <v>0</v>
      </c>
      <c r="N379" t="n">
        <v>0</v>
      </c>
      <c r="O379" t="n">
        <v>0</v>
      </c>
      <c r="P379" t="n">
        <v>0</v>
      </c>
      <c r="Q379" t="n">
        <v>0</v>
      </c>
      <c r="R379" s="2" t="inlineStr"/>
    </row>
    <row r="380" ht="15" customHeight="1">
      <c r="A380" t="inlineStr">
        <is>
          <t>A 67310-2021</t>
        </is>
      </c>
      <c r="B380" s="1" t="n">
        <v>44523</v>
      </c>
      <c r="C380" s="1" t="n">
        <v>45635</v>
      </c>
      <c r="D380" t="inlineStr">
        <is>
          <t>DALARNAS LÄN</t>
        </is>
      </c>
      <c r="E380" t="inlineStr">
        <is>
          <t>MALUNG-SÄLEN</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67320-2021</t>
        </is>
      </c>
      <c r="B381" s="1" t="n">
        <v>44523</v>
      </c>
      <c r="C381" s="1" t="n">
        <v>45635</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68141-2021</t>
        </is>
      </c>
      <c r="B382" s="1" t="n">
        <v>44526</v>
      </c>
      <c r="C382" s="1" t="n">
        <v>45635</v>
      </c>
      <c r="D382" t="inlineStr">
        <is>
          <t>DALARNAS LÄN</t>
        </is>
      </c>
      <c r="E382" t="inlineStr">
        <is>
          <t>MALUNG-SÄLEN</t>
        </is>
      </c>
      <c r="F382" t="inlineStr">
        <is>
          <t>Bergvik skog öst AB</t>
        </is>
      </c>
      <c r="G382" t="n">
        <v>2.2</v>
      </c>
      <c r="H382" t="n">
        <v>0</v>
      </c>
      <c r="I382" t="n">
        <v>0</v>
      </c>
      <c r="J382" t="n">
        <v>0</v>
      </c>
      <c r="K382" t="n">
        <v>0</v>
      </c>
      <c r="L382" t="n">
        <v>0</v>
      </c>
      <c r="M382" t="n">
        <v>0</v>
      </c>
      <c r="N382" t="n">
        <v>0</v>
      </c>
      <c r="O382" t="n">
        <v>0</v>
      </c>
      <c r="P382" t="n">
        <v>0</v>
      </c>
      <c r="Q382" t="n">
        <v>0</v>
      </c>
      <c r="R382" s="2" t="inlineStr"/>
    </row>
    <row r="383" ht="15" customHeight="1">
      <c r="A383" t="inlineStr">
        <is>
          <t>A 68430-2021</t>
        </is>
      </c>
      <c r="B383" s="1" t="n">
        <v>44529</v>
      </c>
      <c r="C383" s="1" t="n">
        <v>45635</v>
      </c>
      <c r="D383" t="inlineStr">
        <is>
          <t>DALARNAS LÄN</t>
        </is>
      </c>
      <c r="E383" t="inlineStr">
        <is>
          <t>MALUNG-SÄLEN</t>
        </is>
      </c>
      <c r="G383" t="n">
        <v>4.9</v>
      </c>
      <c r="H383" t="n">
        <v>0</v>
      </c>
      <c r="I383" t="n">
        <v>0</v>
      </c>
      <c r="J383" t="n">
        <v>0</v>
      </c>
      <c r="K383" t="n">
        <v>0</v>
      </c>
      <c r="L383" t="n">
        <v>0</v>
      </c>
      <c r="M383" t="n">
        <v>0</v>
      </c>
      <c r="N383" t="n">
        <v>0</v>
      </c>
      <c r="O383" t="n">
        <v>0</v>
      </c>
      <c r="P383" t="n">
        <v>0</v>
      </c>
      <c r="Q383" t="n">
        <v>0</v>
      </c>
      <c r="R383" s="2" t="inlineStr"/>
    </row>
    <row r="384" ht="15" customHeight="1">
      <c r="A384" t="inlineStr">
        <is>
          <t>A 69381-2021</t>
        </is>
      </c>
      <c r="B384" s="1" t="n">
        <v>44531</v>
      </c>
      <c r="C384" s="1" t="n">
        <v>45635</v>
      </c>
      <c r="D384" t="inlineStr">
        <is>
          <t>DALARNAS LÄN</t>
        </is>
      </c>
      <c r="E384" t="inlineStr">
        <is>
          <t>MALUNG-SÄLEN</t>
        </is>
      </c>
      <c r="F384" t="inlineStr">
        <is>
          <t>Allmännings- och besparingsskogar</t>
        </is>
      </c>
      <c r="G384" t="n">
        <v>20.1</v>
      </c>
      <c r="H384" t="n">
        <v>0</v>
      </c>
      <c r="I384" t="n">
        <v>0</v>
      </c>
      <c r="J384" t="n">
        <v>0</v>
      </c>
      <c r="K384" t="n">
        <v>0</v>
      </c>
      <c r="L384" t="n">
        <v>0</v>
      </c>
      <c r="M384" t="n">
        <v>0</v>
      </c>
      <c r="N384" t="n">
        <v>0</v>
      </c>
      <c r="O384" t="n">
        <v>0</v>
      </c>
      <c r="P384" t="n">
        <v>0</v>
      </c>
      <c r="Q384" t="n">
        <v>0</v>
      </c>
      <c r="R384" s="2" t="inlineStr"/>
    </row>
    <row r="385" ht="15" customHeight="1">
      <c r="A385" t="inlineStr">
        <is>
          <t>A 70052-2021</t>
        </is>
      </c>
      <c r="B385" s="1" t="n">
        <v>44533</v>
      </c>
      <c r="C385" s="1" t="n">
        <v>45635</v>
      </c>
      <c r="D385" t="inlineStr">
        <is>
          <t>DALARNAS LÄN</t>
        </is>
      </c>
      <c r="E385" t="inlineStr">
        <is>
          <t>MALUNG-SÄLEN</t>
        </is>
      </c>
      <c r="G385" t="n">
        <v>1.6</v>
      </c>
      <c r="H385" t="n">
        <v>0</v>
      </c>
      <c r="I385" t="n">
        <v>0</v>
      </c>
      <c r="J385" t="n">
        <v>0</v>
      </c>
      <c r="K385" t="n">
        <v>0</v>
      </c>
      <c r="L385" t="n">
        <v>0</v>
      </c>
      <c r="M385" t="n">
        <v>0</v>
      </c>
      <c r="N385" t="n">
        <v>0</v>
      </c>
      <c r="O385" t="n">
        <v>0</v>
      </c>
      <c r="P385" t="n">
        <v>0</v>
      </c>
      <c r="Q385" t="n">
        <v>0</v>
      </c>
      <c r="R385" s="2" t="inlineStr"/>
    </row>
    <row r="386" ht="15" customHeight="1">
      <c r="A386" t="inlineStr">
        <is>
          <t>A 70647-2021</t>
        </is>
      </c>
      <c r="B386" s="1" t="n">
        <v>44537</v>
      </c>
      <c r="C386" s="1" t="n">
        <v>45635</v>
      </c>
      <c r="D386" t="inlineStr">
        <is>
          <t>DALARNAS LÄN</t>
        </is>
      </c>
      <c r="E386" t="inlineStr">
        <is>
          <t>MALUNG-SÄLEN</t>
        </is>
      </c>
      <c r="G386" t="n">
        <v>8.1</v>
      </c>
      <c r="H386" t="n">
        <v>0</v>
      </c>
      <c r="I386" t="n">
        <v>0</v>
      </c>
      <c r="J386" t="n">
        <v>0</v>
      </c>
      <c r="K386" t="n">
        <v>0</v>
      </c>
      <c r="L386" t="n">
        <v>0</v>
      </c>
      <c r="M386" t="n">
        <v>0</v>
      </c>
      <c r="N386" t="n">
        <v>0</v>
      </c>
      <c r="O386" t="n">
        <v>0</v>
      </c>
      <c r="P386" t="n">
        <v>0</v>
      </c>
      <c r="Q386" t="n">
        <v>0</v>
      </c>
      <c r="R386" s="2" t="inlineStr"/>
    </row>
    <row r="387" ht="15" customHeight="1">
      <c r="A387" t="inlineStr">
        <is>
          <t>A 71859-2021</t>
        </is>
      </c>
      <c r="B387" s="1" t="n">
        <v>44540</v>
      </c>
      <c r="C387" s="1" t="n">
        <v>45635</v>
      </c>
      <c r="D387" t="inlineStr">
        <is>
          <t>DALARNAS LÄN</t>
        </is>
      </c>
      <c r="E387" t="inlineStr">
        <is>
          <t>MALUNG-SÄLEN</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72039-2021</t>
        </is>
      </c>
      <c r="B388" s="1" t="n">
        <v>44540</v>
      </c>
      <c r="C388" s="1" t="n">
        <v>45635</v>
      </c>
      <c r="D388" t="inlineStr">
        <is>
          <t>DALARNAS LÄN</t>
        </is>
      </c>
      <c r="E388" t="inlineStr">
        <is>
          <t>MALUNG-SÄLEN</t>
        </is>
      </c>
      <c r="F388" t="inlineStr">
        <is>
          <t>Allmännings- och besparingsskogar</t>
        </is>
      </c>
      <c r="G388" t="n">
        <v>10.2</v>
      </c>
      <c r="H388" t="n">
        <v>0</v>
      </c>
      <c r="I388" t="n">
        <v>0</v>
      </c>
      <c r="J388" t="n">
        <v>0</v>
      </c>
      <c r="K388" t="n">
        <v>0</v>
      </c>
      <c r="L388" t="n">
        <v>0</v>
      </c>
      <c r="M388" t="n">
        <v>0</v>
      </c>
      <c r="N388" t="n">
        <v>0</v>
      </c>
      <c r="O388" t="n">
        <v>0</v>
      </c>
      <c r="P388" t="n">
        <v>0</v>
      </c>
      <c r="Q388" t="n">
        <v>0</v>
      </c>
      <c r="R388" s="2" t="inlineStr"/>
    </row>
    <row r="389" ht="15" customHeight="1">
      <c r="A389" t="inlineStr">
        <is>
          <t>A 72154-2021</t>
        </is>
      </c>
      <c r="B389" s="1" t="n">
        <v>44544</v>
      </c>
      <c r="C389" s="1" t="n">
        <v>45635</v>
      </c>
      <c r="D389" t="inlineStr">
        <is>
          <t>DALARNAS LÄN</t>
        </is>
      </c>
      <c r="E389" t="inlineStr">
        <is>
          <t>MALUNG-SÄLEN</t>
        </is>
      </c>
      <c r="G389" t="n">
        <v>0.3</v>
      </c>
      <c r="H389" t="n">
        <v>0</v>
      </c>
      <c r="I389" t="n">
        <v>0</v>
      </c>
      <c r="J389" t="n">
        <v>0</v>
      </c>
      <c r="K389" t="n">
        <v>0</v>
      </c>
      <c r="L389" t="n">
        <v>0</v>
      </c>
      <c r="M389" t="n">
        <v>0</v>
      </c>
      <c r="N389" t="n">
        <v>0</v>
      </c>
      <c r="O389" t="n">
        <v>0</v>
      </c>
      <c r="P389" t="n">
        <v>0</v>
      </c>
      <c r="Q389" t="n">
        <v>0</v>
      </c>
      <c r="R389" s="2" t="inlineStr"/>
    </row>
    <row r="390" ht="15" customHeight="1">
      <c r="A390" t="inlineStr">
        <is>
          <t>A 72643-2021</t>
        </is>
      </c>
      <c r="B390" s="1" t="n">
        <v>44546</v>
      </c>
      <c r="C390" s="1" t="n">
        <v>45635</v>
      </c>
      <c r="D390" t="inlineStr">
        <is>
          <t>DALARNAS LÄN</t>
        </is>
      </c>
      <c r="E390" t="inlineStr">
        <is>
          <t>MALUNG-SÄLEN</t>
        </is>
      </c>
      <c r="G390" t="n">
        <v>5.6</v>
      </c>
      <c r="H390" t="n">
        <v>0</v>
      </c>
      <c r="I390" t="n">
        <v>0</v>
      </c>
      <c r="J390" t="n">
        <v>0</v>
      </c>
      <c r="K390" t="n">
        <v>0</v>
      </c>
      <c r="L390" t="n">
        <v>0</v>
      </c>
      <c r="M390" t="n">
        <v>0</v>
      </c>
      <c r="N390" t="n">
        <v>0</v>
      </c>
      <c r="O390" t="n">
        <v>0</v>
      </c>
      <c r="P390" t="n">
        <v>0</v>
      </c>
      <c r="Q390" t="n">
        <v>0</v>
      </c>
      <c r="R390" s="2" t="inlineStr"/>
    </row>
    <row r="391" ht="15" customHeight="1">
      <c r="A391" t="inlineStr">
        <is>
          <t>A 72828-2021</t>
        </is>
      </c>
      <c r="B391" s="1" t="n">
        <v>44547</v>
      </c>
      <c r="C391" s="1" t="n">
        <v>45635</v>
      </c>
      <c r="D391" t="inlineStr">
        <is>
          <t>DALARNAS LÄN</t>
        </is>
      </c>
      <c r="E391" t="inlineStr">
        <is>
          <t>MALUNG-SÄLEN</t>
        </is>
      </c>
      <c r="G391" t="n">
        <v>12.3</v>
      </c>
      <c r="H391" t="n">
        <v>0</v>
      </c>
      <c r="I391" t="n">
        <v>0</v>
      </c>
      <c r="J391" t="n">
        <v>0</v>
      </c>
      <c r="K391" t="n">
        <v>0</v>
      </c>
      <c r="L391" t="n">
        <v>0</v>
      </c>
      <c r="M391" t="n">
        <v>0</v>
      </c>
      <c r="N391" t="n">
        <v>0</v>
      </c>
      <c r="O391" t="n">
        <v>0</v>
      </c>
      <c r="P391" t="n">
        <v>0</v>
      </c>
      <c r="Q391" t="n">
        <v>0</v>
      </c>
      <c r="R391" s="2" t="inlineStr"/>
    </row>
    <row r="392" ht="15" customHeight="1">
      <c r="A392" t="inlineStr">
        <is>
          <t>A 73175-2021</t>
        </is>
      </c>
      <c r="B392" s="1" t="n">
        <v>44550</v>
      </c>
      <c r="C392" s="1" t="n">
        <v>45635</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73681-2021</t>
        </is>
      </c>
      <c r="B393" s="1" t="n">
        <v>44552</v>
      </c>
      <c r="C393" s="1" t="n">
        <v>45635</v>
      </c>
      <c r="D393" t="inlineStr">
        <is>
          <t>DALARNAS LÄN</t>
        </is>
      </c>
      <c r="E393" t="inlineStr">
        <is>
          <t>MALUNG-SÄLEN</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74092-2021</t>
        </is>
      </c>
      <c r="B394" s="1" t="n">
        <v>44557</v>
      </c>
      <c r="C394" s="1" t="n">
        <v>45635</v>
      </c>
      <c r="D394" t="inlineStr">
        <is>
          <t>DALARNAS LÄN</t>
        </is>
      </c>
      <c r="E394" t="inlineStr">
        <is>
          <t>MALUNG-SÄLEN</t>
        </is>
      </c>
      <c r="G394" t="n">
        <v>0.5</v>
      </c>
      <c r="H394" t="n">
        <v>0</v>
      </c>
      <c r="I394" t="n">
        <v>0</v>
      </c>
      <c r="J394" t="n">
        <v>0</v>
      </c>
      <c r="K394" t="n">
        <v>0</v>
      </c>
      <c r="L394" t="n">
        <v>0</v>
      </c>
      <c r="M394" t="n">
        <v>0</v>
      </c>
      <c r="N394" t="n">
        <v>0</v>
      </c>
      <c r="O394" t="n">
        <v>0</v>
      </c>
      <c r="P394" t="n">
        <v>0</v>
      </c>
      <c r="Q394" t="n">
        <v>0</v>
      </c>
      <c r="R394" s="2" t="inlineStr"/>
    </row>
    <row r="395" ht="15" customHeight="1">
      <c r="A395" t="inlineStr">
        <is>
          <t>A 3110-2022</t>
        </is>
      </c>
      <c r="B395" s="1" t="n">
        <v>44582</v>
      </c>
      <c r="C395" s="1" t="n">
        <v>45635</v>
      </c>
      <c r="D395" t="inlineStr">
        <is>
          <t>DALARNAS LÄN</t>
        </is>
      </c>
      <c r="E395" t="inlineStr">
        <is>
          <t>MALUNG-SÄLEN</t>
        </is>
      </c>
      <c r="G395" t="n">
        <v>2.9</v>
      </c>
      <c r="H395" t="n">
        <v>0</v>
      </c>
      <c r="I395" t="n">
        <v>0</v>
      </c>
      <c r="J395" t="n">
        <v>0</v>
      </c>
      <c r="K395" t="n">
        <v>0</v>
      </c>
      <c r="L395" t="n">
        <v>0</v>
      </c>
      <c r="M395" t="n">
        <v>0</v>
      </c>
      <c r="N395" t="n">
        <v>0</v>
      </c>
      <c r="O395" t="n">
        <v>0</v>
      </c>
      <c r="P395" t="n">
        <v>0</v>
      </c>
      <c r="Q395" t="n">
        <v>0</v>
      </c>
      <c r="R395" s="2" t="inlineStr"/>
    </row>
    <row r="396" ht="15" customHeight="1">
      <c r="A396" t="inlineStr">
        <is>
          <t>A 4070-2022</t>
        </is>
      </c>
      <c r="B396" s="1" t="n">
        <v>44588</v>
      </c>
      <c r="C396" s="1" t="n">
        <v>45635</v>
      </c>
      <c r="D396" t="inlineStr">
        <is>
          <t>DALARNAS LÄN</t>
        </is>
      </c>
      <c r="E396" t="inlineStr">
        <is>
          <t>MALUNG-SÄLEN</t>
        </is>
      </c>
      <c r="G396" t="n">
        <v>4.3</v>
      </c>
      <c r="H396" t="n">
        <v>0</v>
      </c>
      <c r="I396" t="n">
        <v>0</v>
      </c>
      <c r="J396" t="n">
        <v>0</v>
      </c>
      <c r="K396" t="n">
        <v>0</v>
      </c>
      <c r="L396" t="n">
        <v>0</v>
      </c>
      <c r="M396" t="n">
        <v>0</v>
      </c>
      <c r="N396" t="n">
        <v>0</v>
      </c>
      <c r="O396" t="n">
        <v>0</v>
      </c>
      <c r="P396" t="n">
        <v>0</v>
      </c>
      <c r="Q396" t="n">
        <v>0</v>
      </c>
      <c r="R396" s="2" t="inlineStr"/>
    </row>
    <row r="397" ht="15" customHeight="1">
      <c r="A397" t="inlineStr">
        <is>
          <t>A 4420-2022</t>
        </is>
      </c>
      <c r="B397" s="1" t="n">
        <v>44589</v>
      </c>
      <c r="C397" s="1" t="n">
        <v>45635</v>
      </c>
      <c r="D397" t="inlineStr">
        <is>
          <t>DALARNAS LÄN</t>
        </is>
      </c>
      <c r="E397" t="inlineStr">
        <is>
          <t>MALUNG-SÄLEN</t>
        </is>
      </c>
      <c r="F397" t="inlineStr">
        <is>
          <t>Bergvik skog väst AB</t>
        </is>
      </c>
      <c r="G397" t="n">
        <v>3.2</v>
      </c>
      <c r="H397" t="n">
        <v>0</v>
      </c>
      <c r="I397" t="n">
        <v>0</v>
      </c>
      <c r="J397" t="n">
        <v>0</v>
      </c>
      <c r="K397" t="n">
        <v>0</v>
      </c>
      <c r="L397" t="n">
        <v>0</v>
      </c>
      <c r="M397" t="n">
        <v>0</v>
      </c>
      <c r="N397" t="n">
        <v>0</v>
      </c>
      <c r="O397" t="n">
        <v>0</v>
      </c>
      <c r="P397" t="n">
        <v>0</v>
      </c>
      <c r="Q397" t="n">
        <v>0</v>
      </c>
      <c r="R397" s="2" t="inlineStr"/>
    </row>
    <row r="398" ht="15" customHeight="1">
      <c r="A398" t="inlineStr">
        <is>
          <t>A 6106-2022</t>
        </is>
      </c>
      <c r="B398" s="1" t="n">
        <v>44599</v>
      </c>
      <c r="C398" s="1" t="n">
        <v>45635</v>
      </c>
      <c r="D398" t="inlineStr">
        <is>
          <t>DALARNAS LÄN</t>
        </is>
      </c>
      <c r="E398" t="inlineStr">
        <is>
          <t>MALUNG-SÄLEN</t>
        </is>
      </c>
      <c r="G398" t="n">
        <v>9</v>
      </c>
      <c r="H398" t="n">
        <v>0</v>
      </c>
      <c r="I398" t="n">
        <v>0</v>
      </c>
      <c r="J398" t="n">
        <v>0</v>
      </c>
      <c r="K398" t="n">
        <v>0</v>
      </c>
      <c r="L398" t="n">
        <v>0</v>
      </c>
      <c r="M398" t="n">
        <v>0</v>
      </c>
      <c r="N398" t="n">
        <v>0</v>
      </c>
      <c r="O398" t="n">
        <v>0</v>
      </c>
      <c r="P398" t="n">
        <v>0</v>
      </c>
      <c r="Q398" t="n">
        <v>0</v>
      </c>
      <c r="R398" s="2" t="inlineStr"/>
    </row>
    <row r="399" ht="15" customHeight="1">
      <c r="A399" t="inlineStr">
        <is>
          <t>A 6362-2022</t>
        </is>
      </c>
      <c r="B399" s="1" t="n">
        <v>44600</v>
      </c>
      <c r="C399" s="1" t="n">
        <v>45635</v>
      </c>
      <c r="D399" t="inlineStr">
        <is>
          <t>DALARNAS LÄN</t>
        </is>
      </c>
      <c r="E399" t="inlineStr">
        <is>
          <t>MALUNG-SÄLEN</t>
        </is>
      </c>
      <c r="G399" t="n">
        <v>2.5</v>
      </c>
      <c r="H399" t="n">
        <v>0</v>
      </c>
      <c r="I399" t="n">
        <v>0</v>
      </c>
      <c r="J399" t="n">
        <v>0</v>
      </c>
      <c r="K399" t="n">
        <v>0</v>
      </c>
      <c r="L399" t="n">
        <v>0</v>
      </c>
      <c r="M399" t="n">
        <v>0</v>
      </c>
      <c r="N399" t="n">
        <v>0</v>
      </c>
      <c r="O399" t="n">
        <v>0</v>
      </c>
      <c r="P399" t="n">
        <v>0</v>
      </c>
      <c r="Q399" t="n">
        <v>0</v>
      </c>
      <c r="R399" s="2" t="inlineStr"/>
    </row>
    <row r="400" ht="15" customHeight="1">
      <c r="A400" t="inlineStr">
        <is>
          <t>A 6712-2022</t>
        </is>
      </c>
      <c r="B400" s="1" t="n">
        <v>44602</v>
      </c>
      <c r="C400" s="1" t="n">
        <v>45635</v>
      </c>
      <c r="D400" t="inlineStr">
        <is>
          <t>DALARNAS LÄN</t>
        </is>
      </c>
      <c r="E400" t="inlineStr">
        <is>
          <t>MALUNG-SÄLEN</t>
        </is>
      </c>
      <c r="G400" t="n">
        <v>1.1</v>
      </c>
      <c r="H400" t="n">
        <v>0</v>
      </c>
      <c r="I400" t="n">
        <v>0</v>
      </c>
      <c r="J400" t="n">
        <v>0</v>
      </c>
      <c r="K400" t="n">
        <v>0</v>
      </c>
      <c r="L400" t="n">
        <v>0</v>
      </c>
      <c r="M400" t="n">
        <v>0</v>
      </c>
      <c r="N400" t="n">
        <v>0</v>
      </c>
      <c r="O400" t="n">
        <v>0</v>
      </c>
      <c r="P400" t="n">
        <v>0</v>
      </c>
      <c r="Q400" t="n">
        <v>0</v>
      </c>
      <c r="R400" s="2" t="inlineStr"/>
    </row>
    <row r="401" ht="15" customHeight="1">
      <c r="A401" t="inlineStr">
        <is>
          <t>A 6945-2022</t>
        </is>
      </c>
      <c r="B401" s="1" t="n">
        <v>44603</v>
      </c>
      <c r="C401" s="1" t="n">
        <v>45635</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7081-2022</t>
        </is>
      </c>
      <c r="B402" s="1" t="n">
        <v>44603</v>
      </c>
      <c r="C402" s="1" t="n">
        <v>45635</v>
      </c>
      <c r="D402" t="inlineStr">
        <is>
          <t>DALARNAS LÄN</t>
        </is>
      </c>
      <c r="E402" t="inlineStr">
        <is>
          <t>MALUNG-SÄLEN</t>
        </is>
      </c>
      <c r="G402" t="n">
        <v>0.7</v>
      </c>
      <c r="H402" t="n">
        <v>0</v>
      </c>
      <c r="I402" t="n">
        <v>0</v>
      </c>
      <c r="J402" t="n">
        <v>0</v>
      </c>
      <c r="K402" t="n">
        <v>0</v>
      </c>
      <c r="L402" t="n">
        <v>0</v>
      </c>
      <c r="M402" t="n">
        <v>0</v>
      </c>
      <c r="N402" t="n">
        <v>0</v>
      </c>
      <c r="O402" t="n">
        <v>0</v>
      </c>
      <c r="P402" t="n">
        <v>0</v>
      </c>
      <c r="Q402" t="n">
        <v>0</v>
      </c>
      <c r="R402" s="2" t="inlineStr"/>
    </row>
    <row r="403" ht="15" customHeight="1">
      <c r="A403" t="inlineStr">
        <is>
          <t>A 8474-2022</t>
        </is>
      </c>
      <c r="B403" s="1" t="n">
        <v>44613</v>
      </c>
      <c r="C403" s="1" t="n">
        <v>45635</v>
      </c>
      <c r="D403" t="inlineStr">
        <is>
          <t>DALARNAS LÄN</t>
        </is>
      </c>
      <c r="E403" t="inlineStr">
        <is>
          <t>MALUNG-SÄLEN</t>
        </is>
      </c>
      <c r="G403" t="n">
        <v>0.8</v>
      </c>
      <c r="H403" t="n">
        <v>0</v>
      </c>
      <c r="I403" t="n">
        <v>0</v>
      </c>
      <c r="J403" t="n">
        <v>0</v>
      </c>
      <c r="K403" t="n">
        <v>0</v>
      </c>
      <c r="L403" t="n">
        <v>0</v>
      </c>
      <c r="M403" t="n">
        <v>0</v>
      </c>
      <c r="N403" t="n">
        <v>0</v>
      </c>
      <c r="O403" t="n">
        <v>0</v>
      </c>
      <c r="P403" t="n">
        <v>0</v>
      </c>
      <c r="Q403" t="n">
        <v>0</v>
      </c>
      <c r="R403" s="2" t="inlineStr"/>
    </row>
    <row r="404" ht="15" customHeight="1">
      <c r="A404" t="inlineStr">
        <is>
          <t>A 9299-2022</t>
        </is>
      </c>
      <c r="B404" s="1" t="n">
        <v>44616</v>
      </c>
      <c r="C404" s="1" t="n">
        <v>45635</v>
      </c>
      <c r="D404" t="inlineStr">
        <is>
          <t>DALARNAS LÄN</t>
        </is>
      </c>
      <c r="E404" t="inlineStr">
        <is>
          <t>MALUNG-SÄLEN</t>
        </is>
      </c>
      <c r="G404" t="n">
        <v>4.7</v>
      </c>
      <c r="H404" t="n">
        <v>0</v>
      </c>
      <c r="I404" t="n">
        <v>0</v>
      </c>
      <c r="J404" t="n">
        <v>0</v>
      </c>
      <c r="K404" t="n">
        <v>0</v>
      </c>
      <c r="L404" t="n">
        <v>0</v>
      </c>
      <c r="M404" t="n">
        <v>0</v>
      </c>
      <c r="N404" t="n">
        <v>0</v>
      </c>
      <c r="O404" t="n">
        <v>0</v>
      </c>
      <c r="P404" t="n">
        <v>0</v>
      </c>
      <c r="Q404" t="n">
        <v>0</v>
      </c>
      <c r="R404" s="2" t="inlineStr"/>
    </row>
    <row r="405" ht="15" customHeight="1">
      <c r="A405" t="inlineStr">
        <is>
          <t>A 9304-2022</t>
        </is>
      </c>
      <c r="B405" s="1" t="n">
        <v>44616</v>
      </c>
      <c r="C405" s="1" t="n">
        <v>45635</v>
      </c>
      <c r="D405" t="inlineStr">
        <is>
          <t>DALARNAS LÄN</t>
        </is>
      </c>
      <c r="E405" t="inlineStr">
        <is>
          <t>MALUNG-SÄLEN</t>
        </is>
      </c>
      <c r="G405" t="n">
        <v>2.6</v>
      </c>
      <c r="H405" t="n">
        <v>0</v>
      </c>
      <c r="I405" t="n">
        <v>0</v>
      </c>
      <c r="J405" t="n">
        <v>0</v>
      </c>
      <c r="K405" t="n">
        <v>0</v>
      </c>
      <c r="L405" t="n">
        <v>0</v>
      </c>
      <c r="M405" t="n">
        <v>0</v>
      </c>
      <c r="N405" t="n">
        <v>0</v>
      </c>
      <c r="O405" t="n">
        <v>0</v>
      </c>
      <c r="P405" t="n">
        <v>0</v>
      </c>
      <c r="Q405" t="n">
        <v>0</v>
      </c>
      <c r="R405" s="2" t="inlineStr"/>
    </row>
    <row r="406" ht="15" customHeight="1">
      <c r="A406" t="inlineStr">
        <is>
          <t>A 10386-2022</t>
        </is>
      </c>
      <c r="B406" s="1" t="n">
        <v>44623</v>
      </c>
      <c r="C406" s="1" t="n">
        <v>45635</v>
      </c>
      <c r="D406" t="inlineStr">
        <is>
          <t>DALARNAS LÄN</t>
        </is>
      </c>
      <c r="E406" t="inlineStr">
        <is>
          <t>MALUNG-SÄLEN</t>
        </is>
      </c>
      <c r="G406" t="n">
        <v>3.5</v>
      </c>
      <c r="H406" t="n">
        <v>0</v>
      </c>
      <c r="I406" t="n">
        <v>0</v>
      </c>
      <c r="J406" t="n">
        <v>0</v>
      </c>
      <c r="K406" t="n">
        <v>0</v>
      </c>
      <c r="L406" t="n">
        <v>0</v>
      </c>
      <c r="M406" t="n">
        <v>0</v>
      </c>
      <c r="N406" t="n">
        <v>0</v>
      </c>
      <c r="O406" t="n">
        <v>0</v>
      </c>
      <c r="P406" t="n">
        <v>0</v>
      </c>
      <c r="Q406" t="n">
        <v>0</v>
      </c>
      <c r="R406" s="2" t="inlineStr"/>
    </row>
    <row r="407" ht="15" customHeight="1">
      <c r="A407" t="inlineStr">
        <is>
          <t>A 10457-2022</t>
        </is>
      </c>
      <c r="B407" s="1" t="n">
        <v>44623</v>
      </c>
      <c r="C407" s="1" t="n">
        <v>45635</v>
      </c>
      <c r="D407" t="inlineStr">
        <is>
          <t>DALARNAS LÄN</t>
        </is>
      </c>
      <c r="E407" t="inlineStr">
        <is>
          <t>MALUNG-SÄLEN</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11542-2022</t>
        </is>
      </c>
      <c r="B408" s="1" t="n">
        <v>44631</v>
      </c>
      <c r="C408" s="1" t="n">
        <v>45635</v>
      </c>
      <c r="D408" t="inlineStr">
        <is>
          <t>DALARNAS LÄN</t>
        </is>
      </c>
      <c r="E408" t="inlineStr">
        <is>
          <t>MALUNG-SÄLEN</t>
        </is>
      </c>
      <c r="G408" t="n">
        <v>1.8</v>
      </c>
      <c r="H408" t="n">
        <v>0</v>
      </c>
      <c r="I408" t="n">
        <v>0</v>
      </c>
      <c r="J408" t="n">
        <v>0</v>
      </c>
      <c r="K408" t="n">
        <v>0</v>
      </c>
      <c r="L408" t="n">
        <v>0</v>
      </c>
      <c r="M408" t="n">
        <v>0</v>
      </c>
      <c r="N408" t="n">
        <v>0</v>
      </c>
      <c r="O408" t="n">
        <v>0</v>
      </c>
      <c r="P408" t="n">
        <v>0</v>
      </c>
      <c r="Q408" t="n">
        <v>0</v>
      </c>
      <c r="R408" s="2" t="inlineStr"/>
    </row>
    <row r="409" ht="15" customHeight="1">
      <c r="A409" t="inlineStr">
        <is>
          <t>A 12345-2022</t>
        </is>
      </c>
      <c r="B409" s="1" t="n">
        <v>44637</v>
      </c>
      <c r="C409" s="1" t="n">
        <v>45635</v>
      </c>
      <c r="D409" t="inlineStr">
        <is>
          <t>DALARNAS LÄN</t>
        </is>
      </c>
      <c r="E409" t="inlineStr">
        <is>
          <t>MALUNG-SÄLEN</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12842-2022</t>
        </is>
      </c>
      <c r="B410" s="1" t="n">
        <v>44641</v>
      </c>
      <c r="C410" s="1" t="n">
        <v>45635</v>
      </c>
      <c r="D410" t="inlineStr">
        <is>
          <t>DALARNAS LÄN</t>
        </is>
      </c>
      <c r="E410" t="inlineStr">
        <is>
          <t>MALUNG-SÄLEN</t>
        </is>
      </c>
      <c r="F410" t="inlineStr">
        <is>
          <t>Allmännings- och besparingsskogar</t>
        </is>
      </c>
      <c r="G410" t="n">
        <v>35.1</v>
      </c>
      <c r="H410" t="n">
        <v>0</v>
      </c>
      <c r="I410" t="n">
        <v>0</v>
      </c>
      <c r="J410" t="n">
        <v>0</v>
      </c>
      <c r="K410" t="n">
        <v>0</v>
      </c>
      <c r="L410" t="n">
        <v>0</v>
      </c>
      <c r="M410" t="n">
        <v>0</v>
      </c>
      <c r="N410" t="n">
        <v>0</v>
      </c>
      <c r="O410" t="n">
        <v>0</v>
      </c>
      <c r="P410" t="n">
        <v>0</v>
      </c>
      <c r="Q410" t="n">
        <v>0</v>
      </c>
      <c r="R410" s="2" t="inlineStr"/>
    </row>
    <row r="411" ht="15" customHeight="1">
      <c r="A411" t="inlineStr">
        <is>
          <t>A 12966-2022</t>
        </is>
      </c>
      <c r="B411" s="1" t="n">
        <v>44643</v>
      </c>
      <c r="C411" s="1" t="n">
        <v>45635</v>
      </c>
      <c r="D411" t="inlineStr">
        <is>
          <t>DALARNAS LÄN</t>
        </is>
      </c>
      <c r="E411" t="inlineStr">
        <is>
          <t>MALUNG-SÄLEN</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13230-2022</t>
        </is>
      </c>
      <c r="B412" s="1" t="n">
        <v>44644</v>
      </c>
      <c r="C412" s="1" t="n">
        <v>45635</v>
      </c>
      <c r="D412" t="inlineStr">
        <is>
          <t>DALARNAS LÄN</t>
        </is>
      </c>
      <c r="E412" t="inlineStr">
        <is>
          <t>MALUNG-SÄLEN</t>
        </is>
      </c>
      <c r="G412" t="n">
        <v>22.5</v>
      </c>
      <c r="H412" t="n">
        <v>0</v>
      </c>
      <c r="I412" t="n">
        <v>0</v>
      </c>
      <c r="J412" t="n">
        <v>0</v>
      </c>
      <c r="K412" t="n">
        <v>0</v>
      </c>
      <c r="L412" t="n">
        <v>0</v>
      </c>
      <c r="M412" t="n">
        <v>0</v>
      </c>
      <c r="N412" t="n">
        <v>0</v>
      </c>
      <c r="O412" t="n">
        <v>0</v>
      </c>
      <c r="P412" t="n">
        <v>0</v>
      </c>
      <c r="Q412" t="n">
        <v>0</v>
      </c>
      <c r="R412" s="2" t="inlineStr"/>
    </row>
    <row r="413" ht="15" customHeight="1">
      <c r="A413" t="inlineStr">
        <is>
          <t>A 13247-2022</t>
        </is>
      </c>
      <c r="B413" s="1" t="n">
        <v>44644</v>
      </c>
      <c r="C413" s="1" t="n">
        <v>45635</v>
      </c>
      <c r="D413" t="inlineStr">
        <is>
          <t>DALARNAS LÄN</t>
        </is>
      </c>
      <c r="E413" t="inlineStr">
        <is>
          <t>MALUNG-SÄLEN</t>
        </is>
      </c>
      <c r="G413" t="n">
        <v>10</v>
      </c>
      <c r="H413" t="n">
        <v>0</v>
      </c>
      <c r="I413" t="n">
        <v>0</v>
      </c>
      <c r="J413" t="n">
        <v>0</v>
      </c>
      <c r="K413" t="n">
        <v>0</v>
      </c>
      <c r="L413" t="n">
        <v>0</v>
      </c>
      <c r="M413" t="n">
        <v>0</v>
      </c>
      <c r="N413" t="n">
        <v>0</v>
      </c>
      <c r="O413" t="n">
        <v>0</v>
      </c>
      <c r="P413" t="n">
        <v>0</v>
      </c>
      <c r="Q413" t="n">
        <v>0</v>
      </c>
      <c r="R413" s="2" t="inlineStr"/>
    </row>
    <row r="414" ht="15" customHeight="1">
      <c r="A414" t="inlineStr">
        <is>
          <t>A 16380-2022</t>
        </is>
      </c>
      <c r="B414" s="1" t="n">
        <v>44671</v>
      </c>
      <c r="C414" s="1" t="n">
        <v>45635</v>
      </c>
      <c r="D414" t="inlineStr">
        <is>
          <t>DALARNAS LÄN</t>
        </is>
      </c>
      <c r="E414" t="inlineStr">
        <is>
          <t>MALUNG-SÄLEN</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17002-2022</t>
        </is>
      </c>
      <c r="B415" s="1" t="n">
        <v>44676</v>
      </c>
      <c r="C415" s="1" t="n">
        <v>45635</v>
      </c>
      <c r="D415" t="inlineStr">
        <is>
          <t>DALARNAS LÄN</t>
        </is>
      </c>
      <c r="E415" t="inlineStr">
        <is>
          <t>MALUNG-SÄLEN</t>
        </is>
      </c>
      <c r="G415" t="n">
        <v>3.6</v>
      </c>
      <c r="H415" t="n">
        <v>0</v>
      </c>
      <c r="I415" t="n">
        <v>0</v>
      </c>
      <c r="J415" t="n">
        <v>0</v>
      </c>
      <c r="K415" t="n">
        <v>0</v>
      </c>
      <c r="L415" t="n">
        <v>0</v>
      </c>
      <c r="M415" t="n">
        <v>0</v>
      </c>
      <c r="N415" t="n">
        <v>0</v>
      </c>
      <c r="O415" t="n">
        <v>0</v>
      </c>
      <c r="P415" t="n">
        <v>0</v>
      </c>
      <c r="Q415" t="n">
        <v>0</v>
      </c>
      <c r="R415" s="2" t="inlineStr"/>
    </row>
    <row r="416" ht="15" customHeight="1">
      <c r="A416" t="inlineStr">
        <is>
          <t>A 17161-2022</t>
        </is>
      </c>
      <c r="B416" s="1" t="n">
        <v>44677</v>
      </c>
      <c r="C416" s="1" t="n">
        <v>45635</v>
      </c>
      <c r="D416" t="inlineStr">
        <is>
          <t>DALARNAS LÄN</t>
        </is>
      </c>
      <c r="E416" t="inlineStr">
        <is>
          <t>MALUNG-SÄLEN</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17353-2022</t>
        </is>
      </c>
      <c r="B417" s="1" t="n">
        <v>44678</v>
      </c>
      <c r="C417" s="1" t="n">
        <v>45635</v>
      </c>
      <c r="D417" t="inlineStr">
        <is>
          <t>DALARNAS LÄN</t>
        </is>
      </c>
      <c r="E417" t="inlineStr">
        <is>
          <t>MALUNG-SÄLEN</t>
        </is>
      </c>
      <c r="F417" t="inlineStr">
        <is>
          <t>Bergvik skog öst AB</t>
        </is>
      </c>
      <c r="G417" t="n">
        <v>7.5</v>
      </c>
      <c r="H417" t="n">
        <v>0</v>
      </c>
      <c r="I417" t="n">
        <v>0</v>
      </c>
      <c r="J417" t="n">
        <v>0</v>
      </c>
      <c r="K417" t="n">
        <v>0</v>
      </c>
      <c r="L417" t="n">
        <v>0</v>
      </c>
      <c r="M417" t="n">
        <v>0</v>
      </c>
      <c r="N417" t="n">
        <v>0</v>
      </c>
      <c r="O417" t="n">
        <v>0</v>
      </c>
      <c r="P417" t="n">
        <v>0</v>
      </c>
      <c r="Q417" t="n">
        <v>0</v>
      </c>
      <c r="R417" s="2" t="inlineStr"/>
    </row>
    <row r="418" ht="15" customHeight="1">
      <c r="A418" t="inlineStr">
        <is>
          <t>A 18439-2022</t>
        </is>
      </c>
      <c r="B418" s="1" t="n">
        <v>44686</v>
      </c>
      <c r="C418" s="1" t="n">
        <v>45635</v>
      </c>
      <c r="D418" t="inlineStr">
        <is>
          <t>DALARNAS LÄN</t>
        </is>
      </c>
      <c r="E418" t="inlineStr">
        <is>
          <t>MALUNG-SÄLEN</t>
        </is>
      </c>
      <c r="G418" t="n">
        <v>1.2</v>
      </c>
      <c r="H418" t="n">
        <v>0</v>
      </c>
      <c r="I418" t="n">
        <v>0</v>
      </c>
      <c r="J418" t="n">
        <v>0</v>
      </c>
      <c r="K418" t="n">
        <v>0</v>
      </c>
      <c r="L418" t="n">
        <v>0</v>
      </c>
      <c r="M418" t="n">
        <v>0</v>
      </c>
      <c r="N418" t="n">
        <v>0</v>
      </c>
      <c r="O418" t="n">
        <v>0</v>
      </c>
      <c r="P418" t="n">
        <v>0</v>
      </c>
      <c r="Q418" t="n">
        <v>0</v>
      </c>
      <c r="R418" s="2" t="inlineStr"/>
    </row>
    <row r="419" ht="15" customHeight="1">
      <c r="A419" t="inlineStr">
        <is>
          <t>A 18591-2022</t>
        </is>
      </c>
      <c r="B419" s="1" t="n">
        <v>44687</v>
      </c>
      <c r="C419" s="1" t="n">
        <v>45635</v>
      </c>
      <c r="D419" t="inlineStr">
        <is>
          <t>DALARNAS LÄN</t>
        </is>
      </c>
      <c r="E419" t="inlineStr">
        <is>
          <t>MALUNG-SÄLEN</t>
        </is>
      </c>
      <c r="F419" t="inlineStr">
        <is>
          <t>Bergvik skog öst AB</t>
        </is>
      </c>
      <c r="G419" t="n">
        <v>6.4</v>
      </c>
      <c r="H419" t="n">
        <v>0</v>
      </c>
      <c r="I419" t="n">
        <v>0</v>
      </c>
      <c r="J419" t="n">
        <v>0</v>
      </c>
      <c r="K419" t="n">
        <v>0</v>
      </c>
      <c r="L419" t="n">
        <v>0</v>
      </c>
      <c r="M419" t="n">
        <v>0</v>
      </c>
      <c r="N419" t="n">
        <v>0</v>
      </c>
      <c r="O419" t="n">
        <v>0</v>
      </c>
      <c r="P419" t="n">
        <v>0</v>
      </c>
      <c r="Q419" t="n">
        <v>0</v>
      </c>
      <c r="R419" s="2" t="inlineStr"/>
    </row>
    <row r="420" ht="15" customHeight="1">
      <c r="A420" t="inlineStr">
        <is>
          <t>A 19353-2022</t>
        </is>
      </c>
      <c r="B420" s="1" t="n">
        <v>44692</v>
      </c>
      <c r="C420" s="1" t="n">
        <v>45635</v>
      </c>
      <c r="D420" t="inlineStr">
        <is>
          <t>DALARNAS LÄN</t>
        </is>
      </c>
      <c r="E420" t="inlineStr">
        <is>
          <t>MALUNG-SÄLEN</t>
        </is>
      </c>
      <c r="G420" t="n">
        <v>1.7</v>
      </c>
      <c r="H420" t="n">
        <v>0</v>
      </c>
      <c r="I420" t="n">
        <v>0</v>
      </c>
      <c r="J420" t="n">
        <v>0</v>
      </c>
      <c r="K420" t="n">
        <v>0</v>
      </c>
      <c r="L420" t="n">
        <v>0</v>
      </c>
      <c r="M420" t="n">
        <v>0</v>
      </c>
      <c r="N420" t="n">
        <v>0</v>
      </c>
      <c r="O420" t="n">
        <v>0</v>
      </c>
      <c r="P420" t="n">
        <v>0</v>
      </c>
      <c r="Q420" t="n">
        <v>0</v>
      </c>
      <c r="R420" s="2" t="inlineStr"/>
    </row>
    <row r="421" ht="15" customHeight="1">
      <c r="A421" t="inlineStr">
        <is>
          <t>A 19359-2022</t>
        </is>
      </c>
      <c r="B421" s="1" t="n">
        <v>44692</v>
      </c>
      <c r="C421" s="1" t="n">
        <v>45635</v>
      </c>
      <c r="D421" t="inlineStr">
        <is>
          <t>DALARNAS LÄN</t>
        </is>
      </c>
      <c r="E421" t="inlineStr">
        <is>
          <t>MALUNG-SÄLEN</t>
        </is>
      </c>
      <c r="G421" t="n">
        <v>0.9</v>
      </c>
      <c r="H421" t="n">
        <v>0</v>
      </c>
      <c r="I421" t="n">
        <v>0</v>
      </c>
      <c r="J421" t="n">
        <v>0</v>
      </c>
      <c r="K421" t="n">
        <v>0</v>
      </c>
      <c r="L421" t="n">
        <v>0</v>
      </c>
      <c r="M421" t="n">
        <v>0</v>
      </c>
      <c r="N421" t="n">
        <v>0</v>
      </c>
      <c r="O421" t="n">
        <v>0</v>
      </c>
      <c r="P421" t="n">
        <v>0</v>
      </c>
      <c r="Q421" t="n">
        <v>0</v>
      </c>
      <c r="R421" s="2" t="inlineStr"/>
    </row>
    <row r="422" ht="15" customHeight="1">
      <c r="A422" t="inlineStr">
        <is>
          <t>A 19841-2022</t>
        </is>
      </c>
      <c r="B422" s="1" t="n">
        <v>44696</v>
      </c>
      <c r="C422" s="1" t="n">
        <v>45635</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19937-2022</t>
        </is>
      </c>
      <c r="B423" s="1" t="n">
        <v>44697</v>
      </c>
      <c r="C423" s="1" t="n">
        <v>45635</v>
      </c>
      <c r="D423" t="inlineStr">
        <is>
          <t>DALARNAS LÄN</t>
        </is>
      </c>
      <c r="E423" t="inlineStr">
        <is>
          <t>MALUNG-SÄLEN</t>
        </is>
      </c>
      <c r="G423" t="n">
        <v>12.7</v>
      </c>
      <c r="H423" t="n">
        <v>0</v>
      </c>
      <c r="I423" t="n">
        <v>0</v>
      </c>
      <c r="J423" t="n">
        <v>0</v>
      </c>
      <c r="K423" t="n">
        <v>0</v>
      </c>
      <c r="L423" t="n">
        <v>0</v>
      </c>
      <c r="M423" t="n">
        <v>0</v>
      </c>
      <c r="N423" t="n">
        <v>0</v>
      </c>
      <c r="O423" t="n">
        <v>0</v>
      </c>
      <c r="P423" t="n">
        <v>0</v>
      </c>
      <c r="Q423" t="n">
        <v>0</v>
      </c>
      <c r="R423" s="2" t="inlineStr"/>
    </row>
    <row r="424" ht="15" customHeight="1">
      <c r="A424" t="inlineStr">
        <is>
          <t>A 20804-2022</t>
        </is>
      </c>
      <c r="B424" s="1" t="n">
        <v>44701</v>
      </c>
      <c r="C424" s="1" t="n">
        <v>45635</v>
      </c>
      <c r="D424" t="inlineStr">
        <is>
          <t>DALARNAS LÄN</t>
        </is>
      </c>
      <c r="E424" t="inlineStr">
        <is>
          <t>MALUNG-SÄLEN</t>
        </is>
      </c>
      <c r="G424" t="n">
        <v>4.3</v>
      </c>
      <c r="H424" t="n">
        <v>0</v>
      </c>
      <c r="I424" t="n">
        <v>0</v>
      </c>
      <c r="J424" t="n">
        <v>0</v>
      </c>
      <c r="K424" t="n">
        <v>0</v>
      </c>
      <c r="L424" t="n">
        <v>0</v>
      </c>
      <c r="M424" t="n">
        <v>0</v>
      </c>
      <c r="N424" t="n">
        <v>0</v>
      </c>
      <c r="O424" t="n">
        <v>0</v>
      </c>
      <c r="P424" t="n">
        <v>0</v>
      </c>
      <c r="Q424" t="n">
        <v>0</v>
      </c>
      <c r="R424" s="2" t="inlineStr"/>
    </row>
    <row r="425" ht="15" customHeight="1">
      <c r="A425" t="inlineStr">
        <is>
          <t>A 21081-2022</t>
        </is>
      </c>
      <c r="B425" s="1" t="n">
        <v>44704</v>
      </c>
      <c r="C425" s="1" t="n">
        <v>45635</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21555-2022</t>
        </is>
      </c>
      <c r="B426" s="1" t="n">
        <v>44706</v>
      </c>
      <c r="C426" s="1" t="n">
        <v>45635</v>
      </c>
      <c r="D426" t="inlineStr">
        <is>
          <t>DALARNAS LÄN</t>
        </is>
      </c>
      <c r="E426" t="inlineStr">
        <is>
          <t>MALUNG-SÄLEN</t>
        </is>
      </c>
      <c r="G426" t="n">
        <v>1.6</v>
      </c>
      <c r="H426" t="n">
        <v>0</v>
      </c>
      <c r="I426" t="n">
        <v>0</v>
      </c>
      <c r="J426" t="n">
        <v>0</v>
      </c>
      <c r="K426" t="n">
        <v>0</v>
      </c>
      <c r="L426" t="n">
        <v>0</v>
      </c>
      <c r="M426" t="n">
        <v>0</v>
      </c>
      <c r="N426" t="n">
        <v>0</v>
      </c>
      <c r="O426" t="n">
        <v>0</v>
      </c>
      <c r="P426" t="n">
        <v>0</v>
      </c>
      <c r="Q426" t="n">
        <v>0</v>
      </c>
      <c r="R426" s="2" t="inlineStr"/>
    </row>
    <row r="427" ht="15" customHeight="1">
      <c r="A427" t="inlineStr">
        <is>
          <t>A 21880-2022</t>
        </is>
      </c>
      <c r="B427" s="1" t="n">
        <v>44711</v>
      </c>
      <c r="C427" s="1" t="n">
        <v>45635</v>
      </c>
      <c r="D427" t="inlineStr">
        <is>
          <t>DALARNAS LÄN</t>
        </is>
      </c>
      <c r="E427" t="inlineStr">
        <is>
          <t>MALUNG-SÄLEN</t>
        </is>
      </c>
      <c r="G427" t="n">
        <v>7.1</v>
      </c>
      <c r="H427" t="n">
        <v>0</v>
      </c>
      <c r="I427" t="n">
        <v>0</v>
      </c>
      <c r="J427" t="n">
        <v>0</v>
      </c>
      <c r="K427" t="n">
        <v>0</v>
      </c>
      <c r="L427" t="n">
        <v>0</v>
      </c>
      <c r="M427" t="n">
        <v>0</v>
      </c>
      <c r="N427" t="n">
        <v>0</v>
      </c>
      <c r="O427" t="n">
        <v>0</v>
      </c>
      <c r="P427" t="n">
        <v>0</v>
      </c>
      <c r="Q427" t="n">
        <v>0</v>
      </c>
      <c r="R427" s="2" t="inlineStr"/>
    </row>
    <row r="428" ht="15" customHeight="1">
      <c r="A428" t="inlineStr">
        <is>
          <t>A 22310-2022</t>
        </is>
      </c>
      <c r="B428" s="1" t="n">
        <v>44712</v>
      </c>
      <c r="C428" s="1" t="n">
        <v>45635</v>
      </c>
      <c r="D428" t="inlineStr">
        <is>
          <t>DALARNAS LÄN</t>
        </is>
      </c>
      <c r="E428" t="inlineStr">
        <is>
          <t>MALUNG-SÄLEN</t>
        </is>
      </c>
      <c r="F428" t="inlineStr">
        <is>
          <t>Kyrkan</t>
        </is>
      </c>
      <c r="G428" t="n">
        <v>1.1</v>
      </c>
      <c r="H428" t="n">
        <v>0</v>
      </c>
      <c r="I428" t="n">
        <v>0</v>
      </c>
      <c r="J428" t="n">
        <v>0</v>
      </c>
      <c r="K428" t="n">
        <v>0</v>
      </c>
      <c r="L428" t="n">
        <v>0</v>
      </c>
      <c r="M428" t="n">
        <v>0</v>
      </c>
      <c r="N428" t="n">
        <v>0</v>
      </c>
      <c r="O428" t="n">
        <v>0</v>
      </c>
      <c r="P428" t="n">
        <v>0</v>
      </c>
      <c r="Q428" t="n">
        <v>0</v>
      </c>
      <c r="R428" s="2" t="inlineStr"/>
    </row>
    <row r="429" ht="15" customHeight="1">
      <c r="A429" t="inlineStr">
        <is>
          <t>A 23542-2022</t>
        </is>
      </c>
      <c r="B429" s="1" t="n">
        <v>44721</v>
      </c>
      <c r="C429" s="1" t="n">
        <v>45635</v>
      </c>
      <c r="D429" t="inlineStr">
        <is>
          <t>DALARNAS LÄN</t>
        </is>
      </c>
      <c r="E429" t="inlineStr">
        <is>
          <t>MALUNG-SÄLEN</t>
        </is>
      </c>
      <c r="G429" t="n">
        <v>0.5</v>
      </c>
      <c r="H429" t="n">
        <v>0</v>
      </c>
      <c r="I429" t="n">
        <v>0</v>
      </c>
      <c r="J429" t="n">
        <v>0</v>
      </c>
      <c r="K429" t="n">
        <v>0</v>
      </c>
      <c r="L429" t="n">
        <v>0</v>
      </c>
      <c r="M429" t="n">
        <v>0</v>
      </c>
      <c r="N429" t="n">
        <v>0</v>
      </c>
      <c r="O429" t="n">
        <v>0</v>
      </c>
      <c r="P429" t="n">
        <v>0</v>
      </c>
      <c r="Q429" t="n">
        <v>0</v>
      </c>
      <c r="R429" s="2" t="inlineStr"/>
    </row>
    <row r="430" ht="15" customHeight="1">
      <c r="A430" t="inlineStr">
        <is>
          <t>A 23617-2022</t>
        </is>
      </c>
      <c r="B430" s="1" t="n">
        <v>44721</v>
      </c>
      <c r="C430" s="1" t="n">
        <v>45635</v>
      </c>
      <c r="D430" t="inlineStr">
        <is>
          <t>DALARNAS LÄN</t>
        </is>
      </c>
      <c r="E430" t="inlineStr">
        <is>
          <t>MALUNG-SÄLEN</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23606-2022</t>
        </is>
      </c>
      <c r="B431" s="1" t="n">
        <v>44721</v>
      </c>
      <c r="C431" s="1" t="n">
        <v>45635</v>
      </c>
      <c r="D431" t="inlineStr">
        <is>
          <t>DALARNAS LÄN</t>
        </is>
      </c>
      <c r="E431" t="inlineStr">
        <is>
          <t>MALUNG-SÄLEN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23651-2022</t>
        </is>
      </c>
      <c r="B432" s="1" t="n">
        <v>44721</v>
      </c>
      <c r="C432" s="1" t="n">
        <v>45635</v>
      </c>
      <c r="D432" t="inlineStr">
        <is>
          <t>DALARNAS LÄN</t>
        </is>
      </c>
      <c r="E432" t="inlineStr">
        <is>
          <t>MALUNG-SÄLEN</t>
        </is>
      </c>
      <c r="F432" t="inlineStr">
        <is>
          <t>Bergvik skog väst AB</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24164-2022</t>
        </is>
      </c>
      <c r="B433" s="1" t="n">
        <v>44725</v>
      </c>
      <c r="C433" s="1" t="n">
        <v>45635</v>
      </c>
      <c r="D433" t="inlineStr">
        <is>
          <t>DALARNAS LÄN</t>
        </is>
      </c>
      <c r="E433" t="inlineStr">
        <is>
          <t>MALUNG-SÄLEN</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24168-2022</t>
        </is>
      </c>
      <c r="B434" s="1" t="n">
        <v>44725</v>
      </c>
      <c r="C434" s="1" t="n">
        <v>45635</v>
      </c>
      <c r="D434" t="inlineStr">
        <is>
          <t>DALARNAS LÄN</t>
        </is>
      </c>
      <c r="E434" t="inlineStr">
        <is>
          <t>MALUNG-SÄLEN</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24104-2022</t>
        </is>
      </c>
      <c r="B435" s="1" t="n">
        <v>44725</v>
      </c>
      <c r="C435" s="1" t="n">
        <v>45635</v>
      </c>
      <c r="D435" t="inlineStr">
        <is>
          <t>DALARNAS LÄN</t>
        </is>
      </c>
      <c r="E435" t="inlineStr">
        <is>
          <t>MALUNG-SÄLEN</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24140-2022</t>
        </is>
      </c>
      <c r="B436" s="1" t="n">
        <v>44725</v>
      </c>
      <c r="C436" s="1" t="n">
        <v>45635</v>
      </c>
      <c r="D436" t="inlineStr">
        <is>
          <t>DALARNAS LÄN</t>
        </is>
      </c>
      <c r="E436" t="inlineStr">
        <is>
          <t>MALUNG-SÄLEN</t>
        </is>
      </c>
      <c r="F436" t="inlineStr">
        <is>
          <t>Kommuner</t>
        </is>
      </c>
      <c r="G436" t="n">
        <v>10.2</v>
      </c>
      <c r="H436" t="n">
        <v>0</v>
      </c>
      <c r="I436" t="n">
        <v>0</v>
      </c>
      <c r="J436" t="n">
        <v>0</v>
      </c>
      <c r="K436" t="n">
        <v>0</v>
      </c>
      <c r="L436" t="n">
        <v>0</v>
      </c>
      <c r="M436" t="n">
        <v>0</v>
      </c>
      <c r="N436" t="n">
        <v>0</v>
      </c>
      <c r="O436" t="n">
        <v>0</v>
      </c>
      <c r="P436" t="n">
        <v>0</v>
      </c>
      <c r="Q436" t="n">
        <v>0</v>
      </c>
      <c r="R436" s="2" t="inlineStr"/>
    </row>
    <row r="437" ht="15" customHeight="1">
      <c r="A437" t="inlineStr">
        <is>
          <t>A 24103-2022</t>
        </is>
      </c>
      <c r="B437" s="1" t="n">
        <v>44725</v>
      </c>
      <c r="C437" s="1" t="n">
        <v>45635</v>
      </c>
      <c r="D437" t="inlineStr">
        <is>
          <t>DALARNAS LÄN</t>
        </is>
      </c>
      <c r="E437" t="inlineStr">
        <is>
          <t>MALUNG-SÄLEN</t>
        </is>
      </c>
      <c r="F437" t="inlineStr">
        <is>
          <t>Kommuner</t>
        </is>
      </c>
      <c r="G437" t="n">
        <v>3.8</v>
      </c>
      <c r="H437" t="n">
        <v>0</v>
      </c>
      <c r="I437" t="n">
        <v>0</v>
      </c>
      <c r="J437" t="n">
        <v>0</v>
      </c>
      <c r="K437" t="n">
        <v>0</v>
      </c>
      <c r="L437" t="n">
        <v>0</v>
      </c>
      <c r="M437" t="n">
        <v>0</v>
      </c>
      <c r="N437" t="n">
        <v>0</v>
      </c>
      <c r="O437" t="n">
        <v>0</v>
      </c>
      <c r="P437" t="n">
        <v>0</v>
      </c>
      <c r="Q437" t="n">
        <v>0</v>
      </c>
      <c r="R437" s="2" t="inlineStr"/>
    </row>
    <row r="438" ht="15" customHeight="1">
      <c r="A438" t="inlineStr">
        <is>
          <t>A 24165-2022</t>
        </is>
      </c>
      <c r="B438" s="1" t="n">
        <v>44725</v>
      </c>
      <c r="C438" s="1" t="n">
        <v>45635</v>
      </c>
      <c r="D438" t="inlineStr">
        <is>
          <t>DALARNAS LÄN</t>
        </is>
      </c>
      <c r="E438" t="inlineStr">
        <is>
          <t>MALUNG-SÄLEN</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24174-2022</t>
        </is>
      </c>
      <c r="B439" s="1" t="n">
        <v>44725</v>
      </c>
      <c r="C439" s="1" t="n">
        <v>45635</v>
      </c>
      <c r="D439" t="inlineStr">
        <is>
          <t>DALARNAS LÄN</t>
        </is>
      </c>
      <c r="E439" t="inlineStr">
        <is>
          <t>MALUNG-SÄLEN</t>
        </is>
      </c>
      <c r="F439" t="inlineStr">
        <is>
          <t>Kommuner</t>
        </is>
      </c>
      <c r="G439" t="n">
        <v>4.5</v>
      </c>
      <c r="H439" t="n">
        <v>0</v>
      </c>
      <c r="I439" t="n">
        <v>0</v>
      </c>
      <c r="J439" t="n">
        <v>0</v>
      </c>
      <c r="K439" t="n">
        <v>0</v>
      </c>
      <c r="L439" t="n">
        <v>0</v>
      </c>
      <c r="M439" t="n">
        <v>0</v>
      </c>
      <c r="N439" t="n">
        <v>0</v>
      </c>
      <c r="O439" t="n">
        <v>0</v>
      </c>
      <c r="P439" t="n">
        <v>0</v>
      </c>
      <c r="Q439" t="n">
        <v>0</v>
      </c>
      <c r="R439" s="2" t="inlineStr"/>
    </row>
    <row r="440" ht="15" customHeight="1">
      <c r="A440" t="inlineStr">
        <is>
          <t>A 24107-2022</t>
        </is>
      </c>
      <c r="B440" s="1" t="n">
        <v>44725</v>
      </c>
      <c r="C440" s="1" t="n">
        <v>45635</v>
      </c>
      <c r="D440" t="inlineStr">
        <is>
          <t>DALARNAS LÄN</t>
        </is>
      </c>
      <c r="E440" t="inlineStr">
        <is>
          <t>MALUNG-SÄLEN</t>
        </is>
      </c>
      <c r="F440" t="inlineStr">
        <is>
          <t>Kommuner</t>
        </is>
      </c>
      <c r="G440" t="n">
        <v>2.4</v>
      </c>
      <c r="H440" t="n">
        <v>0</v>
      </c>
      <c r="I440" t="n">
        <v>0</v>
      </c>
      <c r="J440" t="n">
        <v>0</v>
      </c>
      <c r="K440" t="n">
        <v>0</v>
      </c>
      <c r="L440" t="n">
        <v>0</v>
      </c>
      <c r="M440" t="n">
        <v>0</v>
      </c>
      <c r="N440" t="n">
        <v>0</v>
      </c>
      <c r="O440" t="n">
        <v>0</v>
      </c>
      <c r="P440" t="n">
        <v>0</v>
      </c>
      <c r="Q440" t="n">
        <v>0</v>
      </c>
      <c r="R440" s="2" t="inlineStr"/>
    </row>
    <row r="441" ht="15" customHeight="1">
      <c r="A441" t="inlineStr">
        <is>
          <t>A 24364-2022</t>
        </is>
      </c>
      <c r="B441" s="1" t="n">
        <v>44726</v>
      </c>
      <c r="C441" s="1" t="n">
        <v>45635</v>
      </c>
      <c r="D441" t="inlineStr">
        <is>
          <t>DALARNAS LÄN</t>
        </is>
      </c>
      <c r="E441" t="inlineStr">
        <is>
          <t>MALUNG-SÄLEN</t>
        </is>
      </c>
      <c r="G441" t="n">
        <v>2.4</v>
      </c>
      <c r="H441" t="n">
        <v>0</v>
      </c>
      <c r="I441" t="n">
        <v>0</v>
      </c>
      <c r="J441" t="n">
        <v>0</v>
      </c>
      <c r="K441" t="n">
        <v>0</v>
      </c>
      <c r="L441" t="n">
        <v>0</v>
      </c>
      <c r="M441" t="n">
        <v>0</v>
      </c>
      <c r="N441" t="n">
        <v>0</v>
      </c>
      <c r="O441" t="n">
        <v>0</v>
      </c>
      <c r="P441" t="n">
        <v>0</v>
      </c>
      <c r="Q441" t="n">
        <v>0</v>
      </c>
      <c r="R441" s="2" t="inlineStr"/>
    </row>
    <row r="442" ht="15" customHeight="1">
      <c r="A442" t="inlineStr">
        <is>
          <t>A 25772-2022</t>
        </is>
      </c>
      <c r="B442" s="1" t="n">
        <v>44733</v>
      </c>
      <c r="C442" s="1" t="n">
        <v>45635</v>
      </c>
      <c r="D442" t="inlineStr">
        <is>
          <t>DALARNAS LÄN</t>
        </is>
      </c>
      <c r="E442" t="inlineStr">
        <is>
          <t>MALUNG-SÄLEN</t>
        </is>
      </c>
      <c r="G442" t="n">
        <v>5.3</v>
      </c>
      <c r="H442" t="n">
        <v>0</v>
      </c>
      <c r="I442" t="n">
        <v>0</v>
      </c>
      <c r="J442" t="n">
        <v>0</v>
      </c>
      <c r="K442" t="n">
        <v>0</v>
      </c>
      <c r="L442" t="n">
        <v>0</v>
      </c>
      <c r="M442" t="n">
        <v>0</v>
      </c>
      <c r="N442" t="n">
        <v>0</v>
      </c>
      <c r="O442" t="n">
        <v>0</v>
      </c>
      <c r="P442" t="n">
        <v>0</v>
      </c>
      <c r="Q442" t="n">
        <v>0</v>
      </c>
      <c r="R442" s="2" t="inlineStr"/>
    </row>
    <row r="443" ht="15" customHeight="1">
      <c r="A443" t="inlineStr">
        <is>
          <t>A 25782-2022</t>
        </is>
      </c>
      <c r="B443" s="1" t="n">
        <v>44733</v>
      </c>
      <c r="C443" s="1" t="n">
        <v>45635</v>
      </c>
      <c r="D443" t="inlineStr">
        <is>
          <t>DALARNAS LÄN</t>
        </is>
      </c>
      <c r="E443" t="inlineStr">
        <is>
          <t>MALUNG-SÄLEN</t>
        </is>
      </c>
      <c r="G443" t="n">
        <v>6.1</v>
      </c>
      <c r="H443" t="n">
        <v>0</v>
      </c>
      <c r="I443" t="n">
        <v>0</v>
      </c>
      <c r="J443" t="n">
        <v>0</v>
      </c>
      <c r="K443" t="n">
        <v>0</v>
      </c>
      <c r="L443" t="n">
        <v>0</v>
      </c>
      <c r="M443" t="n">
        <v>0</v>
      </c>
      <c r="N443" t="n">
        <v>0</v>
      </c>
      <c r="O443" t="n">
        <v>0</v>
      </c>
      <c r="P443" t="n">
        <v>0</v>
      </c>
      <c r="Q443" t="n">
        <v>0</v>
      </c>
      <c r="R443" s="2" t="inlineStr"/>
    </row>
    <row r="444" ht="15" customHeight="1">
      <c r="A444" t="inlineStr">
        <is>
          <t>A 25872-2022</t>
        </is>
      </c>
      <c r="B444" s="1" t="n">
        <v>44733</v>
      </c>
      <c r="C444" s="1" t="n">
        <v>45635</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26010-2022</t>
        </is>
      </c>
      <c r="B445" s="1" t="n">
        <v>44734</v>
      </c>
      <c r="C445" s="1" t="n">
        <v>45635</v>
      </c>
      <c r="D445" t="inlineStr">
        <is>
          <t>DALARNAS LÄN</t>
        </is>
      </c>
      <c r="E445" t="inlineStr">
        <is>
          <t>MALUNG-SÄLEN</t>
        </is>
      </c>
      <c r="G445" t="n">
        <v>2.5</v>
      </c>
      <c r="H445" t="n">
        <v>0</v>
      </c>
      <c r="I445" t="n">
        <v>0</v>
      </c>
      <c r="J445" t="n">
        <v>0</v>
      </c>
      <c r="K445" t="n">
        <v>0</v>
      </c>
      <c r="L445" t="n">
        <v>0</v>
      </c>
      <c r="M445" t="n">
        <v>0</v>
      </c>
      <c r="N445" t="n">
        <v>0</v>
      </c>
      <c r="O445" t="n">
        <v>0</v>
      </c>
      <c r="P445" t="n">
        <v>0</v>
      </c>
      <c r="Q445" t="n">
        <v>0</v>
      </c>
      <c r="R445" s="2" t="inlineStr"/>
    </row>
    <row r="446" ht="15" customHeight="1">
      <c r="A446" t="inlineStr">
        <is>
          <t>A 26672-2022</t>
        </is>
      </c>
      <c r="B446" s="1" t="n">
        <v>44739</v>
      </c>
      <c r="C446" s="1" t="n">
        <v>45635</v>
      </c>
      <c r="D446" t="inlineStr">
        <is>
          <t>DALARNAS LÄN</t>
        </is>
      </c>
      <c r="E446" t="inlineStr">
        <is>
          <t>MALUNG-SÄLEN</t>
        </is>
      </c>
      <c r="G446" t="n">
        <v>1.5</v>
      </c>
      <c r="H446" t="n">
        <v>0</v>
      </c>
      <c r="I446" t="n">
        <v>0</v>
      </c>
      <c r="J446" t="n">
        <v>0</v>
      </c>
      <c r="K446" t="n">
        <v>0</v>
      </c>
      <c r="L446" t="n">
        <v>0</v>
      </c>
      <c r="M446" t="n">
        <v>0</v>
      </c>
      <c r="N446" t="n">
        <v>0</v>
      </c>
      <c r="O446" t="n">
        <v>0</v>
      </c>
      <c r="P446" t="n">
        <v>0</v>
      </c>
      <c r="Q446" t="n">
        <v>0</v>
      </c>
      <c r="R446" s="2" t="inlineStr"/>
    </row>
    <row r="447" ht="15" customHeight="1">
      <c r="A447" t="inlineStr">
        <is>
          <t>A 26667-2022</t>
        </is>
      </c>
      <c r="B447" s="1" t="n">
        <v>44739</v>
      </c>
      <c r="C447" s="1" t="n">
        <v>45635</v>
      </c>
      <c r="D447" t="inlineStr">
        <is>
          <t>DALARNAS LÄN</t>
        </is>
      </c>
      <c r="E447" t="inlineStr">
        <is>
          <t>MALUNG-SÄLEN</t>
        </is>
      </c>
      <c r="G447" t="n">
        <v>4.2</v>
      </c>
      <c r="H447" t="n">
        <v>0</v>
      </c>
      <c r="I447" t="n">
        <v>0</v>
      </c>
      <c r="J447" t="n">
        <v>0</v>
      </c>
      <c r="K447" t="n">
        <v>0</v>
      </c>
      <c r="L447" t="n">
        <v>0</v>
      </c>
      <c r="M447" t="n">
        <v>0</v>
      </c>
      <c r="N447" t="n">
        <v>0</v>
      </c>
      <c r="O447" t="n">
        <v>0</v>
      </c>
      <c r="P447" t="n">
        <v>0</v>
      </c>
      <c r="Q447" t="n">
        <v>0</v>
      </c>
      <c r="R447" s="2" t="inlineStr"/>
    </row>
    <row r="448" ht="15" customHeight="1">
      <c r="A448" t="inlineStr">
        <is>
          <t>A 27172-2022</t>
        </is>
      </c>
      <c r="B448" s="1" t="n">
        <v>44741</v>
      </c>
      <c r="C448" s="1" t="n">
        <v>45635</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27139-2022</t>
        </is>
      </c>
      <c r="B449" s="1" t="n">
        <v>44741</v>
      </c>
      <c r="C449" s="1" t="n">
        <v>45635</v>
      </c>
      <c r="D449" t="inlineStr">
        <is>
          <t>DALARNAS LÄN</t>
        </is>
      </c>
      <c r="E449" t="inlineStr">
        <is>
          <t>MALUNG-SÄLEN</t>
        </is>
      </c>
      <c r="F449" t="inlineStr">
        <is>
          <t>Kommuner</t>
        </is>
      </c>
      <c r="G449" t="n">
        <v>4.9</v>
      </c>
      <c r="H449" t="n">
        <v>0</v>
      </c>
      <c r="I449" t="n">
        <v>0</v>
      </c>
      <c r="J449" t="n">
        <v>0</v>
      </c>
      <c r="K449" t="n">
        <v>0</v>
      </c>
      <c r="L449" t="n">
        <v>0</v>
      </c>
      <c r="M449" t="n">
        <v>0</v>
      </c>
      <c r="N449" t="n">
        <v>0</v>
      </c>
      <c r="O449" t="n">
        <v>0</v>
      </c>
      <c r="P449" t="n">
        <v>0</v>
      </c>
      <c r="Q449" t="n">
        <v>0</v>
      </c>
      <c r="R449" s="2" t="inlineStr"/>
    </row>
    <row r="450" ht="15" customHeight="1">
      <c r="A450" t="inlineStr">
        <is>
          <t>A 27143-2022</t>
        </is>
      </c>
      <c r="B450" s="1" t="n">
        <v>44741</v>
      </c>
      <c r="C450" s="1" t="n">
        <v>45635</v>
      </c>
      <c r="D450" t="inlineStr">
        <is>
          <t>DALARNAS LÄN</t>
        </is>
      </c>
      <c r="E450" t="inlineStr">
        <is>
          <t>MALUNG-SÄLEN</t>
        </is>
      </c>
      <c r="F450" t="inlineStr">
        <is>
          <t>Kommuner</t>
        </is>
      </c>
      <c r="G450" t="n">
        <v>3.6</v>
      </c>
      <c r="H450" t="n">
        <v>0</v>
      </c>
      <c r="I450" t="n">
        <v>0</v>
      </c>
      <c r="J450" t="n">
        <v>0</v>
      </c>
      <c r="K450" t="n">
        <v>0</v>
      </c>
      <c r="L450" t="n">
        <v>0</v>
      </c>
      <c r="M450" t="n">
        <v>0</v>
      </c>
      <c r="N450" t="n">
        <v>0</v>
      </c>
      <c r="O450" t="n">
        <v>0</v>
      </c>
      <c r="P450" t="n">
        <v>0</v>
      </c>
      <c r="Q450" t="n">
        <v>0</v>
      </c>
      <c r="R450" s="2" t="inlineStr"/>
    </row>
    <row r="451" ht="15" customHeight="1">
      <c r="A451" t="inlineStr">
        <is>
          <t>A 27841-2022</t>
        </is>
      </c>
      <c r="B451" s="1" t="n">
        <v>44743</v>
      </c>
      <c r="C451" s="1" t="n">
        <v>45635</v>
      </c>
      <c r="D451" t="inlineStr">
        <is>
          <t>DALARNAS LÄN</t>
        </is>
      </c>
      <c r="E451" t="inlineStr">
        <is>
          <t>MALUNG-SÄLEN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27846-2022</t>
        </is>
      </c>
      <c r="B452" s="1" t="n">
        <v>44743</v>
      </c>
      <c r="C452" s="1" t="n">
        <v>45635</v>
      </c>
      <c r="D452" t="inlineStr">
        <is>
          <t>DALARNAS LÄN</t>
        </is>
      </c>
      <c r="E452" t="inlineStr">
        <is>
          <t>MALUNG-SÄLEN</t>
        </is>
      </c>
      <c r="F452" t="inlineStr">
        <is>
          <t>Kommuner</t>
        </is>
      </c>
      <c r="G452" t="n">
        <v>0.3</v>
      </c>
      <c r="H452" t="n">
        <v>0</v>
      </c>
      <c r="I452" t="n">
        <v>0</v>
      </c>
      <c r="J452" t="n">
        <v>0</v>
      </c>
      <c r="K452" t="n">
        <v>0</v>
      </c>
      <c r="L452" t="n">
        <v>0</v>
      </c>
      <c r="M452" t="n">
        <v>0</v>
      </c>
      <c r="N452" t="n">
        <v>0</v>
      </c>
      <c r="O452" t="n">
        <v>0</v>
      </c>
      <c r="P452" t="n">
        <v>0</v>
      </c>
      <c r="Q452" t="n">
        <v>0</v>
      </c>
      <c r="R452" s="2" t="inlineStr"/>
    </row>
    <row r="453" ht="15" customHeight="1">
      <c r="A453" t="inlineStr">
        <is>
          <t>A 27839-2022</t>
        </is>
      </c>
      <c r="B453" s="1" t="n">
        <v>44743</v>
      </c>
      <c r="C453" s="1" t="n">
        <v>45635</v>
      </c>
      <c r="D453" t="inlineStr">
        <is>
          <t>DALARNAS LÄN</t>
        </is>
      </c>
      <c r="E453" t="inlineStr">
        <is>
          <t>MALUNG-SÄLEN</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27849-2022</t>
        </is>
      </c>
      <c r="B454" s="1" t="n">
        <v>44743</v>
      </c>
      <c r="C454" s="1" t="n">
        <v>45635</v>
      </c>
      <c r="D454" t="inlineStr">
        <is>
          <t>DALARNAS LÄN</t>
        </is>
      </c>
      <c r="E454" t="inlineStr">
        <is>
          <t>MALUNG-SÄLEN</t>
        </is>
      </c>
      <c r="F454" t="inlineStr">
        <is>
          <t>Kommuner</t>
        </is>
      </c>
      <c r="G454" t="n">
        <v>0.4</v>
      </c>
      <c r="H454" t="n">
        <v>0</v>
      </c>
      <c r="I454" t="n">
        <v>0</v>
      </c>
      <c r="J454" t="n">
        <v>0</v>
      </c>
      <c r="K454" t="n">
        <v>0</v>
      </c>
      <c r="L454" t="n">
        <v>0</v>
      </c>
      <c r="M454" t="n">
        <v>0</v>
      </c>
      <c r="N454" t="n">
        <v>0</v>
      </c>
      <c r="O454" t="n">
        <v>0</v>
      </c>
      <c r="P454" t="n">
        <v>0</v>
      </c>
      <c r="Q454" t="n">
        <v>0</v>
      </c>
      <c r="R454" s="2" t="inlineStr"/>
    </row>
    <row r="455" ht="15" customHeight="1">
      <c r="A455" t="inlineStr">
        <is>
          <t>A 28921-2022</t>
        </is>
      </c>
      <c r="B455" s="1" t="n">
        <v>44749</v>
      </c>
      <c r="C455" s="1" t="n">
        <v>45635</v>
      </c>
      <c r="D455" t="inlineStr">
        <is>
          <t>DALARNAS LÄN</t>
        </is>
      </c>
      <c r="E455" t="inlineStr">
        <is>
          <t>MALUNG-SÄLEN</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28895-2022</t>
        </is>
      </c>
      <c r="B456" s="1" t="n">
        <v>44749</v>
      </c>
      <c r="C456" s="1" t="n">
        <v>45635</v>
      </c>
      <c r="D456" t="inlineStr">
        <is>
          <t>DALARNAS LÄN</t>
        </is>
      </c>
      <c r="E456" t="inlineStr">
        <is>
          <t>MALUNG-SÄLEN</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29110-2022</t>
        </is>
      </c>
      <c r="B457" s="1" t="n">
        <v>44750</v>
      </c>
      <c r="C457" s="1" t="n">
        <v>45635</v>
      </c>
      <c r="D457" t="inlineStr">
        <is>
          <t>DALARNAS LÄN</t>
        </is>
      </c>
      <c r="E457" t="inlineStr">
        <is>
          <t>MALUNG-SÄLEN</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29597-2022</t>
        </is>
      </c>
      <c r="B458" s="1" t="n">
        <v>44754</v>
      </c>
      <c r="C458" s="1" t="n">
        <v>45635</v>
      </c>
      <c r="D458" t="inlineStr">
        <is>
          <t>DALARNAS LÄN</t>
        </is>
      </c>
      <c r="E458" t="inlineStr">
        <is>
          <t>MALUNG-SÄLEN</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29861-2022</t>
        </is>
      </c>
      <c r="B459" s="1" t="n">
        <v>44756</v>
      </c>
      <c r="C459" s="1" t="n">
        <v>45635</v>
      </c>
      <c r="D459" t="inlineStr">
        <is>
          <t>DALARNAS LÄN</t>
        </is>
      </c>
      <c r="E459" t="inlineStr">
        <is>
          <t>MALUNG-SÄLEN</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29998-2022</t>
        </is>
      </c>
      <c r="B460" s="1" t="n">
        <v>44756</v>
      </c>
      <c r="C460" s="1" t="n">
        <v>45635</v>
      </c>
      <c r="D460" t="inlineStr">
        <is>
          <t>DALARNAS LÄN</t>
        </is>
      </c>
      <c r="E460" t="inlineStr">
        <is>
          <t>MALUNG-SÄLEN</t>
        </is>
      </c>
      <c r="G460" t="n">
        <v>1.8</v>
      </c>
      <c r="H460" t="n">
        <v>0</v>
      </c>
      <c r="I460" t="n">
        <v>0</v>
      </c>
      <c r="J460" t="n">
        <v>0</v>
      </c>
      <c r="K460" t="n">
        <v>0</v>
      </c>
      <c r="L460" t="n">
        <v>0</v>
      </c>
      <c r="M460" t="n">
        <v>0</v>
      </c>
      <c r="N460" t="n">
        <v>0</v>
      </c>
      <c r="O460" t="n">
        <v>0</v>
      </c>
      <c r="P460" t="n">
        <v>0</v>
      </c>
      <c r="Q460" t="n">
        <v>0</v>
      </c>
      <c r="R460" s="2" t="inlineStr"/>
    </row>
    <row r="461" ht="15" customHeight="1">
      <c r="A461" t="inlineStr">
        <is>
          <t>A 32486-2022</t>
        </is>
      </c>
      <c r="B461" s="1" t="n">
        <v>44782</v>
      </c>
      <c r="C461" s="1" t="n">
        <v>45635</v>
      </c>
      <c r="D461" t="inlineStr">
        <is>
          <t>DALARNAS LÄN</t>
        </is>
      </c>
      <c r="E461" t="inlineStr">
        <is>
          <t>MALUNG-SÄLEN</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33618-2022</t>
        </is>
      </c>
      <c r="B462" s="1" t="n">
        <v>44789</v>
      </c>
      <c r="C462" s="1" t="n">
        <v>45635</v>
      </c>
      <c r="D462" t="inlineStr">
        <is>
          <t>DALARNAS LÄN</t>
        </is>
      </c>
      <c r="E462" t="inlineStr">
        <is>
          <t>MALUNG-SÄLEN</t>
        </is>
      </c>
      <c r="G462" t="n">
        <v>1.6</v>
      </c>
      <c r="H462" t="n">
        <v>0</v>
      </c>
      <c r="I462" t="n">
        <v>0</v>
      </c>
      <c r="J462" t="n">
        <v>0</v>
      </c>
      <c r="K462" t="n">
        <v>0</v>
      </c>
      <c r="L462" t="n">
        <v>0</v>
      </c>
      <c r="M462" t="n">
        <v>0</v>
      </c>
      <c r="N462" t="n">
        <v>0</v>
      </c>
      <c r="O462" t="n">
        <v>0</v>
      </c>
      <c r="P462" t="n">
        <v>0</v>
      </c>
      <c r="Q462" t="n">
        <v>0</v>
      </c>
      <c r="R462" s="2" t="inlineStr"/>
    </row>
    <row r="463" ht="15" customHeight="1">
      <c r="A463" t="inlineStr">
        <is>
          <t>A 33652-2022</t>
        </is>
      </c>
      <c r="B463" s="1" t="n">
        <v>44789</v>
      </c>
      <c r="C463" s="1" t="n">
        <v>45635</v>
      </c>
      <c r="D463" t="inlineStr">
        <is>
          <t>DALARNAS LÄN</t>
        </is>
      </c>
      <c r="E463" t="inlineStr">
        <is>
          <t>MALUNG-SÄLEN</t>
        </is>
      </c>
      <c r="G463" t="n">
        <v>7.3</v>
      </c>
      <c r="H463" t="n">
        <v>0</v>
      </c>
      <c r="I463" t="n">
        <v>0</v>
      </c>
      <c r="J463" t="n">
        <v>0</v>
      </c>
      <c r="K463" t="n">
        <v>0</v>
      </c>
      <c r="L463" t="n">
        <v>0</v>
      </c>
      <c r="M463" t="n">
        <v>0</v>
      </c>
      <c r="N463" t="n">
        <v>0</v>
      </c>
      <c r="O463" t="n">
        <v>0</v>
      </c>
      <c r="P463" t="n">
        <v>0</v>
      </c>
      <c r="Q463" t="n">
        <v>0</v>
      </c>
      <c r="R463" s="2" t="inlineStr"/>
    </row>
    <row r="464" ht="15" customHeight="1">
      <c r="A464" t="inlineStr">
        <is>
          <t>A 34077-2022</t>
        </is>
      </c>
      <c r="B464" s="1" t="n">
        <v>44791</v>
      </c>
      <c r="C464" s="1" t="n">
        <v>45635</v>
      </c>
      <c r="D464" t="inlineStr">
        <is>
          <t>DALARNAS LÄN</t>
        </is>
      </c>
      <c r="E464" t="inlineStr">
        <is>
          <t>MALUNG-SÄLEN</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34603-2022</t>
        </is>
      </c>
      <c r="B465" s="1" t="n">
        <v>44795</v>
      </c>
      <c r="C465" s="1" t="n">
        <v>45635</v>
      </c>
      <c r="D465" t="inlineStr">
        <is>
          <t>DALARNAS LÄN</t>
        </is>
      </c>
      <c r="E465" t="inlineStr">
        <is>
          <t>MALUNG-SÄLEN</t>
        </is>
      </c>
      <c r="G465" t="n">
        <v>5.4</v>
      </c>
      <c r="H465" t="n">
        <v>0</v>
      </c>
      <c r="I465" t="n">
        <v>0</v>
      </c>
      <c r="J465" t="n">
        <v>0</v>
      </c>
      <c r="K465" t="n">
        <v>0</v>
      </c>
      <c r="L465" t="n">
        <v>0</v>
      </c>
      <c r="M465" t="n">
        <v>0</v>
      </c>
      <c r="N465" t="n">
        <v>0</v>
      </c>
      <c r="O465" t="n">
        <v>0</v>
      </c>
      <c r="P465" t="n">
        <v>0</v>
      </c>
      <c r="Q465" t="n">
        <v>0</v>
      </c>
      <c r="R465" s="2" t="inlineStr"/>
    </row>
    <row r="466" ht="15" customHeight="1">
      <c r="A466" t="inlineStr">
        <is>
          <t>A 34610-2022</t>
        </is>
      </c>
      <c r="B466" s="1" t="n">
        <v>44795</v>
      </c>
      <c r="C466" s="1" t="n">
        <v>45635</v>
      </c>
      <c r="D466" t="inlineStr">
        <is>
          <t>DALARNAS LÄN</t>
        </is>
      </c>
      <c r="E466" t="inlineStr">
        <is>
          <t>MALUNG-SÄLEN</t>
        </is>
      </c>
      <c r="G466" t="n">
        <v>3.6</v>
      </c>
      <c r="H466" t="n">
        <v>0</v>
      </c>
      <c r="I466" t="n">
        <v>0</v>
      </c>
      <c r="J466" t="n">
        <v>0</v>
      </c>
      <c r="K466" t="n">
        <v>0</v>
      </c>
      <c r="L466" t="n">
        <v>0</v>
      </c>
      <c r="M466" t="n">
        <v>0</v>
      </c>
      <c r="N466" t="n">
        <v>0</v>
      </c>
      <c r="O466" t="n">
        <v>0</v>
      </c>
      <c r="P466" t="n">
        <v>0</v>
      </c>
      <c r="Q466" t="n">
        <v>0</v>
      </c>
      <c r="R466" s="2" t="inlineStr"/>
    </row>
    <row r="467" ht="15" customHeight="1">
      <c r="A467" t="inlineStr">
        <is>
          <t>A 34913-2022</t>
        </is>
      </c>
      <c r="B467" s="1" t="n">
        <v>44796</v>
      </c>
      <c r="C467" s="1" t="n">
        <v>45635</v>
      </c>
      <c r="D467" t="inlineStr">
        <is>
          <t>DALARNAS LÄN</t>
        </is>
      </c>
      <c r="E467" t="inlineStr">
        <is>
          <t>MALUNG-SÄLEN</t>
        </is>
      </c>
      <c r="F467" t="inlineStr">
        <is>
          <t>Bergvik skog öst AB</t>
        </is>
      </c>
      <c r="G467" t="n">
        <v>3.3</v>
      </c>
      <c r="H467" t="n">
        <v>0</v>
      </c>
      <c r="I467" t="n">
        <v>0</v>
      </c>
      <c r="J467" t="n">
        <v>0</v>
      </c>
      <c r="K467" t="n">
        <v>0</v>
      </c>
      <c r="L467" t="n">
        <v>0</v>
      </c>
      <c r="M467" t="n">
        <v>0</v>
      </c>
      <c r="N467" t="n">
        <v>0</v>
      </c>
      <c r="O467" t="n">
        <v>0</v>
      </c>
      <c r="P467" t="n">
        <v>0</v>
      </c>
      <c r="Q467" t="n">
        <v>0</v>
      </c>
      <c r="R467" s="2" t="inlineStr"/>
    </row>
    <row r="468" ht="15" customHeight="1">
      <c r="A468" t="inlineStr">
        <is>
          <t>A 35181-2022</t>
        </is>
      </c>
      <c r="B468" s="1" t="n">
        <v>44797</v>
      </c>
      <c r="C468" s="1" t="n">
        <v>45635</v>
      </c>
      <c r="D468" t="inlineStr">
        <is>
          <t>DALARNAS LÄN</t>
        </is>
      </c>
      <c r="E468" t="inlineStr">
        <is>
          <t>MALUNG-SÄLEN</t>
        </is>
      </c>
      <c r="F468" t="inlineStr">
        <is>
          <t>Bergvik skog öst AB</t>
        </is>
      </c>
      <c r="G468" t="n">
        <v>3.7</v>
      </c>
      <c r="H468" t="n">
        <v>0</v>
      </c>
      <c r="I468" t="n">
        <v>0</v>
      </c>
      <c r="J468" t="n">
        <v>0</v>
      </c>
      <c r="K468" t="n">
        <v>0</v>
      </c>
      <c r="L468" t="n">
        <v>0</v>
      </c>
      <c r="M468" t="n">
        <v>0</v>
      </c>
      <c r="N468" t="n">
        <v>0</v>
      </c>
      <c r="O468" t="n">
        <v>0</v>
      </c>
      <c r="P468" t="n">
        <v>0</v>
      </c>
      <c r="Q468" t="n">
        <v>0</v>
      </c>
      <c r="R468" s="2" t="inlineStr"/>
    </row>
    <row r="469" ht="15" customHeight="1">
      <c r="A469" t="inlineStr">
        <is>
          <t>A 36014-2022</t>
        </is>
      </c>
      <c r="B469" s="1" t="n">
        <v>44802</v>
      </c>
      <c r="C469" s="1" t="n">
        <v>45635</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36029-2022</t>
        </is>
      </c>
      <c r="B470" s="1" t="n">
        <v>44802</v>
      </c>
      <c r="C470" s="1" t="n">
        <v>45635</v>
      </c>
      <c r="D470" t="inlineStr">
        <is>
          <t>DALARNAS LÄN</t>
        </is>
      </c>
      <c r="E470" t="inlineStr">
        <is>
          <t>MALUNG-SÄLEN</t>
        </is>
      </c>
      <c r="G470" t="n">
        <v>2.3</v>
      </c>
      <c r="H470" t="n">
        <v>0</v>
      </c>
      <c r="I470" t="n">
        <v>0</v>
      </c>
      <c r="J470" t="n">
        <v>0</v>
      </c>
      <c r="K470" t="n">
        <v>0</v>
      </c>
      <c r="L470" t="n">
        <v>0</v>
      </c>
      <c r="M470" t="n">
        <v>0</v>
      </c>
      <c r="N470" t="n">
        <v>0</v>
      </c>
      <c r="O470" t="n">
        <v>0</v>
      </c>
      <c r="P470" t="n">
        <v>0</v>
      </c>
      <c r="Q470" t="n">
        <v>0</v>
      </c>
      <c r="R470" s="2" t="inlineStr"/>
    </row>
    <row r="471" ht="15" customHeight="1">
      <c r="A471" t="inlineStr">
        <is>
          <t>A 36494-2022</t>
        </is>
      </c>
      <c r="B471" s="1" t="n">
        <v>44804</v>
      </c>
      <c r="C471" s="1" t="n">
        <v>45635</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37002-2022</t>
        </is>
      </c>
      <c r="B472" s="1" t="n">
        <v>44806</v>
      </c>
      <c r="C472" s="1" t="n">
        <v>45635</v>
      </c>
      <c r="D472" t="inlineStr">
        <is>
          <t>DALARNAS LÄN</t>
        </is>
      </c>
      <c r="E472" t="inlineStr">
        <is>
          <t>MALUNG-SÄLEN</t>
        </is>
      </c>
      <c r="G472" t="n">
        <v>0.8</v>
      </c>
      <c r="H472" t="n">
        <v>0</v>
      </c>
      <c r="I472" t="n">
        <v>0</v>
      </c>
      <c r="J472" t="n">
        <v>0</v>
      </c>
      <c r="K472" t="n">
        <v>0</v>
      </c>
      <c r="L472" t="n">
        <v>0</v>
      </c>
      <c r="M472" t="n">
        <v>0</v>
      </c>
      <c r="N472" t="n">
        <v>0</v>
      </c>
      <c r="O472" t="n">
        <v>0</v>
      </c>
      <c r="P472" t="n">
        <v>0</v>
      </c>
      <c r="Q472" t="n">
        <v>0</v>
      </c>
      <c r="R472" s="2" t="inlineStr"/>
    </row>
    <row r="473" ht="15" customHeight="1">
      <c r="A473" t="inlineStr">
        <is>
          <t>A 37392-2022</t>
        </is>
      </c>
      <c r="B473" s="1" t="n">
        <v>44809</v>
      </c>
      <c r="C473" s="1" t="n">
        <v>45635</v>
      </c>
      <c r="D473" t="inlineStr">
        <is>
          <t>DALARNAS LÄN</t>
        </is>
      </c>
      <c r="E473" t="inlineStr">
        <is>
          <t>MALUNG-SÄLEN</t>
        </is>
      </c>
      <c r="G473" t="n">
        <v>1.5</v>
      </c>
      <c r="H473" t="n">
        <v>0</v>
      </c>
      <c r="I473" t="n">
        <v>0</v>
      </c>
      <c r="J473" t="n">
        <v>0</v>
      </c>
      <c r="K473" t="n">
        <v>0</v>
      </c>
      <c r="L473" t="n">
        <v>0</v>
      </c>
      <c r="M473" t="n">
        <v>0</v>
      </c>
      <c r="N473" t="n">
        <v>0</v>
      </c>
      <c r="O473" t="n">
        <v>0</v>
      </c>
      <c r="P473" t="n">
        <v>0</v>
      </c>
      <c r="Q473" t="n">
        <v>0</v>
      </c>
      <c r="R473" s="2" t="inlineStr"/>
    </row>
    <row r="474" ht="15" customHeight="1">
      <c r="A474" t="inlineStr">
        <is>
          <t>A 37395-2022</t>
        </is>
      </c>
      <c r="B474" s="1" t="n">
        <v>44809</v>
      </c>
      <c r="C474" s="1" t="n">
        <v>45635</v>
      </c>
      <c r="D474" t="inlineStr">
        <is>
          <t>DALARNAS LÄN</t>
        </is>
      </c>
      <c r="E474" t="inlineStr">
        <is>
          <t>MALUNG-SÄLEN</t>
        </is>
      </c>
      <c r="G474" t="n">
        <v>0.6</v>
      </c>
      <c r="H474" t="n">
        <v>0</v>
      </c>
      <c r="I474" t="n">
        <v>0</v>
      </c>
      <c r="J474" t="n">
        <v>0</v>
      </c>
      <c r="K474" t="n">
        <v>0</v>
      </c>
      <c r="L474" t="n">
        <v>0</v>
      </c>
      <c r="M474" t="n">
        <v>0</v>
      </c>
      <c r="N474" t="n">
        <v>0</v>
      </c>
      <c r="O474" t="n">
        <v>0</v>
      </c>
      <c r="P474" t="n">
        <v>0</v>
      </c>
      <c r="Q474" t="n">
        <v>0</v>
      </c>
      <c r="R474" s="2" t="inlineStr"/>
    </row>
    <row r="475" ht="15" customHeight="1">
      <c r="A475" t="inlineStr">
        <is>
          <t>A 37478-2022</t>
        </is>
      </c>
      <c r="B475" s="1" t="n">
        <v>44809</v>
      </c>
      <c r="C475" s="1" t="n">
        <v>45635</v>
      </c>
      <c r="D475" t="inlineStr">
        <is>
          <t>DALARNAS LÄN</t>
        </is>
      </c>
      <c r="E475" t="inlineStr">
        <is>
          <t>MALUNG-SÄLEN</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37389-2022</t>
        </is>
      </c>
      <c r="B476" s="1" t="n">
        <v>44809</v>
      </c>
      <c r="C476" s="1" t="n">
        <v>45635</v>
      </c>
      <c r="D476" t="inlineStr">
        <is>
          <t>DALARNAS LÄN</t>
        </is>
      </c>
      <c r="E476" t="inlineStr">
        <is>
          <t>MALUNG-SÄLEN</t>
        </is>
      </c>
      <c r="G476" t="n">
        <v>14.8</v>
      </c>
      <c r="H476" t="n">
        <v>0</v>
      </c>
      <c r="I476" t="n">
        <v>0</v>
      </c>
      <c r="J476" t="n">
        <v>0</v>
      </c>
      <c r="K476" t="n">
        <v>0</v>
      </c>
      <c r="L476" t="n">
        <v>0</v>
      </c>
      <c r="M476" t="n">
        <v>0</v>
      </c>
      <c r="N476" t="n">
        <v>0</v>
      </c>
      <c r="O476" t="n">
        <v>0</v>
      </c>
      <c r="P476" t="n">
        <v>0</v>
      </c>
      <c r="Q476" t="n">
        <v>0</v>
      </c>
      <c r="R476" s="2" t="inlineStr"/>
    </row>
    <row r="477" ht="15" customHeight="1">
      <c r="A477" t="inlineStr">
        <is>
          <t>A 37770-2022</t>
        </is>
      </c>
      <c r="B477" s="1" t="n">
        <v>44810</v>
      </c>
      <c r="C477" s="1" t="n">
        <v>45635</v>
      </c>
      <c r="D477" t="inlineStr">
        <is>
          <t>DALARNAS LÄN</t>
        </is>
      </c>
      <c r="E477" t="inlineStr">
        <is>
          <t>MALUNG-SÄLEN</t>
        </is>
      </c>
      <c r="F477" t="inlineStr">
        <is>
          <t>Bergvik skog öst AB</t>
        </is>
      </c>
      <c r="G477" t="n">
        <v>0.8</v>
      </c>
      <c r="H477" t="n">
        <v>0</v>
      </c>
      <c r="I477" t="n">
        <v>0</v>
      </c>
      <c r="J477" t="n">
        <v>0</v>
      </c>
      <c r="K477" t="n">
        <v>0</v>
      </c>
      <c r="L477" t="n">
        <v>0</v>
      </c>
      <c r="M477" t="n">
        <v>0</v>
      </c>
      <c r="N477" t="n">
        <v>0</v>
      </c>
      <c r="O477" t="n">
        <v>0</v>
      </c>
      <c r="P477" t="n">
        <v>0</v>
      </c>
      <c r="Q477" t="n">
        <v>0</v>
      </c>
      <c r="R477" s="2" t="inlineStr"/>
    </row>
    <row r="478" ht="15" customHeight="1">
      <c r="A478" t="inlineStr">
        <is>
          <t>A 37887-2022</t>
        </is>
      </c>
      <c r="B478" s="1" t="n">
        <v>44811</v>
      </c>
      <c r="C478" s="1" t="n">
        <v>45635</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38008-2022</t>
        </is>
      </c>
      <c r="B479" s="1" t="n">
        <v>44811</v>
      </c>
      <c r="C479" s="1" t="n">
        <v>45635</v>
      </c>
      <c r="D479" t="inlineStr">
        <is>
          <t>DALARNAS LÄN</t>
        </is>
      </c>
      <c r="E479" t="inlineStr">
        <is>
          <t>MALUNG-SÄLEN</t>
        </is>
      </c>
      <c r="F479" t="inlineStr">
        <is>
          <t>Bergvik skog väst AB</t>
        </is>
      </c>
      <c r="G479" t="n">
        <v>5.5</v>
      </c>
      <c r="H479" t="n">
        <v>0</v>
      </c>
      <c r="I479" t="n">
        <v>0</v>
      </c>
      <c r="J479" t="n">
        <v>0</v>
      </c>
      <c r="K479" t="n">
        <v>0</v>
      </c>
      <c r="L479" t="n">
        <v>0</v>
      </c>
      <c r="M479" t="n">
        <v>0</v>
      </c>
      <c r="N479" t="n">
        <v>0</v>
      </c>
      <c r="O479" t="n">
        <v>0</v>
      </c>
      <c r="P479" t="n">
        <v>0</v>
      </c>
      <c r="Q479" t="n">
        <v>0</v>
      </c>
      <c r="R479" s="2" t="inlineStr"/>
    </row>
    <row r="480" ht="15" customHeight="1">
      <c r="A480" t="inlineStr">
        <is>
          <t>A 38054-2022</t>
        </is>
      </c>
      <c r="B480" s="1" t="n">
        <v>44811</v>
      </c>
      <c r="C480" s="1" t="n">
        <v>45635</v>
      </c>
      <c r="D480" t="inlineStr">
        <is>
          <t>DALARNAS LÄN</t>
        </is>
      </c>
      <c r="E480" t="inlineStr">
        <is>
          <t>MALUNG-SÄLEN</t>
        </is>
      </c>
      <c r="F480" t="inlineStr">
        <is>
          <t>Bergvik skog öst AB</t>
        </is>
      </c>
      <c r="G480" t="n">
        <v>1.9</v>
      </c>
      <c r="H480" t="n">
        <v>0</v>
      </c>
      <c r="I480" t="n">
        <v>0</v>
      </c>
      <c r="J480" t="n">
        <v>0</v>
      </c>
      <c r="K480" t="n">
        <v>0</v>
      </c>
      <c r="L480" t="n">
        <v>0</v>
      </c>
      <c r="M480" t="n">
        <v>0</v>
      </c>
      <c r="N480" t="n">
        <v>0</v>
      </c>
      <c r="O480" t="n">
        <v>0</v>
      </c>
      <c r="P480" t="n">
        <v>0</v>
      </c>
      <c r="Q480" t="n">
        <v>0</v>
      </c>
      <c r="R480" s="2" t="inlineStr"/>
    </row>
    <row r="481" ht="15" customHeight="1">
      <c r="A481" t="inlineStr">
        <is>
          <t>A 38026-2022</t>
        </is>
      </c>
      <c r="B481" s="1" t="n">
        <v>44811</v>
      </c>
      <c r="C481" s="1" t="n">
        <v>45635</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38050-2022</t>
        </is>
      </c>
      <c r="B482" s="1" t="n">
        <v>44811</v>
      </c>
      <c r="C482" s="1" t="n">
        <v>45635</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38041-2022</t>
        </is>
      </c>
      <c r="B483" s="1" t="n">
        <v>44811</v>
      </c>
      <c r="C483" s="1" t="n">
        <v>45635</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38516-2022</t>
        </is>
      </c>
      <c r="B484" s="1" t="n">
        <v>44813</v>
      </c>
      <c r="C484" s="1" t="n">
        <v>45635</v>
      </c>
      <c r="D484" t="inlineStr">
        <is>
          <t>DALARNAS LÄN</t>
        </is>
      </c>
      <c r="E484" t="inlineStr">
        <is>
          <t>MALUNG-SÄLEN</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39210-2022</t>
        </is>
      </c>
      <c r="B485" s="1" t="n">
        <v>44817</v>
      </c>
      <c r="C485" s="1" t="n">
        <v>45635</v>
      </c>
      <c r="D485" t="inlineStr">
        <is>
          <t>DALARNAS LÄN</t>
        </is>
      </c>
      <c r="E485" t="inlineStr">
        <is>
          <t>MALUNG-SÄLEN</t>
        </is>
      </c>
      <c r="F485" t="inlineStr">
        <is>
          <t>Bergvik skog väst AB</t>
        </is>
      </c>
      <c r="G485" t="n">
        <v>20.5</v>
      </c>
      <c r="H485" t="n">
        <v>0</v>
      </c>
      <c r="I485" t="n">
        <v>0</v>
      </c>
      <c r="J485" t="n">
        <v>0</v>
      </c>
      <c r="K485" t="n">
        <v>0</v>
      </c>
      <c r="L485" t="n">
        <v>0</v>
      </c>
      <c r="M485" t="n">
        <v>0</v>
      </c>
      <c r="N485" t="n">
        <v>0</v>
      </c>
      <c r="O485" t="n">
        <v>0</v>
      </c>
      <c r="P485" t="n">
        <v>0</v>
      </c>
      <c r="Q485" t="n">
        <v>0</v>
      </c>
      <c r="R485" s="2" t="inlineStr"/>
    </row>
    <row r="486" ht="15" customHeight="1">
      <c r="A486" t="inlineStr">
        <is>
          <t>A 39852-2022</t>
        </is>
      </c>
      <c r="B486" s="1" t="n">
        <v>44819</v>
      </c>
      <c r="C486" s="1" t="n">
        <v>45635</v>
      </c>
      <c r="D486" t="inlineStr">
        <is>
          <t>DALARNAS LÄN</t>
        </is>
      </c>
      <c r="E486" t="inlineStr">
        <is>
          <t>MALUNG-SÄLEN</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41333-2022</t>
        </is>
      </c>
      <c r="B487" s="1" t="n">
        <v>44826</v>
      </c>
      <c r="C487" s="1" t="n">
        <v>45635</v>
      </c>
      <c r="D487" t="inlineStr">
        <is>
          <t>DALARNAS LÄN</t>
        </is>
      </c>
      <c r="E487" t="inlineStr">
        <is>
          <t>MALUNG-SÄLEN</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42672-2022</t>
        </is>
      </c>
      <c r="B488" s="1" t="n">
        <v>44832</v>
      </c>
      <c r="C488" s="1" t="n">
        <v>45635</v>
      </c>
      <c r="D488" t="inlineStr">
        <is>
          <t>DALARNAS LÄN</t>
        </is>
      </c>
      <c r="E488" t="inlineStr">
        <is>
          <t>MALUNG-SÄLEN</t>
        </is>
      </c>
      <c r="G488" t="n">
        <v>2.6</v>
      </c>
      <c r="H488" t="n">
        <v>0</v>
      </c>
      <c r="I488" t="n">
        <v>0</v>
      </c>
      <c r="J488" t="n">
        <v>0</v>
      </c>
      <c r="K488" t="n">
        <v>0</v>
      </c>
      <c r="L488" t="n">
        <v>0</v>
      </c>
      <c r="M488" t="n">
        <v>0</v>
      </c>
      <c r="N488" t="n">
        <v>0</v>
      </c>
      <c r="O488" t="n">
        <v>0</v>
      </c>
      <c r="P488" t="n">
        <v>0</v>
      </c>
      <c r="Q488" t="n">
        <v>0</v>
      </c>
      <c r="R488" s="2" t="inlineStr"/>
    </row>
    <row r="489" ht="15" customHeight="1">
      <c r="A489" t="inlineStr">
        <is>
          <t>A 42825-2022</t>
        </is>
      </c>
      <c r="B489" s="1" t="n">
        <v>44832</v>
      </c>
      <c r="C489" s="1" t="n">
        <v>45635</v>
      </c>
      <c r="D489" t="inlineStr">
        <is>
          <t>DALARNAS LÄN</t>
        </is>
      </c>
      <c r="E489" t="inlineStr">
        <is>
          <t>MALUNG-SÄLEN</t>
        </is>
      </c>
      <c r="F489" t="inlineStr">
        <is>
          <t>Bergvik skog väst AB</t>
        </is>
      </c>
      <c r="G489" t="n">
        <v>19.5</v>
      </c>
      <c r="H489" t="n">
        <v>0</v>
      </c>
      <c r="I489" t="n">
        <v>0</v>
      </c>
      <c r="J489" t="n">
        <v>0</v>
      </c>
      <c r="K489" t="n">
        <v>0</v>
      </c>
      <c r="L489" t="n">
        <v>0</v>
      </c>
      <c r="M489" t="n">
        <v>0</v>
      </c>
      <c r="N489" t="n">
        <v>0</v>
      </c>
      <c r="O489" t="n">
        <v>0</v>
      </c>
      <c r="P489" t="n">
        <v>0</v>
      </c>
      <c r="Q489" t="n">
        <v>0</v>
      </c>
      <c r="R489" s="2" t="inlineStr"/>
    </row>
    <row r="490" ht="15" customHeight="1">
      <c r="A490" t="inlineStr">
        <is>
          <t>A 43040-2022</t>
        </is>
      </c>
      <c r="B490" s="1" t="n">
        <v>44833</v>
      </c>
      <c r="C490" s="1" t="n">
        <v>45635</v>
      </c>
      <c r="D490" t="inlineStr">
        <is>
          <t>DALARNAS LÄN</t>
        </is>
      </c>
      <c r="E490" t="inlineStr">
        <is>
          <t>MALUNG-SÄLEN</t>
        </is>
      </c>
      <c r="G490" t="n">
        <v>6.9</v>
      </c>
      <c r="H490" t="n">
        <v>0</v>
      </c>
      <c r="I490" t="n">
        <v>0</v>
      </c>
      <c r="J490" t="n">
        <v>0</v>
      </c>
      <c r="K490" t="n">
        <v>0</v>
      </c>
      <c r="L490" t="n">
        <v>0</v>
      </c>
      <c r="M490" t="n">
        <v>0</v>
      </c>
      <c r="N490" t="n">
        <v>0</v>
      </c>
      <c r="O490" t="n">
        <v>0</v>
      </c>
      <c r="P490" t="n">
        <v>0</v>
      </c>
      <c r="Q490" t="n">
        <v>0</v>
      </c>
      <c r="R490" s="2" t="inlineStr"/>
    </row>
    <row r="491" ht="15" customHeight="1">
      <c r="A491" t="inlineStr">
        <is>
          <t>A 42913-2022</t>
        </is>
      </c>
      <c r="B491" s="1" t="n">
        <v>44833</v>
      </c>
      <c r="C491" s="1" t="n">
        <v>45635</v>
      </c>
      <c r="D491" t="inlineStr">
        <is>
          <t>DALARNAS LÄN</t>
        </is>
      </c>
      <c r="E491" t="inlineStr">
        <is>
          <t>MALUNG-SÄLEN</t>
        </is>
      </c>
      <c r="G491" t="n">
        <v>6.1</v>
      </c>
      <c r="H491" t="n">
        <v>0</v>
      </c>
      <c r="I491" t="n">
        <v>0</v>
      </c>
      <c r="J491" t="n">
        <v>0</v>
      </c>
      <c r="K491" t="n">
        <v>0</v>
      </c>
      <c r="L491" t="n">
        <v>0</v>
      </c>
      <c r="M491" t="n">
        <v>0</v>
      </c>
      <c r="N491" t="n">
        <v>0</v>
      </c>
      <c r="O491" t="n">
        <v>0</v>
      </c>
      <c r="P491" t="n">
        <v>0</v>
      </c>
      <c r="Q491" t="n">
        <v>0</v>
      </c>
      <c r="R491" s="2" t="inlineStr"/>
    </row>
    <row r="492" ht="15" customHeight="1">
      <c r="A492" t="inlineStr">
        <is>
          <t>A 43189-2022</t>
        </is>
      </c>
      <c r="B492" s="1" t="n">
        <v>44834</v>
      </c>
      <c r="C492" s="1" t="n">
        <v>45635</v>
      </c>
      <c r="D492" t="inlineStr">
        <is>
          <t>DALARNAS LÄN</t>
        </is>
      </c>
      <c r="E492" t="inlineStr">
        <is>
          <t>MALUNG-SÄLEN</t>
        </is>
      </c>
      <c r="G492" t="n">
        <v>1.4</v>
      </c>
      <c r="H492" t="n">
        <v>0</v>
      </c>
      <c r="I492" t="n">
        <v>0</v>
      </c>
      <c r="J492" t="n">
        <v>0</v>
      </c>
      <c r="K492" t="n">
        <v>0</v>
      </c>
      <c r="L492" t="n">
        <v>0</v>
      </c>
      <c r="M492" t="n">
        <v>0</v>
      </c>
      <c r="N492" t="n">
        <v>0</v>
      </c>
      <c r="O492" t="n">
        <v>0</v>
      </c>
      <c r="P492" t="n">
        <v>0</v>
      </c>
      <c r="Q492" t="n">
        <v>0</v>
      </c>
      <c r="R492" s="2" t="inlineStr"/>
    </row>
    <row r="493" ht="15" customHeight="1">
      <c r="A493" t="inlineStr">
        <is>
          <t>A 43265-2022</t>
        </is>
      </c>
      <c r="B493" s="1" t="n">
        <v>44834</v>
      </c>
      <c r="C493" s="1" t="n">
        <v>45635</v>
      </c>
      <c r="D493" t="inlineStr">
        <is>
          <t>DALARNAS LÄN</t>
        </is>
      </c>
      <c r="E493" t="inlineStr">
        <is>
          <t>MALUNG-SÄLEN</t>
        </is>
      </c>
      <c r="F493" t="inlineStr">
        <is>
          <t>Bergvik skog väst AB</t>
        </is>
      </c>
      <c r="G493" t="n">
        <v>30.5</v>
      </c>
      <c r="H493" t="n">
        <v>0</v>
      </c>
      <c r="I493" t="n">
        <v>0</v>
      </c>
      <c r="J493" t="n">
        <v>0</v>
      </c>
      <c r="K493" t="n">
        <v>0</v>
      </c>
      <c r="L493" t="n">
        <v>0</v>
      </c>
      <c r="M493" t="n">
        <v>0</v>
      </c>
      <c r="N493" t="n">
        <v>0</v>
      </c>
      <c r="O493" t="n">
        <v>0</v>
      </c>
      <c r="P493" t="n">
        <v>0</v>
      </c>
      <c r="Q493" t="n">
        <v>0</v>
      </c>
      <c r="R493" s="2" t="inlineStr"/>
    </row>
    <row r="494" ht="15" customHeight="1">
      <c r="A494" t="inlineStr">
        <is>
          <t>A 43981-2022</t>
        </is>
      </c>
      <c r="B494" s="1" t="n">
        <v>44837</v>
      </c>
      <c r="C494" s="1" t="n">
        <v>45635</v>
      </c>
      <c r="D494" t="inlineStr">
        <is>
          <t>DALARNAS LÄN</t>
        </is>
      </c>
      <c r="E494" t="inlineStr">
        <is>
          <t>MALUNG-SÄLEN</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44296-2022</t>
        </is>
      </c>
      <c r="B495" s="1" t="n">
        <v>44839</v>
      </c>
      <c r="C495" s="1" t="n">
        <v>45635</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44300-2022</t>
        </is>
      </c>
      <c r="B496" s="1" t="n">
        <v>44839</v>
      </c>
      <c r="C496" s="1" t="n">
        <v>45635</v>
      </c>
      <c r="D496" t="inlineStr">
        <is>
          <t>DALARNAS LÄN</t>
        </is>
      </c>
      <c r="E496" t="inlineStr">
        <is>
          <t>MALUNG-SÄLEN</t>
        </is>
      </c>
      <c r="G496" t="n">
        <v>3.2</v>
      </c>
      <c r="H496" t="n">
        <v>0</v>
      </c>
      <c r="I496" t="n">
        <v>0</v>
      </c>
      <c r="J496" t="n">
        <v>0</v>
      </c>
      <c r="K496" t="n">
        <v>0</v>
      </c>
      <c r="L496" t="n">
        <v>0</v>
      </c>
      <c r="M496" t="n">
        <v>0</v>
      </c>
      <c r="N496" t="n">
        <v>0</v>
      </c>
      <c r="O496" t="n">
        <v>0</v>
      </c>
      <c r="P496" t="n">
        <v>0</v>
      </c>
      <c r="Q496" t="n">
        <v>0</v>
      </c>
      <c r="R496" s="2" t="inlineStr"/>
    </row>
    <row r="497" ht="15" customHeight="1">
      <c r="A497" t="inlineStr">
        <is>
          <t>A 44614-2022</t>
        </is>
      </c>
      <c r="B497" s="1" t="n">
        <v>44840</v>
      </c>
      <c r="C497" s="1" t="n">
        <v>45635</v>
      </c>
      <c r="D497" t="inlineStr">
        <is>
          <t>DALARNAS LÄN</t>
        </is>
      </c>
      <c r="E497" t="inlineStr">
        <is>
          <t>MALUNG-SÄLEN</t>
        </is>
      </c>
      <c r="G497" t="n">
        <v>2.1</v>
      </c>
      <c r="H497" t="n">
        <v>0</v>
      </c>
      <c r="I497" t="n">
        <v>0</v>
      </c>
      <c r="J497" t="n">
        <v>0</v>
      </c>
      <c r="K497" t="n">
        <v>0</v>
      </c>
      <c r="L497" t="n">
        <v>0</v>
      </c>
      <c r="M497" t="n">
        <v>0</v>
      </c>
      <c r="N497" t="n">
        <v>0</v>
      </c>
      <c r="O497" t="n">
        <v>0</v>
      </c>
      <c r="P497" t="n">
        <v>0</v>
      </c>
      <c r="Q497" t="n">
        <v>0</v>
      </c>
      <c r="R497" s="2" t="inlineStr"/>
    </row>
    <row r="498" ht="15" customHeight="1">
      <c r="A498" t="inlineStr">
        <is>
          <t>A 44612-2022</t>
        </is>
      </c>
      <c r="B498" s="1" t="n">
        <v>44840</v>
      </c>
      <c r="C498" s="1" t="n">
        <v>45635</v>
      </c>
      <c r="D498" t="inlineStr">
        <is>
          <t>DALARNAS LÄN</t>
        </is>
      </c>
      <c r="E498" t="inlineStr">
        <is>
          <t>MALUNG-SÄLEN</t>
        </is>
      </c>
      <c r="G498" t="n">
        <v>12.4</v>
      </c>
      <c r="H498" t="n">
        <v>0</v>
      </c>
      <c r="I498" t="n">
        <v>0</v>
      </c>
      <c r="J498" t="n">
        <v>0</v>
      </c>
      <c r="K498" t="n">
        <v>0</v>
      </c>
      <c r="L498" t="n">
        <v>0</v>
      </c>
      <c r="M498" t="n">
        <v>0</v>
      </c>
      <c r="N498" t="n">
        <v>0</v>
      </c>
      <c r="O498" t="n">
        <v>0</v>
      </c>
      <c r="P498" t="n">
        <v>0</v>
      </c>
      <c r="Q498" t="n">
        <v>0</v>
      </c>
      <c r="R498" s="2" t="inlineStr"/>
    </row>
    <row r="499" ht="15" customHeight="1">
      <c r="A499" t="inlineStr">
        <is>
          <t>A 44825-2022</t>
        </is>
      </c>
      <c r="B499" s="1" t="n">
        <v>44841</v>
      </c>
      <c r="C499" s="1" t="n">
        <v>45635</v>
      </c>
      <c r="D499" t="inlineStr">
        <is>
          <t>DALARNAS LÄN</t>
        </is>
      </c>
      <c r="E499" t="inlineStr">
        <is>
          <t>MALUNG-SÄLEN</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44904-2022</t>
        </is>
      </c>
      <c r="B500" s="1" t="n">
        <v>44841</v>
      </c>
      <c r="C500" s="1" t="n">
        <v>45635</v>
      </c>
      <c r="D500" t="inlineStr">
        <is>
          <t>DALARNAS LÄN</t>
        </is>
      </c>
      <c r="E500" t="inlineStr">
        <is>
          <t>MALUNG-SÄLEN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45511-2022</t>
        </is>
      </c>
      <c r="B501" s="1" t="n">
        <v>44841</v>
      </c>
      <c r="C501" s="1" t="n">
        <v>45635</v>
      </c>
      <c r="D501" t="inlineStr">
        <is>
          <t>DALARNAS LÄN</t>
        </is>
      </c>
      <c r="E501" t="inlineStr">
        <is>
          <t>MALUNG-SÄLEN</t>
        </is>
      </c>
      <c r="F501" t="inlineStr">
        <is>
          <t>Allmännings- och besparingsskogar</t>
        </is>
      </c>
      <c r="G501" t="n">
        <v>17.3</v>
      </c>
      <c r="H501" t="n">
        <v>0</v>
      </c>
      <c r="I501" t="n">
        <v>0</v>
      </c>
      <c r="J501" t="n">
        <v>0</v>
      </c>
      <c r="K501" t="n">
        <v>0</v>
      </c>
      <c r="L501" t="n">
        <v>0</v>
      </c>
      <c r="M501" t="n">
        <v>0</v>
      </c>
      <c r="N501" t="n">
        <v>0</v>
      </c>
      <c r="O501" t="n">
        <v>0</v>
      </c>
      <c r="P501" t="n">
        <v>0</v>
      </c>
      <c r="Q501" t="n">
        <v>0</v>
      </c>
      <c r="R501" s="2" t="inlineStr"/>
    </row>
    <row r="502" ht="15" customHeight="1">
      <c r="A502" t="inlineStr">
        <is>
          <t>A 45150-2022</t>
        </is>
      </c>
      <c r="B502" s="1" t="n">
        <v>44844</v>
      </c>
      <c r="C502" s="1" t="n">
        <v>45635</v>
      </c>
      <c r="D502" t="inlineStr">
        <is>
          <t>DALARNAS LÄN</t>
        </is>
      </c>
      <c r="E502" t="inlineStr">
        <is>
          <t>MALUNG-SÄLEN</t>
        </is>
      </c>
      <c r="G502" t="n">
        <v>1.6</v>
      </c>
      <c r="H502" t="n">
        <v>0</v>
      </c>
      <c r="I502" t="n">
        <v>0</v>
      </c>
      <c r="J502" t="n">
        <v>0</v>
      </c>
      <c r="K502" t="n">
        <v>0</v>
      </c>
      <c r="L502" t="n">
        <v>0</v>
      </c>
      <c r="M502" t="n">
        <v>0</v>
      </c>
      <c r="N502" t="n">
        <v>0</v>
      </c>
      <c r="O502" t="n">
        <v>0</v>
      </c>
      <c r="P502" t="n">
        <v>0</v>
      </c>
      <c r="Q502" t="n">
        <v>0</v>
      </c>
      <c r="R502" s="2" t="inlineStr"/>
    </row>
    <row r="503" ht="15" customHeight="1">
      <c r="A503" t="inlineStr">
        <is>
          <t>A 46169-2022</t>
        </is>
      </c>
      <c r="B503" s="1" t="n">
        <v>44847</v>
      </c>
      <c r="C503" s="1" t="n">
        <v>45635</v>
      </c>
      <c r="D503" t="inlineStr">
        <is>
          <t>DALARNAS LÄN</t>
        </is>
      </c>
      <c r="E503" t="inlineStr">
        <is>
          <t>MALUNG-SÄLEN</t>
        </is>
      </c>
      <c r="F503" t="inlineStr">
        <is>
          <t>Allmännings- och besparingsskogar</t>
        </is>
      </c>
      <c r="G503" t="n">
        <v>6</v>
      </c>
      <c r="H503" t="n">
        <v>0</v>
      </c>
      <c r="I503" t="n">
        <v>0</v>
      </c>
      <c r="J503" t="n">
        <v>0</v>
      </c>
      <c r="K503" t="n">
        <v>0</v>
      </c>
      <c r="L503" t="n">
        <v>0</v>
      </c>
      <c r="M503" t="n">
        <v>0</v>
      </c>
      <c r="N503" t="n">
        <v>0</v>
      </c>
      <c r="O503" t="n">
        <v>0</v>
      </c>
      <c r="P503" t="n">
        <v>0</v>
      </c>
      <c r="Q503" t="n">
        <v>0</v>
      </c>
      <c r="R503" s="2" t="inlineStr"/>
    </row>
    <row r="504" ht="15" customHeight="1">
      <c r="A504" t="inlineStr">
        <is>
          <t>A 46910-2022</t>
        </is>
      </c>
      <c r="B504" s="1" t="n">
        <v>44851</v>
      </c>
      <c r="C504" s="1" t="n">
        <v>45635</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47216-2022</t>
        </is>
      </c>
      <c r="B505" s="1" t="n">
        <v>44852</v>
      </c>
      <c r="C505" s="1" t="n">
        <v>45635</v>
      </c>
      <c r="D505" t="inlineStr">
        <is>
          <t>DALARNAS LÄN</t>
        </is>
      </c>
      <c r="E505" t="inlineStr">
        <is>
          <t>MALUNG-SÄLEN</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47007-2022</t>
        </is>
      </c>
      <c r="B506" s="1" t="n">
        <v>44852</v>
      </c>
      <c r="C506" s="1" t="n">
        <v>45635</v>
      </c>
      <c r="D506" t="inlineStr">
        <is>
          <t>DALARNAS LÄN</t>
        </is>
      </c>
      <c r="E506" t="inlineStr">
        <is>
          <t>MALUNG-SÄLEN</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47353-2022</t>
        </is>
      </c>
      <c r="B507" s="1" t="n">
        <v>44853</v>
      </c>
      <c r="C507" s="1" t="n">
        <v>45635</v>
      </c>
      <c r="D507" t="inlineStr">
        <is>
          <t>DALARNAS LÄN</t>
        </is>
      </c>
      <c r="E507" t="inlineStr">
        <is>
          <t>MALUNG-SÄLEN</t>
        </is>
      </c>
      <c r="G507" t="n">
        <v>26.8</v>
      </c>
      <c r="H507" t="n">
        <v>0</v>
      </c>
      <c r="I507" t="n">
        <v>0</v>
      </c>
      <c r="J507" t="n">
        <v>0</v>
      </c>
      <c r="K507" t="n">
        <v>0</v>
      </c>
      <c r="L507" t="n">
        <v>0</v>
      </c>
      <c r="M507" t="n">
        <v>0</v>
      </c>
      <c r="N507" t="n">
        <v>0</v>
      </c>
      <c r="O507" t="n">
        <v>0</v>
      </c>
      <c r="P507" t="n">
        <v>0</v>
      </c>
      <c r="Q507" t="n">
        <v>0</v>
      </c>
      <c r="R507" s="2" t="inlineStr"/>
    </row>
    <row r="508" ht="15" customHeight="1">
      <c r="A508" t="inlineStr">
        <is>
          <t>A 47474-2022</t>
        </is>
      </c>
      <c r="B508" s="1" t="n">
        <v>44853</v>
      </c>
      <c r="C508" s="1" t="n">
        <v>45635</v>
      </c>
      <c r="D508" t="inlineStr">
        <is>
          <t>DALARNAS LÄN</t>
        </is>
      </c>
      <c r="E508" t="inlineStr">
        <is>
          <t>MALUNG-SÄLEN</t>
        </is>
      </c>
      <c r="G508" t="n">
        <v>5.8</v>
      </c>
      <c r="H508" t="n">
        <v>0</v>
      </c>
      <c r="I508" t="n">
        <v>0</v>
      </c>
      <c r="J508" t="n">
        <v>0</v>
      </c>
      <c r="K508" t="n">
        <v>0</v>
      </c>
      <c r="L508" t="n">
        <v>0</v>
      </c>
      <c r="M508" t="n">
        <v>0</v>
      </c>
      <c r="N508" t="n">
        <v>0</v>
      </c>
      <c r="O508" t="n">
        <v>0</v>
      </c>
      <c r="P508" t="n">
        <v>0</v>
      </c>
      <c r="Q508" t="n">
        <v>0</v>
      </c>
      <c r="R508" s="2" t="inlineStr"/>
    </row>
    <row r="509" ht="15" customHeight="1">
      <c r="A509" t="inlineStr">
        <is>
          <t>A 47888-2022</t>
        </is>
      </c>
      <c r="B509" s="1" t="n">
        <v>44855</v>
      </c>
      <c r="C509" s="1" t="n">
        <v>45635</v>
      </c>
      <c r="D509" t="inlineStr">
        <is>
          <t>DALARNAS LÄN</t>
        </is>
      </c>
      <c r="E509" t="inlineStr">
        <is>
          <t>MALUNG-SÄLEN</t>
        </is>
      </c>
      <c r="F509" t="inlineStr">
        <is>
          <t>Allmännings- och besparingsskogar</t>
        </is>
      </c>
      <c r="G509" t="n">
        <v>39.6</v>
      </c>
      <c r="H509" t="n">
        <v>0</v>
      </c>
      <c r="I509" t="n">
        <v>0</v>
      </c>
      <c r="J509" t="n">
        <v>0</v>
      </c>
      <c r="K509" t="n">
        <v>0</v>
      </c>
      <c r="L509" t="n">
        <v>0</v>
      </c>
      <c r="M509" t="n">
        <v>0</v>
      </c>
      <c r="N509" t="n">
        <v>0</v>
      </c>
      <c r="O509" t="n">
        <v>0</v>
      </c>
      <c r="P509" t="n">
        <v>0</v>
      </c>
      <c r="Q509" t="n">
        <v>0</v>
      </c>
      <c r="R509" s="2" t="inlineStr"/>
    </row>
    <row r="510" ht="15" customHeight="1">
      <c r="A510" t="inlineStr">
        <is>
          <t>A 48338-2022</t>
        </is>
      </c>
      <c r="B510" s="1" t="n">
        <v>44858</v>
      </c>
      <c r="C510" s="1" t="n">
        <v>45635</v>
      </c>
      <c r="D510" t="inlineStr">
        <is>
          <t>DALARNAS LÄN</t>
        </is>
      </c>
      <c r="E510" t="inlineStr">
        <is>
          <t>MALUNG-SÄLEN</t>
        </is>
      </c>
      <c r="F510" t="inlineStr">
        <is>
          <t>Allmännings- och besparingsskogar</t>
        </is>
      </c>
      <c r="G510" t="n">
        <v>29.5</v>
      </c>
      <c r="H510" t="n">
        <v>0</v>
      </c>
      <c r="I510" t="n">
        <v>0</v>
      </c>
      <c r="J510" t="n">
        <v>0</v>
      </c>
      <c r="K510" t="n">
        <v>0</v>
      </c>
      <c r="L510" t="n">
        <v>0</v>
      </c>
      <c r="M510" t="n">
        <v>0</v>
      </c>
      <c r="N510" t="n">
        <v>0</v>
      </c>
      <c r="O510" t="n">
        <v>0</v>
      </c>
      <c r="P510" t="n">
        <v>0</v>
      </c>
      <c r="Q510" t="n">
        <v>0</v>
      </c>
      <c r="R510" s="2" t="inlineStr"/>
    </row>
    <row r="511" ht="15" customHeight="1">
      <c r="A511" t="inlineStr">
        <is>
          <t>A 48481-2022</t>
        </is>
      </c>
      <c r="B511" s="1" t="n">
        <v>44858</v>
      </c>
      <c r="C511" s="1" t="n">
        <v>45635</v>
      </c>
      <c r="D511" t="inlineStr">
        <is>
          <t>DALARNAS LÄN</t>
        </is>
      </c>
      <c r="E511" t="inlineStr">
        <is>
          <t>MALUNG-SÄLEN</t>
        </is>
      </c>
      <c r="G511" t="n">
        <v>0.9</v>
      </c>
      <c r="H511" t="n">
        <v>0</v>
      </c>
      <c r="I511" t="n">
        <v>0</v>
      </c>
      <c r="J511" t="n">
        <v>0</v>
      </c>
      <c r="K511" t="n">
        <v>0</v>
      </c>
      <c r="L511" t="n">
        <v>0</v>
      </c>
      <c r="M511" t="n">
        <v>0</v>
      </c>
      <c r="N511" t="n">
        <v>0</v>
      </c>
      <c r="O511" t="n">
        <v>0</v>
      </c>
      <c r="P511" t="n">
        <v>0</v>
      </c>
      <c r="Q511" t="n">
        <v>0</v>
      </c>
      <c r="R511" s="2" t="inlineStr"/>
    </row>
    <row r="512" ht="15" customHeight="1">
      <c r="A512" t="inlineStr">
        <is>
          <t>A 48842-2022</t>
        </is>
      </c>
      <c r="B512" s="1" t="n">
        <v>44859</v>
      </c>
      <c r="C512" s="1" t="n">
        <v>45635</v>
      </c>
      <c r="D512" t="inlineStr">
        <is>
          <t>DALARNAS LÄN</t>
        </is>
      </c>
      <c r="E512" t="inlineStr">
        <is>
          <t>MALUNG-SÄLEN</t>
        </is>
      </c>
      <c r="G512" t="n">
        <v>4.8</v>
      </c>
      <c r="H512" t="n">
        <v>0</v>
      </c>
      <c r="I512" t="n">
        <v>0</v>
      </c>
      <c r="J512" t="n">
        <v>0</v>
      </c>
      <c r="K512" t="n">
        <v>0</v>
      </c>
      <c r="L512" t="n">
        <v>0</v>
      </c>
      <c r="M512" t="n">
        <v>0</v>
      </c>
      <c r="N512" t="n">
        <v>0</v>
      </c>
      <c r="O512" t="n">
        <v>0</v>
      </c>
      <c r="P512" t="n">
        <v>0</v>
      </c>
      <c r="Q512" t="n">
        <v>0</v>
      </c>
      <c r="R512" s="2" t="inlineStr"/>
    </row>
    <row r="513" ht="15" customHeight="1">
      <c r="A513" t="inlineStr">
        <is>
          <t>A 48982-2022</t>
        </is>
      </c>
      <c r="B513" s="1" t="n">
        <v>44860</v>
      </c>
      <c r="C513" s="1" t="n">
        <v>45635</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49575-2022</t>
        </is>
      </c>
      <c r="B514" s="1" t="n">
        <v>44862</v>
      </c>
      <c r="C514" s="1" t="n">
        <v>45635</v>
      </c>
      <c r="D514" t="inlineStr">
        <is>
          <t>DALARNAS LÄN</t>
        </is>
      </c>
      <c r="E514" t="inlineStr">
        <is>
          <t>MALUNG-SÄLEN</t>
        </is>
      </c>
      <c r="G514" t="n">
        <v>1.8</v>
      </c>
      <c r="H514" t="n">
        <v>0</v>
      </c>
      <c r="I514" t="n">
        <v>0</v>
      </c>
      <c r="J514" t="n">
        <v>0</v>
      </c>
      <c r="K514" t="n">
        <v>0</v>
      </c>
      <c r="L514" t="n">
        <v>0</v>
      </c>
      <c r="M514" t="n">
        <v>0</v>
      </c>
      <c r="N514" t="n">
        <v>0</v>
      </c>
      <c r="O514" t="n">
        <v>0</v>
      </c>
      <c r="P514" t="n">
        <v>0</v>
      </c>
      <c r="Q514" t="n">
        <v>0</v>
      </c>
      <c r="R514" s="2" t="inlineStr"/>
    </row>
    <row r="515" ht="15" customHeight="1">
      <c r="A515" t="inlineStr">
        <is>
          <t>A 49595-2022</t>
        </is>
      </c>
      <c r="B515" s="1" t="n">
        <v>44862</v>
      </c>
      <c r="C515" s="1" t="n">
        <v>45635</v>
      </c>
      <c r="D515" t="inlineStr">
        <is>
          <t>DALARNAS LÄN</t>
        </is>
      </c>
      <c r="E515" t="inlineStr">
        <is>
          <t>MALUNG-SÄLEN</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49573-2022</t>
        </is>
      </c>
      <c r="B516" s="1" t="n">
        <v>44862</v>
      </c>
      <c r="C516" s="1" t="n">
        <v>45635</v>
      </c>
      <c r="D516" t="inlineStr">
        <is>
          <t>DALARNAS LÄN</t>
        </is>
      </c>
      <c r="E516" t="inlineStr">
        <is>
          <t>MALUNG-SÄLEN</t>
        </is>
      </c>
      <c r="G516" t="n">
        <v>5</v>
      </c>
      <c r="H516" t="n">
        <v>0</v>
      </c>
      <c r="I516" t="n">
        <v>0</v>
      </c>
      <c r="J516" t="n">
        <v>0</v>
      </c>
      <c r="K516" t="n">
        <v>0</v>
      </c>
      <c r="L516" t="n">
        <v>0</v>
      </c>
      <c r="M516" t="n">
        <v>0</v>
      </c>
      <c r="N516" t="n">
        <v>0</v>
      </c>
      <c r="O516" t="n">
        <v>0</v>
      </c>
      <c r="P516" t="n">
        <v>0</v>
      </c>
      <c r="Q516" t="n">
        <v>0</v>
      </c>
      <c r="R516" s="2" t="inlineStr"/>
    </row>
    <row r="517" ht="15" customHeight="1">
      <c r="A517" t="inlineStr">
        <is>
          <t>A 50763-2022</t>
        </is>
      </c>
      <c r="B517" s="1" t="n">
        <v>44862</v>
      </c>
      <c r="C517" s="1" t="n">
        <v>45635</v>
      </c>
      <c r="D517" t="inlineStr">
        <is>
          <t>DALARNAS LÄN</t>
        </is>
      </c>
      <c r="E517" t="inlineStr">
        <is>
          <t>MALUNG-SÄLEN</t>
        </is>
      </c>
      <c r="G517" t="n">
        <v>12.6</v>
      </c>
      <c r="H517" t="n">
        <v>0</v>
      </c>
      <c r="I517" t="n">
        <v>0</v>
      </c>
      <c r="J517" t="n">
        <v>0</v>
      </c>
      <c r="K517" t="n">
        <v>0</v>
      </c>
      <c r="L517" t="n">
        <v>0</v>
      </c>
      <c r="M517" t="n">
        <v>0</v>
      </c>
      <c r="N517" t="n">
        <v>0</v>
      </c>
      <c r="O517" t="n">
        <v>0</v>
      </c>
      <c r="P517" t="n">
        <v>0</v>
      </c>
      <c r="Q517" t="n">
        <v>0</v>
      </c>
      <c r="R517" s="2" t="inlineStr"/>
    </row>
    <row r="518" ht="15" customHeight="1">
      <c r="A518" t="inlineStr">
        <is>
          <t>A 50761-2022</t>
        </is>
      </c>
      <c r="B518" s="1" t="n">
        <v>44862</v>
      </c>
      <c r="C518" s="1" t="n">
        <v>45635</v>
      </c>
      <c r="D518" t="inlineStr">
        <is>
          <t>DALARNAS LÄN</t>
        </is>
      </c>
      <c r="E518" t="inlineStr">
        <is>
          <t>MALUNG-SÄLEN</t>
        </is>
      </c>
      <c r="G518" t="n">
        <v>0.4</v>
      </c>
      <c r="H518" t="n">
        <v>0</v>
      </c>
      <c r="I518" t="n">
        <v>0</v>
      </c>
      <c r="J518" t="n">
        <v>0</v>
      </c>
      <c r="K518" t="n">
        <v>0</v>
      </c>
      <c r="L518" t="n">
        <v>0</v>
      </c>
      <c r="M518" t="n">
        <v>0</v>
      </c>
      <c r="N518" t="n">
        <v>0</v>
      </c>
      <c r="O518" t="n">
        <v>0</v>
      </c>
      <c r="P518" t="n">
        <v>0</v>
      </c>
      <c r="Q518" t="n">
        <v>0</v>
      </c>
      <c r="R518" s="2" t="inlineStr"/>
    </row>
    <row r="519" ht="15" customHeight="1">
      <c r="A519" t="inlineStr">
        <is>
          <t>A 50232-2022</t>
        </is>
      </c>
      <c r="B519" s="1" t="n">
        <v>44865</v>
      </c>
      <c r="C519" s="1" t="n">
        <v>45635</v>
      </c>
      <c r="D519" t="inlineStr">
        <is>
          <t>DALARNAS LÄN</t>
        </is>
      </c>
      <c r="E519" t="inlineStr">
        <is>
          <t>MALUNG-SÄLEN</t>
        </is>
      </c>
      <c r="F519" t="inlineStr">
        <is>
          <t>Bergvik skog väst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51623-2022</t>
        </is>
      </c>
      <c r="B520" s="1" t="n">
        <v>44867</v>
      </c>
      <c r="C520" s="1" t="n">
        <v>45635</v>
      </c>
      <c r="D520" t="inlineStr">
        <is>
          <t>DALARNAS LÄN</t>
        </is>
      </c>
      <c r="E520" t="inlineStr">
        <is>
          <t>MALUNG-SÄLEN</t>
        </is>
      </c>
      <c r="G520" t="n">
        <v>5.1</v>
      </c>
      <c r="H520" t="n">
        <v>0</v>
      </c>
      <c r="I520" t="n">
        <v>0</v>
      </c>
      <c r="J520" t="n">
        <v>0</v>
      </c>
      <c r="K520" t="n">
        <v>0</v>
      </c>
      <c r="L520" t="n">
        <v>0</v>
      </c>
      <c r="M520" t="n">
        <v>0</v>
      </c>
      <c r="N520" t="n">
        <v>0</v>
      </c>
      <c r="O520" t="n">
        <v>0</v>
      </c>
      <c r="P520" t="n">
        <v>0</v>
      </c>
      <c r="Q520" t="n">
        <v>0</v>
      </c>
      <c r="R520" s="2" t="inlineStr"/>
    </row>
    <row r="521" ht="15" customHeight="1">
      <c r="A521" t="inlineStr">
        <is>
          <t>A 51675-2022</t>
        </is>
      </c>
      <c r="B521" s="1" t="n">
        <v>44867</v>
      </c>
      <c r="C521" s="1" t="n">
        <v>45635</v>
      </c>
      <c r="D521" t="inlineStr">
        <is>
          <t>DALARNAS LÄN</t>
        </is>
      </c>
      <c r="E521" t="inlineStr">
        <is>
          <t>MALUNG-SÄLEN</t>
        </is>
      </c>
      <c r="G521" t="n">
        <v>0.1</v>
      </c>
      <c r="H521" t="n">
        <v>0</v>
      </c>
      <c r="I521" t="n">
        <v>0</v>
      </c>
      <c r="J521" t="n">
        <v>0</v>
      </c>
      <c r="K521" t="n">
        <v>0</v>
      </c>
      <c r="L521" t="n">
        <v>0</v>
      </c>
      <c r="M521" t="n">
        <v>0</v>
      </c>
      <c r="N521" t="n">
        <v>0</v>
      </c>
      <c r="O521" t="n">
        <v>0</v>
      </c>
      <c r="P521" t="n">
        <v>0</v>
      </c>
      <c r="Q521" t="n">
        <v>0</v>
      </c>
      <c r="R521" s="2" t="inlineStr"/>
    </row>
    <row r="522" ht="15" customHeight="1">
      <c r="A522" t="inlineStr">
        <is>
          <t>A 51284-2022</t>
        </is>
      </c>
      <c r="B522" s="1" t="n">
        <v>44868</v>
      </c>
      <c r="C522" s="1" t="n">
        <v>45635</v>
      </c>
      <c r="D522" t="inlineStr">
        <is>
          <t>DALARNAS LÄN</t>
        </is>
      </c>
      <c r="E522" t="inlineStr">
        <is>
          <t>MALUNG-SÄLEN</t>
        </is>
      </c>
      <c r="F522" t="inlineStr">
        <is>
          <t>Bergvik skog väst AB</t>
        </is>
      </c>
      <c r="G522" t="n">
        <v>6.9</v>
      </c>
      <c r="H522" t="n">
        <v>0</v>
      </c>
      <c r="I522" t="n">
        <v>0</v>
      </c>
      <c r="J522" t="n">
        <v>0</v>
      </c>
      <c r="K522" t="n">
        <v>0</v>
      </c>
      <c r="L522" t="n">
        <v>0</v>
      </c>
      <c r="M522" t="n">
        <v>0</v>
      </c>
      <c r="N522" t="n">
        <v>0</v>
      </c>
      <c r="O522" t="n">
        <v>0</v>
      </c>
      <c r="P522" t="n">
        <v>0</v>
      </c>
      <c r="Q522" t="n">
        <v>0</v>
      </c>
      <c r="R522" s="2" t="inlineStr"/>
    </row>
    <row r="523" ht="15" customHeight="1">
      <c r="A523" t="inlineStr">
        <is>
          <t>A 51441-2022</t>
        </is>
      </c>
      <c r="B523" s="1" t="n">
        <v>44869</v>
      </c>
      <c r="C523" s="1" t="n">
        <v>45635</v>
      </c>
      <c r="D523" t="inlineStr">
        <is>
          <t>DALARNAS LÄN</t>
        </is>
      </c>
      <c r="E523" t="inlineStr">
        <is>
          <t>MALUNG-SÄLEN</t>
        </is>
      </c>
      <c r="G523" t="n">
        <v>3.6</v>
      </c>
      <c r="H523" t="n">
        <v>0</v>
      </c>
      <c r="I523" t="n">
        <v>0</v>
      </c>
      <c r="J523" t="n">
        <v>0</v>
      </c>
      <c r="K523" t="n">
        <v>0</v>
      </c>
      <c r="L523" t="n">
        <v>0</v>
      </c>
      <c r="M523" t="n">
        <v>0</v>
      </c>
      <c r="N523" t="n">
        <v>0</v>
      </c>
      <c r="O523" t="n">
        <v>0</v>
      </c>
      <c r="P523" t="n">
        <v>0</v>
      </c>
      <c r="Q523" t="n">
        <v>0</v>
      </c>
      <c r="R523" s="2" t="inlineStr"/>
    </row>
    <row r="524" ht="15" customHeight="1">
      <c r="A524" t="inlineStr">
        <is>
          <t>A 52964-2022</t>
        </is>
      </c>
      <c r="B524" s="1" t="n">
        <v>44875</v>
      </c>
      <c r="C524" s="1" t="n">
        <v>45635</v>
      </c>
      <c r="D524" t="inlineStr">
        <is>
          <t>DALARNAS LÄN</t>
        </is>
      </c>
      <c r="E524" t="inlineStr">
        <is>
          <t>MALUNG-SÄLEN</t>
        </is>
      </c>
      <c r="G524" t="n">
        <v>3.9</v>
      </c>
      <c r="H524" t="n">
        <v>0</v>
      </c>
      <c r="I524" t="n">
        <v>0</v>
      </c>
      <c r="J524" t="n">
        <v>0</v>
      </c>
      <c r="K524" t="n">
        <v>0</v>
      </c>
      <c r="L524" t="n">
        <v>0</v>
      </c>
      <c r="M524" t="n">
        <v>0</v>
      </c>
      <c r="N524" t="n">
        <v>0</v>
      </c>
      <c r="O524" t="n">
        <v>0</v>
      </c>
      <c r="P524" t="n">
        <v>0</v>
      </c>
      <c r="Q524" t="n">
        <v>0</v>
      </c>
      <c r="R524" s="2" t="inlineStr"/>
    </row>
    <row r="525" ht="15" customHeight="1">
      <c r="A525" t="inlineStr">
        <is>
          <t>A 54199-2022</t>
        </is>
      </c>
      <c r="B525" s="1" t="n">
        <v>44881</v>
      </c>
      <c r="C525" s="1" t="n">
        <v>45635</v>
      </c>
      <c r="D525" t="inlineStr">
        <is>
          <t>DALARNAS LÄN</t>
        </is>
      </c>
      <c r="E525" t="inlineStr">
        <is>
          <t>MALUNG-SÄLEN</t>
        </is>
      </c>
      <c r="G525" t="n">
        <v>2</v>
      </c>
      <c r="H525" t="n">
        <v>0</v>
      </c>
      <c r="I525" t="n">
        <v>0</v>
      </c>
      <c r="J525" t="n">
        <v>0</v>
      </c>
      <c r="K525" t="n">
        <v>0</v>
      </c>
      <c r="L525" t="n">
        <v>0</v>
      </c>
      <c r="M525" t="n">
        <v>0</v>
      </c>
      <c r="N525" t="n">
        <v>0</v>
      </c>
      <c r="O525" t="n">
        <v>0</v>
      </c>
      <c r="P525" t="n">
        <v>0</v>
      </c>
      <c r="Q525" t="n">
        <v>0</v>
      </c>
      <c r="R525" s="2" t="inlineStr"/>
    </row>
    <row r="526" ht="15" customHeight="1">
      <c r="A526" t="inlineStr">
        <is>
          <t>A 54241-2022</t>
        </is>
      </c>
      <c r="B526" s="1" t="n">
        <v>44881</v>
      </c>
      <c r="C526" s="1" t="n">
        <v>45635</v>
      </c>
      <c r="D526" t="inlineStr">
        <is>
          <t>DALARNAS LÄN</t>
        </is>
      </c>
      <c r="E526" t="inlineStr">
        <is>
          <t>MALUNG-SÄLEN</t>
        </is>
      </c>
      <c r="G526" t="n">
        <v>7.6</v>
      </c>
      <c r="H526" t="n">
        <v>0</v>
      </c>
      <c r="I526" t="n">
        <v>0</v>
      </c>
      <c r="J526" t="n">
        <v>0</v>
      </c>
      <c r="K526" t="n">
        <v>0</v>
      </c>
      <c r="L526" t="n">
        <v>0</v>
      </c>
      <c r="M526" t="n">
        <v>0</v>
      </c>
      <c r="N526" t="n">
        <v>0</v>
      </c>
      <c r="O526" t="n">
        <v>0</v>
      </c>
      <c r="P526" t="n">
        <v>0</v>
      </c>
      <c r="Q526" t="n">
        <v>0</v>
      </c>
      <c r="R526" s="2" t="inlineStr"/>
    </row>
    <row r="527" ht="15" customHeight="1">
      <c r="A527" t="inlineStr">
        <is>
          <t>A 54253-2022</t>
        </is>
      </c>
      <c r="B527" s="1" t="n">
        <v>44881</v>
      </c>
      <c r="C527" s="1" t="n">
        <v>45635</v>
      </c>
      <c r="D527" t="inlineStr">
        <is>
          <t>DALARNAS LÄN</t>
        </is>
      </c>
      <c r="E527" t="inlineStr">
        <is>
          <t>MALUNG-SÄLEN</t>
        </is>
      </c>
      <c r="G527" t="n">
        <v>0.9</v>
      </c>
      <c r="H527" t="n">
        <v>0</v>
      </c>
      <c r="I527" t="n">
        <v>0</v>
      </c>
      <c r="J527" t="n">
        <v>0</v>
      </c>
      <c r="K527" t="n">
        <v>0</v>
      </c>
      <c r="L527" t="n">
        <v>0</v>
      </c>
      <c r="M527" t="n">
        <v>0</v>
      </c>
      <c r="N527" t="n">
        <v>0</v>
      </c>
      <c r="O527" t="n">
        <v>0</v>
      </c>
      <c r="P527" t="n">
        <v>0</v>
      </c>
      <c r="Q527" t="n">
        <v>0</v>
      </c>
      <c r="R527" s="2" t="inlineStr"/>
    </row>
    <row r="528" ht="15" customHeight="1">
      <c r="A528" t="inlineStr">
        <is>
          <t>A 54932-2022</t>
        </is>
      </c>
      <c r="B528" s="1" t="n">
        <v>44881</v>
      </c>
      <c r="C528" s="1" t="n">
        <v>45635</v>
      </c>
      <c r="D528" t="inlineStr">
        <is>
          <t>DALARNAS LÄN</t>
        </is>
      </c>
      <c r="E528" t="inlineStr">
        <is>
          <t>MALUNG-SÄLEN</t>
        </is>
      </c>
      <c r="G528" t="n">
        <v>11.9</v>
      </c>
      <c r="H528" t="n">
        <v>0</v>
      </c>
      <c r="I528" t="n">
        <v>0</v>
      </c>
      <c r="J528" t="n">
        <v>0</v>
      </c>
      <c r="K528" t="n">
        <v>0</v>
      </c>
      <c r="L528" t="n">
        <v>0</v>
      </c>
      <c r="M528" t="n">
        <v>0</v>
      </c>
      <c r="N528" t="n">
        <v>0</v>
      </c>
      <c r="O528" t="n">
        <v>0</v>
      </c>
      <c r="P528" t="n">
        <v>0</v>
      </c>
      <c r="Q528" t="n">
        <v>0</v>
      </c>
      <c r="R528" s="2" t="inlineStr"/>
    </row>
    <row r="529" ht="15" customHeight="1">
      <c r="A529" t="inlineStr">
        <is>
          <t>A 54464-2022</t>
        </is>
      </c>
      <c r="B529" s="1" t="n">
        <v>44882</v>
      </c>
      <c r="C529" s="1" t="n">
        <v>45635</v>
      </c>
      <c r="D529" t="inlineStr">
        <is>
          <t>DALARNAS LÄN</t>
        </is>
      </c>
      <c r="E529" t="inlineStr">
        <is>
          <t>MALUNG-SÄLEN</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54928-2022</t>
        </is>
      </c>
      <c r="B530" s="1" t="n">
        <v>44886</v>
      </c>
      <c r="C530" s="1" t="n">
        <v>45635</v>
      </c>
      <c r="D530" t="inlineStr">
        <is>
          <t>DALARNAS LÄN</t>
        </is>
      </c>
      <c r="E530" t="inlineStr">
        <is>
          <t>MALUNG-SÄLEN</t>
        </is>
      </c>
      <c r="G530" t="n">
        <v>2.7</v>
      </c>
      <c r="H530" t="n">
        <v>0</v>
      </c>
      <c r="I530" t="n">
        <v>0</v>
      </c>
      <c r="J530" t="n">
        <v>0</v>
      </c>
      <c r="K530" t="n">
        <v>0</v>
      </c>
      <c r="L530" t="n">
        <v>0</v>
      </c>
      <c r="M530" t="n">
        <v>0</v>
      </c>
      <c r="N530" t="n">
        <v>0</v>
      </c>
      <c r="O530" t="n">
        <v>0</v>
      </c>
      <c r="P530" t="n">
        <v>0</v>
      </c>
      <c r="Q530" t="n">
        <v>0</v>
      </c>
      <c r="R530" s="2" t="inlineStr"/>
    </row>
    <row r="531" ht="15" customHeight="1">
      <c r="A531" t="inlineStr">
        <is>
          <t>A 54939-2022</t>
        </is>
      </c>
      <c r="B531" s="1" t="n">
        <v>44886</v>
      </c>
      <c r="C531" s="1" t="n">
        <v>45635</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54933-2022</t>
        </is>
      </c>
      <c r="B532" s="1" t="n">
        <v>44886</v>
      </c>
      <c r="C532" s="1" t="n">
        <v>45635</v>
      </c>
      <c r="D532" t="inlineStr">
        <is>
          <t>DALARNAS LÄN</t>
        </is>
      </c>
      <c r="E532" t="inlineStr">
        <is>
          <t>MALUNG-SÄLEN</t>
        </is>
      </c>
      <c r="G532" t="n">
        <v>0.7</v>
      </c>
      <c r="H532" t="n">
        <v>0</v>
      </c>
      <c r="I532" t="n">
        <v>0</v>
      </c>
      <c r="J532" t="n">
        <v>0</v>
      </c>
      <c r="K532" t="n">
        <v>0</v>
      </c>
      <c r="L532" t="n">
        <v>0</v>
      </c>
      <c r="M532" t="n">
        <v>0</v>
      </c>
      <c r="N532" t="n">
        <v>0</v>
      </c>
      <c r="O532" t="n">
        <v>0</v>
      </c>
      <c r="P532" t="n">
        <v>0</v>
      </c>
      <c r="Q532" t="n">
        <v>0</v>
      </c>
      <c r="R532" s="2" t="inlineStr"/>
    </row>
    <row r="533" ht="15" customHeight="1">
      <c r="A533" t="inlineStr">
        <is>
          <t>A 55276-2022</t>
        </is>
      </c>
      <c r="B533" s="1" t="n">
        <v>44887</v>
      </c>
      <c r="C533" s="1" t="n">
        <v>45635</v>
      </c>
      <c r="D533" t="inlineStr">
        <is>
          <t>DALARNAS LÄN</t>
        </is>
      </c>
      <c r="E533" t="inlineStr">
        <is>
          <t>MALUNG-SÄLEN</t>
        </is>
      </c>
      <c r="G533" t="n">
        <v>1.5</v>
      </c>
      <c r="H533" t="n">
        <v>0</v>
      </c>
      <c r="I533" t="n">
        <v>0</v>
      </c>
      <c r="J533" t="n">
        <v>0</v>
      </c>
      <c r="K533" t="n">
        <v>0</v>
      </c>
      <c r="L533" t="n">
        <v>0</v>
      </c>
      <c r="M533" t="n">
        <v>0</v>
      </c>
      <c r="N533" t="n">
        <v>0</v>
      </c>
      <c r="O533" t="n">
        <v>0</v>
      </c>
      <c r="P533" t="n">
        <v>0</v>
      </c>
      <c r="Q533" t="n">
        <v>0</v>
      </c>
      <c r="R533" s="2" t="inlineStr"/>
    </row>
    <row r="534" ht="15" customHeight="1">
      <c r="A534" t="inlineStr">
        <is>
          <t>A 55308-2022</t>
        </is>
      </c>
      <c r="B534" s="1" t="n">
        <v>44887</v>
      </c>
      <c r="C534" s="1" t="n">
        <v>45635</v>
      </c>
      <c r="D534" t="inlineStr">
        <is>
          <t>DALARNAS LÄN</t>
        </is>
      </c>
      <c r="E534" t="inlineStr">
        <is>
          <t>MALUNG-SÄLEN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55555-2022</t>
        </is>
      </c>
      <c r="B535" s="1" t="n">
        <v>44888</v>
      </c>
      <c r="C535" s="1" t="n">
        <v>45635</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55847-2022</t>
        </is>
      </c>
      <c r="B536" s="1" t="n">
        <v>44888</v>
      </c>
      <c r="C536" s="1" t="n">
        <v>45635</v>
      </c>
      <c r="D536" t="inlineStr">
        <is>
          <t>DALARNAS LÄN</t>
        </is>
      </c>
      <c r="E536" t="inlineStr">
        <is>
          <t>MALUNG-SÄLEN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56274-2022</t>
        </is>
      </c>
      <c r="B537" s="1" t="n">
        <v>44890</v>
      </c>
      <c r="C537" s="1" t="n">
        <v>45635</v>
      </c>
      <c r="D537" t="inlineStr">
        <is>
          <t>DALARNAS LÄN</t>
        </is>
      </c>
      <c r="E537" t="inlineStr">
        <is>
          <t>MALUNG-SÄLEN</t>
        </is>
      </c>
      <c r="G537" t="n">
        <v>0.8</v>
      </c>
      <c r="H537" t="n">
        <v>0</v>
      </c>
      <c r="I537" t="n">
        <v>0</v>
      </c>
      <c r="J537" t="n">
        <v>0</v>
      </c>
      <c r="K537" t="n">
        <v>0</v>
      </c>
      <c r="L537" t="n">
        <v>0</v>
      </c>
      <c r="M537" t="n">
        <v>0</v>
      </c>
      <c r="N537" t="n">
        <v>0</v>
      </c>
      <c r="O537" t="n">
        <v>0</v>
      </c>
      <c r="P537" t="n">
        <v>0</v>
      </c>
      <c r="Q537" t="n">
        <v>0</v>
      </c>
      <c r="R537" s="2" t="inlineStr"/>
    </row>
    <row r="538" ht="15" customHeight="1">
      <c r="A538" t="inlineStr">
        <is>
          <t>A 56613-2022</t>
        </is>
      </c>
      <c r="B538" s="1" t="n">
        <v>44893</v>
      </c>
      <c r="C538" s="1" t="n">
        <v>45635</v>
      </c>
      <c r="D538" t="inlineStr">
        <is>
          <t>DALARNAS LÄN</t>
        </is>
      </c>
      <c r="E538" t="inlineStr">
        <is>
          <t>MALUNG-SÄLEN</t>
        </is>
      </c>
      <c r="F538" t="inlineStr">
        <is>
          <t>Bergvik skog väst AB</t>
        </is>
      </c>
      <c r="G538" t="n">
        <v>13.2</v>
      </c>
      <c r="H538" t="n">
        <v>0</v>
      </c>
      <c r="I538" t="n">
        <v>0</v>
      </c>
      <c r="J538" t="n">
        <v>0</v>
      </c>
      <c r="K538" t="n">
        <v>0</v>
      </c>
      <c r="L538" t="n">
        <v>0</v>
      </c>
      <c r="M538" t="n">
        <v>0</v>
      </c>
      <c r="N538" t="n">
        <v>0</v>
      </c>
      <c r="O538" t="n">
        <v>0</v>
      </c>
      <c r="P538" t="n">
        <v>0</v>
      </c>
      <c r="Q538" t="n">
        <v>0</v>
      </c>
      <c r="R538" s="2" t="inlineStr"/>
    </row>
    <row r="539" ht="15" customHeight="1">
      <c r="A539" t="inlineStr">
        <is>
          <t>A 56573-2022</t>
        </is>
      </c>
      <c r="B539" s="1" t="n">
        <v>44893</v>
      </c>
      <c r="C539" s="1" t="n">
        <v>45635</v>
      </c>
      <c r="D539" t="inlineStr">
        <is>
          <t>DALARNAS LÄN</t>
        </is>
      </c>
      <c r="E539" t="inlineStr">
        <is>
          <t>MALUNG-SÄLEN</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56848-2022</t>
        </is>
      </c>
      <c r="B540" s="1" t="n">
        <v>44894</v>
      </c>
      <c r="C540" s="1" t="n">
        <v>45635</v>
      </c>
      <c r="D540" t="inlineStr">
        <is>
          <t>DALARNAS LÄN</t>
        </is>
      </c>
      <c r="E540" t="inlineStr">
        <is>
          <t>MALUNG-SÄLEN</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57388-2022</t>
        </is>
      </c>
      <c r="B541" s="1" t="n">
        <v>44896</v>
      </c>
      <c r="C541" s="1" t="n">
        <v>45635</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57744-2022</t>
        </is>
      </c>
      <c r="B542" s="1" t="n">
        <v>44897</v>
      </c>
      <c r="C542" s="1" t="n">
        <v>45635</v>
      </c>
      <c r="D542" t="inlineStr">
        <is>
          <t>DALARNAS LÄN</t>
        </is>
      </c>
      <c r="E542" t="inlineStr">
        <is>
          <t>MALUNG-SÄLEN</t>
        </is>
      </c>
      <c r="G542" t="n">
        <v>3.6</v>
      </c>
      <c r="H542" t="n">
        <v>0</v>
      </c>
      <c r="I542" t="n">
        <v>0</v>
      </c>
      <c r="J542" t="n">
        <v>0</v>
      </c>
      <c r="K542" t="n">
        <v>0</v>
      </c>
      <c r="L542" t="n">
        <v>0</v>
      </c>
      <c r="M542" t="n">
        <v>0</v>
      </c>
      <c r="N542" t="n">
        <v>0</v>
      </c>
      <c r="O542" t="n">
        <v>0</v>
      </c>
      <c r="P542" t="n">
        <v>0</v>
      </c>
      <c r="Q542" t="n">
        <v>0</v>
      </c>
      <c r="R542" s="2" t="inlineStr"/>
    </row>
    <row r="543" ht="15" customHeight="1">
      <c r="A543" t="inlineStr">
        <is>
          <t>A 57645-2022</t>
        </is>
      </c>
      <c r="B543" s="1" t="n">
        <v>44897</v>
      </c>
      <c r="C543" s="1" t="n">
        <v>45635</v>
      </c>
      <c r="D543" t="inlineStr">
        <is>
          <t>DALARNAS LÄN</t>
        </is>
      </c>
      <c r="E543" t="inlineStr">
        <is>
          <t>MALUNG-SÄLEN</t>
        </is>
      </c>
      <c r="G543" t="n">
        <v>4.8</v>
      </c>
      <c r="H543" t="n">
        <v>0</v>
      </c>
      <c r="I543" t="n">
        <v>0</v>
      </c>
      <c r="J543" t="n">
        <v>0</v>
      </c>
      <c r="K543" t="n">
        <v>0</v>
      </c>
      <c r="L543" t="n">
        <v>0</v>
      </c>
      <c r="M543" t="n">
        <v>0</v>
      </c>
      <c r="N543" t="n">
        <v>0</v>
      </c>
      <c r="O543" t="n">
        <v>0</v>
      </c>
      <c r="P543" t="n">
        <v>0</v>
      </c>
      <c r="Q543" t="n">
        <v>0</v>
      </c>
      <c r="R543" s="2" t="inlineStr"/>
    </row>
    <row r="544" ht="15" customHeight="1">
      <c r="A544" t="inlineStr">
        <is>
          <t>A 57746-2022</t>
        </is>
      </c>
      <c r="B544" s="1" t="n">
        <v>44897</v>
      </c>
      <c r="C544" s="1" t="n">
        <v>45635</v>
      </c>
      <c r="D544" t="inlineStr">
        <is>
          <t>DALARNAS LÄN</t>
        </is>
      </c>
      <c r="E544" t="inlineStr">
        <is>
          <t>MALUNG-SÄLEN</t>
        </is>
      </c>
      <c r="G544" t="n">
        <v>3</v>
      </c>
      <c r="H544" t="n">
        <v>0</v>
      </c>
      <c r="I544" t="n">
        <v>0</v>
      </c>
      <c r="J544" t="n">
        <v>0</v>
      </c>
      <c r="K544" t="n">
        <v>0</v>
      </c>
      <c r="L544" t="n">
        <v>0</v>
      </c>
      <c r="M544" t="n">
        <v>0</v>
      </c>
      <c r="N544" t="n">
        <v>0</v>
      </c>
      <c r="O544" t="n">
        <v>0</v>
      </c>
      <c r="P544" t="n">
        <v>0</v>
      </c>
      <c r="Q544" t="n">
        <v>0</v>
      </c>
      <c r="R544" s="2" t="inlineStr"/>
    </row>
    <row r="545" ht="15" customHeight="1">
      <c r="A545" t="inlineStr">
        <is>
          <t>A 57742-2022</t>
        </is>
      </c>
      <c r="B545" s="1" t="n">
        <v>44897</v>
      </c>
      <c r="C545" s="1" t="n">
        <v>45635</v>
      </c>
      <c r="D545" t="inlineStr">
        <is>
          <t>DALARNAS LÄN</t>
        </is>
      </c>
      <c r="E545" t="inlineStr">
        <is>
          <t>MALUNG-SÄLEN</t>
        </is>
      </c>
      <c r="G545" t="n">
        <v>1.4</v>
      </c>
      <c r="H545" t="n">
        <v>0</v>
      </c>
      <c r="I545" t="n">
        <v>0</v>
      </c>
      <c r="J545" t="n">
        <v>0</v>
      </c>
      <c r="K545" t="n">
        <v>0</v>
      </c>
      <c r="L545" t="n">
        <v>0</v>
      </c>
      <c r="M545" t="n">
        <v>0</v>
      </c>
      <c r="N545" t="n">
        <v>0</v>
      </c>
      <c r="O545" t="n">
        <v>0</v>
      </c>
      <c r="P545" t="n">
        <v>0</v>
      </c>
      <c r="Q545" t="n">
        <v>0</v>
      </c>
      <c r="R545" s="2" t="inlineStr"/>
    </row>
    <row r="546" ht="15" customHeight="1">
      <c r="A546" t="inlineStr">
        <is>
          <t>A 57895-2022</t>
        </is>
      </c>
      <c r="B546" s="1" t="n">
        <v>44900</v>
      </c>
      <c r="C546" s="1" t="n">
        <v>45635</v>
      </c>
      <c r="D546" t="inlineStr">
        <is>
          <t>DALARNAS LÄN</t>
        </is>
      </c>
      <c r="E546" t="inlineStr">
        <is>
          <t>MALUNG-SÄLEN</t>
        </is>
      </c>
      <c r="F546" t="inlineStr">
        <is>
          <t>Allmännings- och besparingsskogar</t>
        </is>
      </c>
      <c r="G546" t="n">
        <v>6</v>
      </c>
      <c r="H546" t="n">
        <v>0</v>
      </c>
      <c r="I546" t="n">
        <v>0</v>
      </c>
      <c r="J546" t="n">
        <v>0</v>
      </c>
      <c r="K546" t="n">
        <v>0</v>
      </c>
      <c r="L546" t="n">
        <v>0</v>
      </c>
      <c r="M546" t="n">
        <v>0</v>
      </c>
      <c r="N546" t="n">
        <v>0</v>
      </c>
      <c r="O546" t="n">
        <v>0</v>
      </c>
      <c r="P546" t="n">
        <v>0</v>
      </c>
      <c r="Q546" t="n">
        <v>0</v>
      </c>
      <c r="R546" s="2" t="inlineStr"/>
    </row>
    <row r="547" ht="15" customHeight="1">
      <c r="A547" t="inlineStr">
        <is>
          <t>A 57909-2022</t>
        </is>
      </c>
      <c r="B547" s="1" t="n">
        <v>44900</v>
      </c>
      <c r="C547" s="1" t="n">
        <v>45635</v>
      </c>
      <c r="D547" t="inlineStr">
        <is>
          <t>DALARNAS LÄN</t>
        </is>
      </c>
      <c r="E547" t="inlineStr">
        <is>
          <t>MALUNG-SÄLEN</t>
        </is>
      </c>
      <c r="F547" t="inlineStr">
        <is>
          <t>Allmännings- och besparingsskogar</t>
        </is>
      </c>
      <c r="G547" t="n">
        <v>16.2</v>
      </c>
      <c r="H547" t="n">
        <v>0</v>
      </c>
      <c r="I547" t="n">
        <v>0</v>
      </c>
      <c r="J547" t="n">
        <v>0</v>
      </c>
      <c r="K547" t="n">
        <v>0</v>
      </c>
      <c r="L547" t="n">
        <v>0</v>
      </c>
      <c r="M547" t="n">
        <v>0</v>
      </c>
      <c r="N547" t="n">
        <v>0</v>
      </c>
      <c r="O547" t="n">
        <v>0</v>
      </c>
      <c r="P547" t="n">
        <v>0</v>
      </c>
      <c r="Q547" t="n">
        <v>0</v>
      </c>
      <c r="R547" s="2" t="inlineStr"/>
    </row>
    <row r="548" ht="15" customHeight="1">
      <c r="A548" t="inlineStr">
        <is>
          <t>A 57928-2022</t>
        </is>
      </c>
      <c r="B548" s="1" t="n">
        <v>44900</v>
      </c>
      <c r="C548" s="1" t="n">
        <v>45635</v>
      </c>
      <c r="D548" t="inlineStr">
        <is>
          <t>DALARNAS LÄN</t>
        </is>
      </c>
      <c r="E548" t="inlineStr">
        <is>
          <t>MALUNG-SÄLEN</t>
        </is>
      </c>
      <c r="G548" t="n">
        <v>4.5</v>
      </c>
      <c r="H548" t="n">
        <v>0</v>
      </c>
      <c r="I548" t="n">
        <v>0</v>
      </c>
      <c r="J548" t="n">
        <v>0</v>
      </c>
      <c r="K548" t="n">
        <v>0</v>
      </c>
      <c r="L548" t="n">
        <v>0</v>
      </c>
      <c r="M548" t="n">
        <v>0</v>
      </c>
      <c r="N548" t="n">
        <v>0</v>
      </c>
      <c r="O548" t="n">
        <v>0</v>
      </c>
      <c r="P548" t="n">
        <v>0</v>
      </c>
      <c r="Q548" t="n">
        <v>0</v>
      </c>
      <c r="R548" s="2" t="inlineStr"/>
    </row>
    <row r="549" ht="15" customHeight="1">
      <c r="A549" t="inlineStr">
        <is>
          <t>A 58772-2022</t>
        </is>
      </c>
      <c r="B549" s="1" t="n">
        <v>44903</v>
      </c>
      <c r="C549" s="1" t="n">
        <v>45635</v>
      </c>
      <c r="D549" t="inlineStr">
        <is>
          <t>DALARNAS LÄN</t>
        </is>
      </c>
      <c r="E549" t="inlineStr">
        <is>
          <t>MALUNG-SÄLEN</t>
        </is>
      </c>
      <c r="G549" t="n">
        <v>5.2</v>
      </c>
      <c r="H549" t="n">
        <v>0</v>
      </c>
      <c r="I549" t="n">
        <v>0</v>
      </c>
      <c r="J549" t="n">
        <v>0</v>
      </c>
      <c r="K549" t="n">
        <v>0</v>
      </c>
      <c r="L549" t="n">
        <v>0</v>
      </c>
      <c r="M549" t="n">
        <v>0</v>
      </c>
      <c r="N549" t="n">
        <v>0</v>
      </c>
      <c r="O549" t="n">
        <v>0</v>
      </c>
      <c r="P549" t="n">
        <v>0</v>
      </c>
      <c r="Q549" t="n">
        <v>0</v>
      </c>
      <c r="R549" s="2" t="inlineStr"/>
    </row>
    <row r="550" ht="15" customHeight="1">
      <c r="A550" t="inlineStr">
        <is>
          <t>A 58832-2022</t>
        </is>
      </c>
      <c r="B550" s="1" t="n">
        <v>44903</v>
      </c>
      <c r="C550" s="1" t="n">
        <v>45635</v>
      </c>
      <c r="D550" t="inlineStr">
        <is>
          <t>DALARNAS LÄN</t>
        </is>
      </c>
      <c r="E550" t="inlineStr">
        <is>
          <t>MALUNG-SÄLEN</t>
        </is>
      </c>
      <c r="G550" t="n">
        <v>1.7</v>
      </c>
      <c r="H550" t="n">
        <v>0</v>
      </c>
      <c r="I550" t="n">
        <v>0</v>
      </c>
      <c r="J550" t="n">
        <v>0</v>
      </c>
      <c r="K550" t="n">
        <v>0</v>
      </c>
      <c r="L550" t="n">
        <v>0</v>
      </c>
      <c r="M550" t="n">
        <v>0</v>
      </c>
      <c r="N550" t="n">
        <v>0</v>
      </c>
      <c r="O550" t="n">
        <v>0</v>
      </c>
      <c r="P550" t="n">
        <v>0</v>
      </c>
      <c r="Q550" t="n">
        <v>0</v>
      </c>
      <c r="R550" s="2" t="inlineStr"/>
    </row>
    <row r="551" ht="15" customHeight="1">
      <c r="A551" t="inlineStr">
        <is>
          <t>A 58840-2022</t>
        </is>
      </c>
      <c r="B551" s="1" t="n">
        <v>44903</v>
      </c>
      <c r="C551" s="1" t="n">
        <v>45635</v>
      </c>
      <c r="D551" t="inlineStr">
        <is>
          <t>DALARNAS LÄN</t>
        </is>
      </c>
      <c r="E551" t="inlineStr">
        <is>
          <t>MALUNG-SÄLEN</t>
        </is>
      </c>
      <c r="G551" t="n">
        <v>4</v>
      </c>
      <c r="H551" t="n">
        <v>0</v>
      </c>
      <c r="I551" t="n">
        <v>0</v>
      </c>
      <c r="J551" t="n">
        <v>0</v>
      </c>
      <c r="K551" t="n">
        <v>0</v>
      </c>
      <c r="L551" t="n">
        <v>0</v>
      </c>
      <c r="M551" t="n">
        <v>0</v>
      </c>
      <c r="N551" t="n">
        <v>0</v>
      </c>
      <c r="O551" t="n">
        <v>0</v>
      </c>
      <c r="P551" t="n">
        <v>0</v>
      </c>
      <c r="Q551" t="n">
        <v>0</v>
      </c>
      <c r="R551" s="2" t="inlineStr"/>
    </row>
    <row r="552" ht="15" customHeight="1">
      <c r="A552" t="inlineStr">
        <is>
          <t>A 59452-2022</t>
        </is>
      </c>
      <c r="B552" s="1" t="n">
        <v>44907</v>
      </c>
      <c r="C552" s="1" t="n">
        <v>45635</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59603-2022</t>
        </is>
      </c>
      <c r="B553" s="1" t="n">
        <v>44907</v>
      </c>
      <c r="C553" s="1" t="n">
        <v>45635</v>
      </c>
      <c r="D553" t="inlineStr">
        <is>
          <t>DALARNAS LÄN</t>
        </is>
      </c>
      <c r="E553" t="inlineStr">
        <is>
          <t>MALUNG-SÄLEN</t>
        </is>
      </c>
      <c r="G553" t="n">
        <v>0.6</v>
      </c>
      <c r="H553" t="n">
        <v>0</v>
      </c>
      <c r="I553" t="n">
        <v>0</v>
      </c>
      <c r="J553" t="n">
        <v>0</v>
      </c>
      <c r="K553" t="n">
        <v>0</v>
      </c>
      <c r="L553" t="n">
        <v>0</v>
      </c>
      <c r="M553" t="n">
        <v>0</v>
      </c>
      <c r="N553" t="n">
        <v>0</v>
      </c>
      <c r="O553" t="n">
        <v>0</v>
      </c>
      <c r="P553" t="n">
        <v>0</v>
      </c>
      <c r="Q553" t="n">
        <v>0</v>
      </c>
      <c r="R553" s="2" t="inlineStr"/>
    </row>
    <row r="554" ht="15" customHeight="1">
      <c r="A554" t="inlineStr">
        <is>
          <t>A 59753-2022</t>
        </is>
      </c>
      <c r="B554" s="1" t="n">
        <v>44908</v>
      </c>
      <c r="C554" s="1" t="n">
        <v>45635</v>
      </c>
      <c r="D554" t="inlineStr">
        <is>
          <t>DALARNAS LÄN</t>
        </is>
      </c>
      <c r="E554" t="inlineStr">
        <is>
          <t>MALUNG-SÄLEN</t>
        </is>
      </c>
      <c r="G554" t="n">
        <v>2.1</v>
      </c>
      <c r="H554" t="n">
        <v>0</v>
      </c>
      <c r="I554" t="n">
        <v>0</v>
      </c>
      <c r="J554" t="n">
        <v>0</v>
      </c>
      <c r="K554" t="n">
        <v>0</v>
      </c>
      <c r="L554" t="n">
        <v>0</v>
      </c>
      <c r="M554" t="n">
        <v>0</v>
      </c>
      <c r="N554" t="n">
        <v>0</v>
      </c>
      <c r="O554" t="n">
        <v>0</v>
      </c>
      <c r="P554" t="n">
        <v>0</v>
      </c>
      <c r="Q554" t="n">
        <v>0</v>
      </c>
      <c r="R554" s="2" t="inlineStr"/>
    </row>
    <row r="555" ht="15" customHeight="1">
      <c r="A555" t="inlineStr">
        <is>
          <t>A 59773-2022</t>
        </is>
      </c>
      <c r="B555" s="1" t="n">
        <v>44908</v>
      </c>
      <c r="C555" s="1" t="n">
        <v>45635</v>
      </c>
      <c r="D555" t="inlineStr">
        <is>
          <t>DALARNAS LÄN</t>
        </is>
      </c>
      <c r="E555" t="inlineStr">
        <is>
          <t>MALUNG-SÄLEN</t>
        </is>
      </c>
      <c r="G555" t="n">
        <v>1.8</v>
      </c>
      <c r="H555" t="n">
        <v>0</v>
      </c>
      <c r="I555" t="n">
        <v>0</v>
      </c>
      <c r="J555" t="n">
        <v>0</v>
      </c>
      <c r="K555" t="n">
        <v>0</v>
      </c>
      <c r="L555" t="n">
        <v>0</v>
      </c>
      <c r="M555" t="n">
        <v>0</v>
      </c>
      <c r="N555" t="n">
        <v>0</v>
      </c>
      <c r="O555" t="n">
        <v>0</v>
      </c>
      <c r="P555" t="n">
        <v>0</v>
      </c>
      <c r="Q555" t="n">
        <v>0</v>
      </c>
      <c r="R555" s="2" t="inlineStr"/>
    </row>
    <row r="556" ht="15" customHeight="1">
      <c r="A556" t="inlineStr">
        <is>
          <t>A 59875-2022</t>
        </is>
      </c>
      <c r="B556" s="1" t="n">
        <v>44908</v>
      </c>
      <c r="C556" s="1" t="n">
        <v>45635</v>
      </c>
      <c r="D556" t="inlineStr">
        <is>
          <t>DALARNAS LÄN</t>
        </is>
      </c>
      <c r="E556" t="inlineStr">
        <is>
          <t>MALUNG-SÄLEN</t>
        </is>
      </c>
      <c r="F556" t="inlineStr">
        <is>
          <t>Kommuner</t>
        </is>
      </c>
      <c r="G556" t="n">
        <v>17.8</v>
      </c>
      <c r="H556" t="n">
        <v>0</v>
      </c>
      <c r="I556" t="n">
        <v>0</v>
      </c>
      <c r="J556" t="n">
        <v>0</v>
      </c>
      <c r="K556" t="n">
        <v>0</v>
      </c>
      <c r="L556" t="n">
        <v>0</v>
      </c>
      <c r="M556" t="n">
        <v>0</v>
      </c>
      <c r="N556" t="n">
        <v>0</v>
      </c>
      <c r="O556" t="n">
        <v>0</v>
      </c>
      <c r="P556" t="n">
        <v>0</v>
      </c>
      <c r="Q556" t="n">
        <v>0</v>
      </c>
      <c r="R556" s="2" t="inlineStr"/>
    </row>
    <row r="557" ht="15" customHeight="1">
      <c r="A557" t="inlineStr">
        <is>
          <t>A 60246-2022</t>
        </is>
      </c>
      <c r="B557" s="1" t="n">
        <v>44910</v>
      </c>
      <c r="C557" s="1" t="n">
        <v>45635</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60448-2022</t>
        </is>
      </c>
      <c r="B558" s="1" t="n">
        <v>44911</v>
      </c>
      <c r="C558" s="1" t="n">
        <v>45635</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60439-2022</t>
        </is>
      </c>
      <c r="B559" s="1" t="n">
        <v>44911</v>
      </c>
      <c r="C559" s="1" t="n">
        <v>45635</v>
      </c>
      <c r="D559" t="inlineStr">
        <is>
          <t>DALARNAS LÄN</t>
        </is>
      </c>
      <c r="E559" t="inlineStr">
        <is>
          <t>MALUNG-SÄLEN</t>
        </is>
      </c>
      <c r="G559" t="n">
        <v>2.9</v>
      </c>
      <c r="H559" t="n">
        <v>0</v>
      </c>
      <c r="I559" t="n">
        <v>0</v>
      </c>
      <c r="J559" t="n">
        <v>0</v>
      </c>
      <c r="K559" t="n">
        <v>0</v>
      </c>
      <c r="L559" t="n">
        <v>0</v>
      </c>
      <c r="M559" t="n">
        <v>0</v>
      </c>
      <c r="N559" t="n">
        <v>0</v>
      </c>
      <c r="O559" t="n">
        <v>0</v>
      </c>
      <c r="P559" t="n">
        <v>0</v>
      </c>
      <c r="Q559" t="n">
        <v>0</v>
      </c>
      <c r="R559" s="2" t="inlineStr"/>
    </row>
    <row r="560" ht="15" customHeight="1">
      <c r="A560" t="inlineStr">
        <is>
          <t>A 60940-2022</t>
        </is>
      </c>
      <c r="B560" s="1" t="n">
        <v>44914</v>
      </c>
      <c r="C560" s="1" t="n">
        <v>45635</v>
      </c>
      <c r="D560" t="inlineStr">
        <is>
          <t>DALARNAS LÄN</t>
        </is>
      </c>
      <c r="E560" t="inlineStr">
        <is>
          <t>MALUNG-SÄLEN</t>
        </is>
      </c>
      <c r="G560" t="n">
        <v>3.3</v>
      </c>
      <c r="H560" t="n">
        <v>0</v>
      </c>
      <c r="I560" t="n">
        <v>0</v>
      </c>
      <c r="J560" t="n">
        <v>0</v>
      </c>
      <c r="K560" t="n">
        <v>0</v>
      </c>
      <c r="L560" t="n">
        <v>0</v>
      </c>
      <c r="M560" t="n">
        <v>0</v>
      </c>
      <c r="N560" t="n">
        <v>0</v>
      </c>
      <c r="O560" t="n">
        <v>0</v>
      </c>
      <c r="P560" t="n">
        <v>0</v>
      </c>
      <c r="Q560" t="n">
        <v>0</v>
      </c>
      <c r="R560" s="2" t="inlineStr"/>
    </row>
    <row r="561" ht="15" customHeight="1">
      <c r="A561" t="inlineStr">
        <is>
          <t>A 61502-2022</t>
        </is>
      </c>
      <c r="B561" s="1" t="n">
        <v>44916</v>
      </c>
      <c r="C561" s="1" t="n">
        <v>45635</v>
      </c>
      <c r="D561" t="inlineStr">
        <is>
          <t>DALARNAS LÄN</t>
        </is>
      </c>
      <c r="E561" t="inlineStr">
        <is>
          <t>MALUNG-SÄLEN</t>
        </is>
      </c>
      <c r="G561" t="n">
        <v>1</v>
      </c>
      <c r="H561" t="n">
        <v>0</v>
      </c>
      <c r="I561" t="n">
        <v>0</v>
      </c>
      <c r="J561" t="n">
        <v>0</v>
      </c>
      <c r="K561" t="n">
        <v>0</v>
      </c>
      <c r="L561" t="n">
        <v>0</v>
      </c>
      <c r="M561" t="n">
        <v>0</v>
      </c>
      <c r="N561" t="n">
        <v>0</v>
      </c>
      <c r="O561" t="n">
        <v>0</v>
      </c>
      <c r="P561" t="n">
        <v>0</v>
      </c>
      <c r="Q561" t="n">
        <v>0</v>
      </c>
      <c r="R561" s="2" t="inlineStr"/>
    </row>
    <row r="562" ht="15" customHeight="1">
      <c r="A562" t="inlineStr">
        <is>
          <t>A 62289-2022</t>
        </is>
      </c>
      <c r="B562" s="1" t="n">
        <v>44923</v>
      </c>
      <c r="C562" s="1" t="n">
        <v>45635</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62281-2022</t>
        </is>
      </c>
      <c r="B563" s="1" t="n">
        <v>44923</v>
      </c>
      <c r="C563" s="1" t="n">
        <v>45635</v>
      </c>
      <c r="D563" t="inlineStr">
        <is>
          <t>DALARNAS LÄN</t>
        </is>
      </c>
      <c r="E563" t="inlineStr">
        <is>
          <t>MALUNG-SÄLEN</t>
        </is>
      </c>
      <c r="G563" t="n">
        <v>12.4</v>
      </c>
      <c r="H563" t="n">
        <v>0</v>
      </c>
      <c r="I563" t="n">
        <v>0</v>
      </c>
      <c r="J563" t="n">
        <v>0</v>
      </c>
      <c r="K563" t="n">
        <v>0</v>
      </c>
      <c r="L563" t="n">
        <v>0</v>
      </c>
      <c r="M563" t="n">
        <v>0</v>
      </c>
      <c r="N563" t="n">
        <v>0</v>
      </c>
      <c r="O563" t="n">
        <v>0</v>
      </c>
      <c r="P563" t="n">
        <v>0</v>
      </c>
      <c r="Q563" t="n">
        <v>0</v>
      </c>
      <c r="R563" s="2" t="inlineStr"/>
    </row>
    <row r="564" ht="15" customHeight="1">
      <c r="A564" t="inlineStr">
        <is>
          <t>A 62287-2022</t>
        </is>
      </c>
      <c r="B564" s="1" t="n">
        <v>44923</v>
      </c>
      <c r="C564" s="1" t="n">
        <v>45635</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62371-2022</t>
        </is>
      </c>
      <c r="B565" s="1" t="n">
        <v>44923</v>
      </c>
      <c r="C565" s="1" t="n">
        <v>45635</v>
      </c>
      <c r="D565" t="inlineStr">
        <is>
          <t>DALARNAS LÄN</t>
        </is>
      </c>
      <c r="E565" t="inlineStr">
        <is>
          <t>MALUNG-SÄLEN</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62288-2022</t>
        </is>
      </c>
      <c r="B566" s="1" t="n">
        <v>44923</v>
      </c>
      <c r="C566" s="1" t="n">
        <v>45635</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62369-2022</t>
        </is>
      </c>
      <c r="B567" s="1" t="n">
        <v>44923</v>
      </c>
      <c r="C567" s="1" t="n">
        <v>45635</v>
      </c>
      <c r="D567" t="inlineStr">
        <is>
          <t>DALARNAS LÄN</t>
        </is>
      </c>
      <c r="E567" t="inlineStr">
        <is>
          <t>MALUNG-SÄLEN</t>
        </is>
      </c>
      <c r="G567" t="n">
        <v>7.1</v>
      </c>
      <c r="H567" t="n">
        <v>0</v>
      </c>
      <c r="I567" t="n">
        <v>0</v>
      </c>
      <c r="J567" t="n">
        <v>0</v>
      </c>
      <c r="K567" t="n">
        <v>0</v>
      </c>
      <c r="L567" t="n">
        <v>0</v>
      </c>
      <c r="M567" t="n">
        <v>0</v>
      </c>
      <c r="N567" t="n">
        <v>0</v>
      </c>
      <c r="O567" t="n">
        <v>0</v>
      </c>
      <c r="P567" t="n">
        <v>0</v>
      </c>
      <c r="Q567" t="n">
        <v>0</v>
      </c>
      <c r="R567" s="2" t="inlineStr"/>
    </row>
    <row r="568" ht="15" customHeight="1">
      <c r="A568" t="inlineStr">
        <is>
          <t>A 62336-2022</t>
        </is>
      </c>
      <c r="B568" s="1" t="n">
        <v>44923</v>
      </c>
      <c r="C568" s="1" t="n">
        <v>45635</v>
      </c>
      <c r="D568" t="inlineStr">
        <is>
          <t>DALARNAS LÄN</t>
        </is>
      </c>
      <c r="E568" t="inlineStr">
        <is>
          <t>MALUNG-SÄLEN</t>
        </is>
      </c>
      <c r="G568" t="n">
        <v>10.6</v>
      </c>
      <c r="H568" t="n">
        <v>0</v>
      </c>
      <c r="I568" t="n">
        <v>0</v>
      </c>
      <c r="J568" t="n">
        <v>0</v>
      </c>
      <c r="K568" t="n">
        <v>0</v>
      </c>
      <c r="L568" t="n">
        <v>0</v>
      </c>
      <c r="M568" t="n">
        <v>0</v>
      </c>
      <c r="N568" t="n">
        <v>0</v>
      </c>
      <c r="O568" t="n">
        <v>0</v>
      </c>
      <c r="P568" t="n">
        <v>0</v>
      </c>
      <c r="Q568" t="n">
        <v>0</v>
      </c>
      <c r="R568" s="2" t="inlineStr"/>
    </row>
    <row r="569" ht="15" customHeight="1">
      <c r="A569" t="inlineStr">
        <is>
          <t>A 68-2023</t>
        </is>
      </c>
      <c r="B569" s="1" t="n">
        <v>44928</v>
      </c>
      <c r="C569" s="1" t="n">
        <v>45635</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194-2023</t>
        </is>
      </c>
      <c r="B570" s="1" t="n">
        <v>44928</v>
      </c>
      <c r="C570" s="1" t="n">
        <v>45635</v>
      </c>
      <c r="D570" t="inlineStr">
        <is>
          <t>DALARNAS LÄN</t>
        </is>
      </c>
      <c r="E570" t="inlineStr">
        <is>
          <t>MALUNG-SÄLEN</t>
        </is>
      </c>
      <c r="G570" t="n">
        <v>5.3</v>
      </c>
      <c r="H570" t="n">
        <v>0</v>
      </c>
      <c r="I570" t="n">
        <v>0</v>
      </c>
      <c r="J570" t="n">
        <v>0</v>
      </c>
      <c r="K570" t="n">
        <v>0</v>
      </c>
      <c r="L570" t="n">
        <v>0</v>
      </c>
      <c r="M570" t="n">
        <v>0</v>
      </c>
      <c r="N570" t="n">
        <v>0</v>
      </c>
      <c r="O570" t="n">
        <v>0</v>
      </c>
      <c r="P570" t="n">
        <v>0</v>
      </c>
      <c r="Q570" t="n">
        <v>0</v>
      </c>
      <c r="R570" s="2" t="inlineStr"/>
    </row>
    <row r="571" ht="15" customHeight="1">
      <c r="A571" t="inlineStr">
        <is>
          <t>A 206-2023</t>
        </is>
      </c>
      <c r="B571" s="1" t="n">
        <v>44928</v>
      </c>
      <c r="C571" s="1" t="n">
        <v>45635</v>
      </c>
      <c r="D571" t="inlineStr">
        <is>
          <t>DALARNAS LÄN</t>
        </is>
      </c>
      <c r="E571" t="inlineStr">
        <is>
          <t>MALUNG-SÄLEN</t>
        </is>
      </c>
      <c r="G571" t="n">
        <v>7.6</v>
      </c>
      <c r="H571" t="n">
        <v>0</v>
      </c>
      <c r="I571" t="n">
        <v>0</v>
      </c>
      <c r="J571" t="n">
        <v>0</v>
      </c>
      <c r="K571" t="n">
        <v>0</v>
      </c>
      <c r="L571" t="n">
        <v>0</v>
      </c>
      <c r="M571" t="n">
        <v>0</v>
      </c>
      <c r="N571" t="n">
        <v>0</v>
      </c>
      <c r="O571" t="n">
        <v>0</v>
      </c>
      <c r="P571" t="n">
        <v>0</v>
      </c>
      <c r="Q571" t="n">
        <v>0</v>
      </c>
      <c r="R571" s="2" t="inlineStr"/>
    </row>
    <row r="572" ht="15" customHeight="1">
      <c r="A572" t="inlineStr">
        <is>
          <t>A 752-2023</t>
        </is>
      </c>
      <c r="B572" s="1" t="n">
        <v>44931</v>
      </c>
      <c r="C572" s="1" t="n">
        <v>45635</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1252-2023</t>
        </is>
      </c>
      <c r="B573" s="1" t="n">
        <v>44936</v>
      </c>
      <c r="C573" s="1" t="n">
        <v>45635</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1257-2023</t>
        </is>
      </c>
      <c r="B574" s="1" t="n">
        <v>44936</v>
      </c>
      <c r="C574" s="1" t="n">
        <v>45635</v>
      </c>
      <c r="D574" t="inlineStr">
        <is>
          <t>DALARNAS LÄN</t>
        </is>
      </c>
      <c r="E574" t="inlineStr">
        <is>
          <t>MALUNG-SÄLEN</t>
        </is>
      </c>
      <c r="G574" t="n">
        <v>3.1</v>
      </c>
      <c r="H574" t="n">
        <v>0</v>
      </c>
      <c r="I574" t="n">
        <v>0</v>
      </c>
      <c r="J574" t="n">
        <v>0</v>
      </c>
      <c r="K574" t="n">
        <v>0</v>
      </c>
      <c r="L574" t="n">
        <v>0</v>
      </c>
      <c r="M574" t="n">
        <v>0</v>
      </c>
      <c r="N574" t="n">
        <v>0</v>
      </c>
      <c r="O574" t="n">
        <v>0</v>
      </c>
      <c r="P574" t="n">
        <v>0</v>
      </c>
      <c r="Q574" t="n">
        <v>0</v>
      </c>
      <c r="R574" s="2" t="inlineStr"/>
    </row>
    <row r="575" ht="15" customHeight="1">
      <c r="A575" t="inlineStr">
        <is>
          <t>A 1590-2023</t>
        </is>
      </c>
      <c r="B575" s="1" t="n">
        <v>44937</v>
      </c>
      <c r="C575" s="1" t="n">
        <v>45635</v>
      </c>
      <c r="D575" t="inlineStr">
        <is>
          <t>DALARNAS LÄN</t>
        </is>
      </c>
      <c r="E575" t="inlineStr">
        <is>
          <t>MALUNG-SÄLEN</t>
        </is>
      </c>
      <c r="G575" t="n">
        <v>5.1</v>
      </c>
      <c r="H575" t="n">
        <v>0</v>
      </c>
      <c r="I575" t="n">
        <v>0</v>
      </c>
      <c r="J575" t="n">
        <v>0</v>
      </c>
      <c r="K575" t="n">
        <v>0</v>
      </c>
      <c r="L575" t="n">
        <v>0</v>
      </c>
      <c r="M575" t="n">
        <v>0</v>
      </c>
      <c r="N575" t="n">
        <v>0</v>
      </c>
      <c r="O575" t="n">
        <v>0</v>
      </c>
      <c r="P575" t="n">
        <v>0</v>
      </c>
      <c r="Q575" t="n">
        <v>0</v>
      </c>
      <c r="R575" s="2" t="inlineStr"/>
    </row>
    <row r="576" ht="15" customHeight="1">
      <c r="A576" t="inlineStr">
        <is>
          <t>A 1694-2023</t>
        </is>
      </c>
      <c r="B576" s="1" t="n">
        <v>44938</v>
      </c>
      <c r="C576" s="1" t="n">
        <v>45635</v>
      </c>
      <c r="D576" t="inlineStr">
        <is>
          <t>DALARNAS LÄN</t>
        </is>
      </c>
      <c r="E576" t="inlineStr">
        <is>
          <t>MALUNG-SÄLEN</t>
        </is>
      </c>
      <c r="G576" t="n">
        <v>7.8</v>
      </c>
      <c r="H576" t="n">
        <v>0</v>
      </c>
      <c r="I576" t="n">
        <v>0</v>
      </c>
      <c r="J576" t="n">
        <v>0</v>
      </c>
      <c r="K576" t="n">
        <v>0</v>
      </c>
      <c r="L576" t="n">
        <v>0</v>
      </c>
      <c r="M576" t="n">
        <v>0</v>
      </c>
      <c r="N576" t="n">
        <v>0</v>
      </c>
      <c r="O576" t="n">
        <v>0</v>
      </c>
      <c r="P576" t="n">
        <v>0</v>
      </c>
      <c r="Q576" t="n">
        <v>0</v>
      </c>
      <c r="R576" s="2" t="inlineStr"/>
    </row>
    <row r="577" ht="15" customHeight="1">
      <c r="A577" t="inlineStr">
        <is>
          <t>A 1723-2023</t>
        </is>
      </c>
      <c r="B577" s="1" t="n">
        <v>44938</v>
      </c>
      <c r="C577" s="1" t="n">
        <v>45635</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1704-2023</t>
        </is>
      </c>
      <c r="B578" s="1" t="n">
        <v>44938</v>
      </c>
      <c r="C578" s="1" t="n">
        <v>45635</v>
      </c>
      <c r="D578" t="inlineStr">
        <is>
          <t>DALARNAS LÄN</t>
        </is>
      </c>
      <c r="E578" t="inlineStr">
        <is>
          <t>MALUNG-SÄLEN</t>
        </is>
      </c>
      <c r="G578" t="n">
        <v>4.7</v>
      </c>
      <c r="H578" t="n">
        <v>0</v>
      </c>
      <c r="I578" t="n">
        <v>0</v>
      </c>
      <c r="J578" t="n">
        <v>0</v>
      </c>
      <c r="K578" t="n">
        <v>0</v>
      </c>
      <c r="L578" t="n">
        <v>0</v>
      </c>
      <c r="M578" t="n">
        <v>0</v>
      </c>
      <c r="N578" t="n">
        <v>0</v>
      </c>
      <c r="O578" t="n">
        <v>0</v>
      </c>
      <c r="P578" t="n">
        <v>0</v>
      </c>
      <c r="Q578" t="n">
        <v>0</v>
      </c>
      <c r="R578" s="2" t="inlineStr"/>
    </row>
    <row r="579" ht="15" customHeight="1">
      <c r="A579" t="inlineStr">
        <is>
          <t>A 2612-2023</t>
        </is>
      </c>
      <c r="B579" s="1" t="n">
        <v>44944</v>
      </c>
      <c r="C579" s="1" t="n">
        <v>45635</v>
      </c>
      <c r="D579" t="inlineStr">
        <is>
          <t>DALARNAS LÄN</t>
        </is>
      </c>
      <c r="E579" t="inlineStr">
        <is>
          <t>MALUNG-SÄLEN</t>
        </is>
      </c>
      <c r="G579" t="n">
        <v>3.5</v>
      </c>
      <c r="H579" t="n">
        <v>0</v>
      </c>
      <c r="I579" t="n">
        <v>0</v>
      </c>
      <c r="J579" t="n">
        <v>0</v>
      </c>
      <c r="K579" t="n">
        <v>0</v>
      </c>
      <c r="L579" t="n">
        <v>0</v>
      </c>
      <c r="M579" t="n">
        <v>0</v>
      </c>
      <c r="N579" t="n">
        <v>0</v>
      </c>
      <c r="O579" t="n">
        <v>0</v>
      </c>
      <c r="P579" t="n">
        <v>0</v>
      </c>
      <c r="Q579" t="n">
        <v>0</v>
      </c>
      <c r="R579" s="2" t="inlineStr"/>
    </row>
    <row r="580" ht="15" customHeight="1">
      <c r="A580" t="inlineStr">
        <is>
          <t>A 2677-2023</t>
        </is>
      </c>
      <c r="B580" s="1" t="n">
        <v>44944</v>
      </c>
      <c r="C580" s="1" t="n">
        <v>45635</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2673-2023</t>
        </is>
      </c>
      <c r="B581" s="1" t="n">
        <v>44944</v>
      </c>
      <c r="C581" s="1" t="n">
        <v>45635</v>
      </c>
      <c r="D581" t="inlineStr">
        <is>
          <t>DALARNAS LÄN</t>
        </is>
      </c>
      <c r="E581" t="inlineStr">
        <is>
          <t>MALUNG-SÄLEN</t>
        </is>
      </c>
      <c r="G581" t="n">
        <v>1</v>
      </c>
      <c r="H581" t="n">
        <v>0</v>
      </c>
      <c r="I581" t="n">
        <v>0</v>
      </c>
      <c r="J581" t="n">
        <v>0</v>
      </c>
      <c r="K581" t="n">
        <v>0</v>
      </c>
      <c r="L581" t="n">
        <v>0</v>
      </c>
      <c r="M581" t="n">
        <v>0</v>
      </c>
      <c r="N581" t="n">
        <v>0</v>
      </c>
      <c r="O581" t="n">
        <v>0</v>
      </c>
      <c r="P581" t="n">
        <v>0</v>
      </c>
      <c r="Q581" t="n">
        <v>0</v>
      </c>
      <c r="R581" s="2" t="inlineStr"/>
    </row>
    <row r="582" ht="15" customHeight="1">
      <c r="A582" t="inlineStr">
        <is>
          <t>A 3179-2023</t>
        </is>
      </c>
      <c r="B582" s="1" t="n">
        <v>44946</v>
      </c>
      <c r="C582" s="1" t="n">
        <v>45635</v>
      </c>
      <c r="D582" t="inlineStr">
        <is>
          <t>DALARNAS LÄN</t>
        </is>
      </c>
      <c r="E582" t="inlineStr">
        <is>
          <t>MALUNG-SÄLEN</t>
        </is>
      </c>
      <c r="G582" t="n">
        <v>0.7</v>
      </c>
      <c r="H582" t="n">
        <v>0</v>
      </c>
      <c r="I582" t="n">
        <v>0</v>
      </c>
      <c r="J582" t="n">
        <v>0</v>
      </c>
      <c r="K582" t="n">
        <v>0</v>
      </c>
      <c r="L582" t="n">
        <v>0</v>
      </c>
      <c r="M582" t="n">
        <v>0</v>
      </c>
      <c r="N582" t="n">
        <v>0</v>
      </c>
      <c r="O582" t="n">
        <v>0</v>
      </c>
      <c r="P582" t="n">
        <v>0</v>
      </c>
      <c r="Q582" t="n">
        <v>0</v>
      </c>
      <c r="R582" s="2" t="inlineStr"/>
    </row>
    <row r="583" ht="15" customHeight="1">
      <c r="A583" t="inlineStr">
        <is>
          <t>A 3186-2023</t>
        </is>
      </c>
      <c r="B583" s="1" t="n">
        <v>44946</v>
      </c>
      <c r="C583" s="1" t="n">
        <v>45635</v>
      </c>
      <c r="D583" t="inlineStr">
        <is>
          <t>DALARNAS LÄN</t>
        </is>
      </c>
      <c r="E583" t="inlineStr">
        <is>
          <t>MALUNG-SÄLEN</t>
        </is>
      </c>
      <c r="G583" t="n">
        <v>1.6</v>
      </c>
      <c r="H583" t="n">
        <v>0</v>
      </c>
      <c r="I583" t="n">
        <v>0</v>
      </c>
      <c r="J583" t="n">
        <v>0</v>
      </c>
      <c r="K583" t="n">
        <v>0</v>
      </c>
      <c r="L583" t="n">
        <v>0</v>
      </c>
      <c r="M583" t="n">
        <v>0</v>
      </c>
      <c r="N583" t="n">
        <v>0</v>
      </c>
      <c r="O583" t="n">
        <v>0</v>
      </c>
      <c r="P583" t="n">
        <v>0</v>
      </c>
      <c r="Q583" t="n">
        <v>0</v>
      </c>
      <c r="R583" s="2" t="inlineStr"/>
    </row>
    <row r="584" ht="15" customHeight="1">
      <c r="A584" t="inlineStr">
        <is>
          <t>A 3583-2023</t>
        </is>
      </c>
      <c r="B584" s="1" t="n">
        <v>44950</v>
      </c>
      <c r="C584" s="1" t="n">
        <v>45635</v>
      </c>
      <c r="D584" t="inlineStr">
        <is>
          <t>DALARNAS LÄN</t>
        </is>
      </c>
      <c r="E584" t="inlineStr">
        <is>
          <t>MALUNG-SÄLEN</t>
        </is>
      </c>
      <c r="G584" t="n">
        <v>4</v>
      </c>
      <c r="H584" t="n">
        <v>0</v>
      </c>
      <c r="I584" t="n">
        <v>0</v>
      </c>
      <c r="J584" t="n">
        <v>0</v>
      </c>
      <c r="K584" t="n">
        <v>0</v>
      </c>
      <c r="L584" t="n">
        <v>0</v>
      </c>
      <c r="M584" t="n">
        <v>0</v>
      </c>
      <c r="N584" t="n">
        <v>0</v>
      </c>
      <c r="O584" t="n">
        <v>0</v>
      </c>
      <c r="P584" t="n">
        <v>0</v>
      </c>
      <c r="Q584" t="n">
        <v>0</v>
      </c>
      <c r="R584" s="2" t="inlineStr"/>
    </row>
    <row r="585" ht="15" customHeight="1">
      <c r="A585" t="inlineStr">
        <is>
          <t>A 3543-2023</t>
        </is>
      </c>
      <c r="B585" s="1" t="n">
        <v>44950</v>
      </c>
      <c r="C585" s="1" t="n">
        <v>45635</v>
      </c>
      <c r="D585" t="inlineStr">
        <is>
          <t>DALARNAS LÄN</t>
        </is>
      </c>
      <c r="E585" t="inlineStr">
        <is>
          <t>MALUNG-SÄLEN</t>
        </is>
      </c>
      <c r="G585" t="n">
        <v>2.9</v>
      </c>
      <c r="H585" t="n">
        <v>0</v>
      </c>
      <c r="I585" t="n">
        <v>0</v>
      </c>
      <c r="J585" t="n">
        <v>0</v>
      </c>
      <c r="K585" t="n">
        <v>0</v>
      </c>
      <c r="L585" t="n">
        <v>0</v>
      </c>
      <c r="M585" t="n">
        <v>0</v>
      </c>
      <c r="N585" t="n">
        <v>0</v>
      </c>
      <c r="O585" t="n">
        <v>0</v>
      </c>
      <c r="P585" t="n">
        <v>0</v>
      </c>
      <c r="Q585" t="n">
        <v>0</v>
      </c>
      <c r="R585" s="2" t="inlineStr"/>
    </row>
    <row r="586" ht="15" customHeight="1">
      <c r="A586" t="inlineStr">
        <is>
          <t>A 4811-2023</t>
        </is>
      </c>
      <c r="B586" s="1" t="n">
        <v>44957</v>
      </c>
      <c r="C586" s="1" t="n">
        <v>45635</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5870-2023</t>
        </is>
      </c>
      <c r="B587" s="1" t="n">
        <v>44963</v>
      </c>
      <c r="C587" s="1" t="n">
        <v>45635</v>
      </c>
      <c r="D587" t="inlineStr">
        <is>
          <t>DALARNAS LÄN</t>
        </is>
      </c>
      <c r="E587" t="inlineStr">
        <is>
          <t>MALUNG-SÄLEN</t>
        </is>
      </c>
      <c r="G587" t="n">
        <v>1.8</v>
      </c>
      <c r="H587" t="n">
        <v>0</v>
      </c>
      <c r="I587" t="n">
        <v>0</v>
      </c>
      <c r="J587" t="n">
        <v>0</v>
      </c>
      <c r="K587" t="n">
        <v>0</v>
      </c>
      <c r="L587" t="n">
        <v>0</v>
      </c>
      <c r="M587" t="n">
        <v>0</v>
      </c>
      <c r="N587" t="n">
        <v>0</v>
      </c>
      <c r="O587" t="n">
        <v>0</v>
      </c>
      <c r="P587" t="n">
        <v>0</v>
      </c>
      <c r="Q587" t="n">
        <v>0</v>
      </c>
      <c r="R587" s="2" t="inlineStr"/>
    </row>
    <row r="588" ht="15" customHeight="1">
      <c r="A588" t="inlineStr">
        <is>
          <t>A 5858-2023</t>
        </is>
      </c>
      <c r="B588" s="1" t="n">
        <v>44963</v>
      </c>
      <c r="C588" s="1" t="n">
        <v>45635</v>
      </c>
      <c r="D588" t="inlineStr">
        <is>
          <t>DALARNAS LÄN</t>
        </is>
      </c>
      <c r="E588" t="inlineStr">
        <is>
          <t>MALUNG-SÄLEN</t>
        </is>
      </c>
      <c r="G588" t="n">
        <v>11.7</v>
      </c>
      <c r="H588" t="n">
        <v>0</v>
      </c>
      <c r="I588" t="n">
        <v>0</v>
      </c>
      <c r="J588" t="n">
        <v>0</v>
      </c>
      <c r="K588" t="n">
        <v>0</v>
      </c>
      <c r="L588" t="n">
        <v>0</v>
      </c>
      <c r="M588" t="n">
        <v>0</v>
      </c>
      <c r="N588" t="n">
        <v>0</v>
      </c>
      <c r="O588" t="n">
        <v>0</v>
      </c>
      <c r="P588" t="n">
        <v>0</v>
      </c>
      <c r="Q588" t="n">
        <v>0</v>
      </c>
      <c r="R588" s="2" t="inlineStr"/>
    </row>
    <row r="589" ht="15" customHeight="1">
      <c r="A589" t="inlineStr">
        <is>
          <t>A 5900-2023</t>
        </is>
      </c>
      <c r="B589" s="1" t="n">
        <v>44963</v>
      </c>
      <c r="C589" s="1" t="n">
        <v>45635</v>
      </c>
      <c r="D589" t="inlineStr">
        <is>
          <t>DALARNAS LÄN</t>
        </is>
      </c>
      <c r="E589" t="inlineStr">
        <is>
          <t>MALUNG-SÄLEN</t>
        </is>
      </c>
      <c r="G589" t="n">
        <v>1.9</v>
      </c>
      <c r="H589" t="n">
        <v>0</v>
      </c>
      <c r="I589" t="n">
        <v>0</v>
      </c>
      <c r="J589" t="n">
        <v>0</v>
      </c>
      <c r="K589" t="n">
        <v>0</v>
      </c>
      <c r="L589" t="n">
        <v>0</v>
      </c>
      <c r="M589" t="n">
        <v>0</v>
      </c>
      <c r="N589" t="n">
        <v>0</v>
      </c>
      <c r="O589" t="n">
        <v>0</v>
      </c>
      <c r="P589" t="n">
        <v>0</v>
      </c>
      <c r="Q589" t="n">
        <v>0</v>
      </c>
      <c r="R589" s="2" t="inlineStr"/>
    </row>
    <row r="590" ht="15" customHeight="1">
      <c r="A590" t="inlineStr">
        <is>
          <t>A 7137-2023</t>
        </is>
      </c>
      <c r="B590" s="1" t="n">
        <v>44970</v>
      </c>
      <c r="C590" s="1" t="n">
        <v>45635</v>
      </c>
      <c r="D590" t="inlineStr">
        <is>
          <t>DALARNAS LÄN</t>
        </is>
      </c>
      <c r="E590" t="inlineStr">
        <is>
          <t>MALUNG-SÄLEN</t>
        </is>
      </c>
      <c r="G590" t="n">
        <v>3.4</v>
      </c>
      <c r="H590" t="n">
        <v>0</v>
      </c>
      <c r="I590" t="n">
        <v>0</v>
      </c>
      <c r="J590" t="n">
        <v>0</v>
      </c>
      <c r="K590" t="n">
        <v>0</v>
      </c>
      <c r="L590" t="n">
        <v>0</v>
      </c>
      <c r="M590" t="n">
        <v>0</v>
      </c>
      <c r="N590" t="n">
        <v>0</v>
      </c>
      <c r="O590" t="n">
        <v>0</v>
      </c>
      <c r="P590" t="n">
        <v>0</v>
      </c>
      <c r="Q590" t="n">
        <v>0</v>
      </c>
      <c r="R590" s="2" t="inlineStr"/>
    </row>
    <row r="591" ht="15" customHeight="1">
      <c r="A591" t="inlineStr">
        <is>
          <t>A 8821-2023</t>
        </is>
      </c>
      <c r="B591" s="1" t="n">
        <v>44978</v>
      </c>
      <c r="C591" s="1" t="n">
        <v>45635</v>
      </c>
      <c r="D591" t="inlineStr">
        <is>
          <t>DALARNAS LÄN</t>
        </is>
      </c>
      <c r="E591" t="inlineStr">
        <is>
          <t>MALUNG-SÄLEN</t>
        </is>
      </c>
      <c r="G591" t="n">
        <v>1.7</v>
      </c>
      <c r="H591" t="n">
        <v>0</v>
      </c>
      <c r="I591" t="n">
        <v>0</v>
      </c>
      <c r="J591" t="n">
        <v>0</v>
      </c>
      <c r="K591" t="n">
        <v>0</v>
      </c>
      <c r="L591" t="n">
        <v>0</v>
      </c>
      <c r="M591" t="n">
        <v>0</v>
      </c>
      <c r="N591" t="n">
        <v>0</v>
      </c>
      <c r="O591" t="n">
        <v>0</v>
      </c>
      <c r="P591" t="n">
        <v>0</v>
      </c>
      <c r="Q591" t="n">
        <v>0</v>
      </c>
      <c r="R591" s="2" t="inlineStr"/>
    </row>
    <row r="592" ht="15" customHeight="1">
      <c r="A592" t="inlineStr">
        <is>
          <t>A 8707-2023</t>
        </is>
      </c>
      <c r="B592" s="1" t="n">
        <v>44978</v>
      </c>
      <c r="C592" s="1" t="n">
        <v>45635</v>
      </c>
      <c r="D592" t="inlineStr">
        <is>
          <t>DALARNAS LÄN</t>
        </is>
      </c>
      <c r="E592" t="inlineStr">
        <is>
          <t>MALUNG-SÄLEN</t>
        </is>
      </c>
      <c r="G592" t="n">
        <v>2.3</v>
      </c>
      <c r="H592" t="n">
        <v>0</v>
      </c>
      <c r="I592" t="n">
        <v>0</v>
      </c>
      <c r="J592" t="n">
        <v>0</v>
      </c>
      <c r="K592" t="n">
        <v>0</v>
      </c>
      <c r="L592" t="n">
        <v>0</v>
      </c>
      <c r="M592" t="n">
        <v>0</v>
      </c>
      <c r="N592" t="n">
        <v>0</v>
      </c>
      <c r="O592" t="n">
        <v>0</v>
      </c>
      <c r="P592" t="n">
        <v>0</v>
      </c>
      <c r="Q592" t="n">
        <v>0</v>
      </c>
      <c r="R592" s="2" t="inlineStr"/>
    </row>
    <row r="593" ht="15" customHeight="1">
      <c r="A593" t="inlineStr">
        <is>
          <t>A 8779-2023</t>
        </is>
      </c>
      <c r="B593" s="1" t="n">
        <v>44978</v>
      </c>
      <c r="C593" s="1" t="n">
        <v>45635</v>
      </c>
      <c r="D593" t="inlineStr">
        <is>
          <t>DALARNAS LÄN</t>
        </is>
      </c>
      <c r="E593" t="inlineStr">
        <is>
          <t>MALUNG-SÄLEN</t>
        </is>
      </c>
      <c r="G593" t="n">
        <v>1.3</v>
      </c>
      <c r="H593" t="n">
        <v>0</v>
      </c>
      <c r="I593" t="n">
        <v>0</v>
      </c>
      <c r="J593" t="n">
        <v>0</v>
      </c>
      <c r="K593" t="n">
        <v>0</v>
      </c>
      <c r="L593" t="n">
        <v>0</v>
      </c>
      <c r="M593" t="n">
        <v>0</v>
      </c>
      <c r="N593" t="n">
        <v>0</v>
      </c>
      <c r="O593" t="n">
        <v>0</v>
      </c>
      <c r="P593" t="n">
        <v>0</v>
      </c>
      <c r="Q593" t="n">
        <v>0</v>
      </c>
      <c r="R593" s="2" t="inlineStr"/>
    </row>
    <row r="594" ht="15" customHeight="1">
      <c r="A594" t="inlineStr">
        <is>
          <t>A 8827-2023</t>
        </is>
      </c>
      <c r="B594" s="1" t="n">
        <v>44978</v>
      </c>
      <c r="C594" s="1" t="n">
        <v>45635</v>
      </c>
      <c r="D594" t="inlineStr">
        <is>
          <t>DALARNAS LÄN</t>
        </is>
      </c>
      <c r="E594" t="inlineStr">
        <is>
          <t>MALUNG-SÄLEN</t>
        </is>
      </c>
      <c r="G594" t="n">
        <v>4.9</v>
      </c>
      <c r="H594" t="n">
        <v>0</v>
      </c>
      <c r="I594" t="n">
        <v>0</v>
      </c>
      <c r="J594" t="n">
        <v>0</v>
      </c>
      <c r="K594" t="n">
        <v>0</v>
      </c>
      <c r="L594" t="n">
        <v>0</v>
      </c>
      <c r="M594" t="n">
        <v>0</v>
      </c>
      <c r="N594" t="n">
        <v>0</v>
      </c>
      <c r="O594" t="n">
        <v>0</v>
      </c>
      <c r="P594" t="n">
        <v>0</v>
      </c>
      <c r="Q594" t="n">
        <v>0</v>
      </c>
      <c r="R594" s="2" t="inlineStr"/>
    </row>
    <row r="595" ht="15" customHeight="1">
      <c r="A595" t="inlineStr">
        <is>
          <t>A 9977-2023</t>
        </is>
      </c>
      <c r="B595" s="1" t="n">
        <v>44979</v>
      </c>
      <c r="C595" s="1" t="n">
        <v>45635</v>
      </c>
      <c r="D595" t="inlineStr">
        <is>
          <t>DALARNAS LÄN</t>
        </is>
      </c>
      <c r="E595" t="inlineStr">
        <is>
          <t>MALUNG-SÄLEN</t>
        </is>
      </c>
      <c r="G595" t="n">
        <v>1.1</v>
      </c>
      <c r="H595" t="n">
        <v>0</v>
      </c>
      <c r="I595" t="n">
        <v>0</v>
      </c>
      <c r="J595" t="n">
        <v>0</v>
      </c>
      <c r="K595" t="n">
        <v>0</v>
      </c>
      <c r="L595" t="n">
        <v>0</v>
      </c>
      <c r="M595" t="n">
        <v>0</v>
      </c>
      <c r="N595" t="n">
        <v>0</v>
      </c>
      <c r="O595" t="n">
        <v>0</v>
      </c>
      <c r="P595" t="n">
        <v>0</v>
      </c>
      <c r="Q595" t="n">
        <v>0</v>
      </c>
      <c r="R595" s="2" t="inlineStr"/>
    </row>
    <row r="596" ht="15" customHeight="1">
      <c r="A596" t="inlineStr">
        <is>
          <t>A 9380-2023</t>
        </is>
      </c>
      <c r="B596" s="1" t="n">
        <v>44981</v>
      </c>
      <c r="C596" s="1" t="n">
        <v>45635</v>
      </c>
      <c r="D596" t="inlineStr">
        <is>
          <t>DALARNAS LÄN</t>
        </is>
      </c>
      <c r="E596" t="inlineStr">
        <is>
          <t>MALUNG-SÄLEN</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10839-2023</t>
        </is>
      </c>
      <c r="B597" s="1" t="n">
        <v>44991</v>
      </c>
      <c r="C597" s="1" t="n">
        <v>45635</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11594-2023</t>
        </is>
      </c>
      <c r="B598" s="1" t="n">
        <v>44994</v>
      </c>
      <c r="C598" s="1" t="n">
        <v>45635</v>
      </c>
      <c r="D598" t="inlineStr">
        <is>
          <t>DALARNAS LÄN</t>
        </is>
      </c>
      <c r="E598" t="inlineStr">
        <is>
          <t>MALUNG-SÄLEN</t>
        </is>
      </c>
      <c r="G598" t="n">
        <v>3</v>
      </c>
      <c r="H598" t="n">
        <v>0</v>
      </c>
      <c r="I598" t="n">
        <v>0</v>
      </c>
      <c r="J598" t="n">
        <v>0</v>
      </c>
      <c r="K598" t="n">
        <v>0</v>
      </c>
      <c r="L598" t="n">
        <v>0</v>
      </c>
      <c r="M598" t="n">
        <v>0</v>
      </c>
      <c r="N598" t="n">
        <v>0</v>
      </c>
      <c r="O598" t="n">
        <v>0</v>
      </c>
      <c r="P598" t="n">
        <v>0</v>
      </c>
      <c r="Q598" t="n">
        <v>0</v>
      </c>
      <c r="R598" s="2" t="inlineStr"/>
    </row>
    <row r="599" ht="15" customHeight="1">
      <c r="A599" t="inlineStr">
        <is>
          <t>A 12786-2023</t>
        </is>
      </c>
      <c r="B599" s="1" t="n">
        <v>45001</v>
      </c>
      <c r="C599" s="1" t="n">
        <v>45635</v>
      </c>
      <c r="D599" t="inlineStr">
        <is>
          <t>DALARNAS LÄN</t>
        </is>
      </c>
      <c r="E599" t="inlineStr">
        <is>
          <t>MALUNG-SÄLEN</t>
        </is>
      </c>
      <c r="G599" t="n">
        <v>3.1</v>
      </c>
      <c r="H599" t="n">
        <v>0</v>
      </c>
      <c r="I599" t="n">
        <v>0</v>
      </c>
      <c r="J599" t="n">
        <v>0</v>
      </c>
      <c r="K599" t="n">
        <v>0</v>
      </c>
      <c r="L599" t="n">
        <v>0</v>
      </c>
      <c r="M599" t="n">
        <v>0</v>
      </c>
      <c r="N599" t="n">
        <v>0</v>
      </c>
      <c r="O599" t="n">
        <v>0</v>
      </c>
      <c r="P599" t="n">
        <v>0</v>
      </c>
      <c r="Q599" t="n">
        <v>0</v>
      </c>
      <c r="R599" s="2" t="inlineStr"/>
    </row>
    <row r="600" ht="15" customHeight="1">
      <c r="A600" t="inlineStr">
        <is>
          <t>A 13043-2023</t>
        </is>
      </c>
      <c r="B600" s="1" t="n">
        <v>45002</v>
      </c>
      <c r="C600" s="1" t="n">
        <v>45635</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13812-2023</t>
        </is>
      </c>
      <c r="B601" s="1" t="n">
        <v>45007</v>
      </c>
      <c r="C601" s="1" t="n">
        <v>45635</v>
      </c>
      <c r="D601" t="inlineStr">
        <is>
          <t>DALARNAS LÄN</t>
        </is>
      </c>
      <c r="E601" t="inlineStr">
        <is>
          <t>MALUNG-SÄLEN</t>
        </is>
      </c>
      <c r="G601" t="n">
        <v>18.7</v>
      </c>
      <c r="H601" t="n">
        <v>0</v>
      </c>
      <c r="I601" t="n">
        <v>0</v>
      </c>
      <c r="J601" t="n">
        <v>0</v>
      </c>
      <c r="K601" t="n">
        <v>0</v>
      </c>
      <c r="L601" t="n">
        <v>0</v>
      </c>
      <c r="M601" t="n">
        <v>0</v>
      </c>
      <c r="N601" t="n">
        <v>0</v>
      </c>
      <c r="O601" t="n">
        <v>0</v>
      </c>
      <c r="P601" t="n">
        <v>0</v>
      </c>
      <c r="Q601" t="n">
        <v>0</v>
      </c>
      <c r="R601" s="2" t="inlineStr"/>
    </row>
    <row r="602" ht="15" customHeight="1">
      <c r="A602" t="inlineStr">
        <is>
          <t>A 13823-2023</t>
        </is>
      </c>
      <c r="B602" s="1" t="n">
        <v>45007</v>
      </c>
      <c r="C602" s="1" t="n">
        <v>45635</v>
      </c>
      <c r="D602" t="inlineStr">
        <is>
          <t>DALARNAS LÄN</t>
        </is>
      </c>
      <c r="E602" t="inlineStr">
        <is>
          <t>MALUNG-SÄLEN</t>
        </is>
      </c>
      <c r="G602" t="n">
        <v>19.5</v>
      </c>
      <c r="H602" t="n">
        <v>0</v>
      </c>
      <c r="I602" t="n">
        <v>0</v>
      </c>
      <c r="J602" t="n">
        <v>0</v>
      </c>
      <c r="K602" t="n">
        <v>0</v>
      </c>
      <c r="L602" t="n">
        <v>0</v>
      </c>
      <c r="M602" t="n">
        <v>0</v>
      </c>
      <c r="N602" t="n">
        <v>0</v>
      </c>
      <c r="O602" t="n">
        <v>0</v>
      </c>
      <c r="P602" t="n">
        <v>0</v>
      </c>
      <c r="Q602" t="n">
        <v>0</v>
      </c>
      <c r="R602" s="2" t="inlineStr"/>
    </row>
    <row r="603" ht="15" customHeight="1">
      <c r="A603" t="inlineStr">
        <is>
          <t>A 13827-2023</t>
        </is>
      </c>
      <c r="B603" s="1" t="n">
        <v>45007</v>
      </c>
      <c r="C603" s="1" t="n">
        <v>45635</v>
      </c>
      <c r="D603" t="inlineStr">
        <is>
          <t>DALARNAS LÄN</t>
        </is>
      </c>
      <c r="E603" t="inlineStr">
        <is>
          <t>MALUNG-SÄLEN</t>
        </is>
      </c>
      <c r="G603" t="n">
        <v>1.2</v>
      </c>
      <c r="H603" t="n">
        <v>0</v>
      </c>
      <c r="I603" t="n">
        <v>0</v>
      </c>
      <c r="J603" t="n">
        <v>0</v>
      </c>
      <c r="K603" t="n">
        <v>0</v>
      </c>
      <c r="L603" t="n">
        <v>0</v>
      </c>
      <c r="M603" t="n">
        <v>0</v>
      </c>
      <c r="N603" t="n">
        <v>0</v>
      </c>
      <c r="O603" t="n">
        <v>0</v>
      </c>
      <c r="P603" t="n">
        <v>0</v>
      </c>
      <c r="Q603" t="n">
        <v>0</v>
      </c>
      <c r="R603" s="2" t="inlineStr"/>
    </row>
    <row r="604" ht="15" customHeight="1">
      <c r="A604" t="inlineStr">
        <is>
          <t>A 14893-2023</t>
        </is>
      </c>
      <c r="B604" s="1" t="n">
        <v>45015</v>
      </c>
      <c r="C604" s="1" t="n">
        <v>45635</v>
      </c>
      <c r="D604" t="inlineStr">
        <is>
          <t>DALARNAS LÄN</t>
        </is>
      </c>
      <c r="E604" t="inlineStr">
        <is>
          <t>MALUNG-SÄLEN</t>
        </is>
      </c>
      <c r="G604" t="n">
        <v>5.4</v>
      </c>
      <c r="H604" t="n">
        <v>0</v>
      </c>
      <c r="I604" t="n">
        <v>0</v>
      </c>
      <c r="J604" t="n">
        <v>0</v>
      </c>
      <c r="K604" t="n">
        <v>0</v>
      </c>
      <c r="L604" t="n">
        <v>0</v>
      </c>
      <c r="M604" t="n">
        <v>0</v>
      </c>
      <c r="N604" t="n">
        <v>0</v>
      </c>
      <c r="O604" t="n">
        <v>0</v>
      </c>
      <c r="P604" t="n">
        <v>0</v>
      </c>
      <c r="Q604" t="n">
        <v>0</v>
      </c>
      <c r="R604" s="2" t="inlineStr"/>
    </row>
    <row r="605" ht="15" customHeight="1">
      <c r="A605" t="inlineStr">
        <is>
          <t>A 14905-2023</t>
        </is>
      </c>
      <c r="B605" s="1" t="n">
        <v>45015</v>
      </c>
      <c r="C605" s="1" t="n">
        <v>45635</v>
      </c>
      <c r="D605" t="inlineStr">
        <is>
          <t>DALARNAS LÄN</t>
        </is>
      </c>
      <c r="E605" t="inlineStr">
        <is>
          <t>MALUNG-SÄLEN</t>
        </is>
      </c>
      <c r="G605" t="n">
        <v>1.4</v>
      </c>
      <c r="H605" t="n">
        <v>0</v>
      </c>
      <c r="I605" t="n">
        <v>0</v>
      </c>
      <c r="J605" t="n">
        <v>0</v>
      </c>
      <c r="K605" t="n">
        <v>0</v>
      </c>
      <c r="L605" t="n">
        <v>0</v>
      </c>
      <c r="M605" t="n">
        <v>0</v>
      </c>
      <c r="N605" t="n">
        <v>0</v>
      </c>
      <c r="O605" t="n">
        <v>0</v>
      </c>
      <c r="P605" t="n">
        <v>0</v>
      </c>
      <c r="Q605" t="n">
        <v>0</v>
      </c>
      <c r="R605" s="2" t="inlineStr"/>
    </row>
    <row r="606" ht="15" customHeight="1">
      <c r="A606" t="inlineStr">
        <is>
          <t>A 15388-2023</t>
        </is>
      </c>
      <c r="B606" s="1" t="n">
        <v>45019</v>
      </c>
      <c r="C606" s="1" t="n">
        <v>45635</v>
      </c>
      <c r="D606" t="inlineStr">
        <is>
          <t>DALARNAS LÄN</t>
        </is>
      </c>
      <c r="E606" t="inlineStr">
        <is>
          <t>MALUNG-SÄLEN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15598-2023</t>
        </is>
      </c>
      <c r="B607" s="1" t="n">
        <v>45020</v>
      </c>
      <c r="C607" s="1" t="n">
        <v>45635</v>
      </c>
      <c r="D607" t="inlineStr">
        <is>
          <t>DALARNAS LÄN</t>
        </is>
      </c>
      <c r="E607" t="inlineStr">
        <is>
          <t>MALUNG-SÄLEN</t>
        </is>
      </c>
      <c r="G607" t="n">
        <v>22.5</v>
      </c>
      <c r="H607" t="n">
        <v>0</v>
      </c>
      <c r="I607" t="n">
        <v>0</v>
      </c>
      <c r="J607" t="n">
        <v>0</v>
      </c>
      <c r="K607" t="n">
        <v>0</v>
      </c>
      <c r="L607" t="n">
        <v>0</v>
      </c>
      <c r="M607" t="n">
        <v>0</v>
      </c>
      <c r="N607" t="n">
        <v>0</v>
      </c>
      <c r="O607" t="n">
        <v>0</v>
      </c>
      <c r="P607" t="n">
        <v>0</v>
      </c>
      <c r="Q607" t="n">
        <v>0</v>
      </c>
      <c r="R607" s="2" t="inlineStr"/>
    </row>
    <row r="608" ht="15" customHeight="1">
      <c r="A608" t="inlineStr">
        <is>
          <t>A 15602-2023</t>
        </is>
      </c>
      <c r="B608" s="1" t="n">
        <v>45020</v>
      </c>
      <c r="C608" s="1" t="n">
        <v>45635</v>
      </c>
      <c r="D608" t="inlineStr">
        <is>
          <t>DALARNAS LÄN</t>
        </is>
      </c>
      <c r="E608" t="inlineStr">
        <is>
          <t>MALUNG-SÄLEN</t>
        </is>
      </c>
      <c r="G608" t="n">
        <v>15.5</v>
      </c>
      <c r="H608" t="n">
        <v>0</v>
      </c>
      <c r="I608" t="n">
        <v>0</v>
      </c>
      <c r="J608" t="n">
        <v>0</v>
      </c>
      <c r="K608" t="n">
        <v>0</v>
      </c>
      <c r="L608" t="n">
        <v>0</v>
      </c>
      <c r="M608" t="n">
        <v>0</v>
      </c>
      <c r="N608" t="n">
        <v>0</v>
      </c>
      <c r="O608" t="n">
        <v>0</v>
      </c>
      <c r="P608" t="n">
        <v>0</v>
      </c>
      <c r="Q608" t="n">
        <v>0</v>
      </c>
      <c r="R608" s="2" t="inlineStr"/>
    </row>
    <row r="609" ht="15" customHeight="1">
      <c r="A609" t="inlineStr">
        <is>
          <t>A 16034-2023</t>
        </is>
      </c>
      <c r="B609" s="1" t="n">
        <v>45027</v>
      </c>
      <c r="C609" s="1" t="n">
        <v>45635</v>
      </c>
      <c r="D609" t="inlineStr">
        <is>
          <t>DALARNAS LÄN</t>
        </is>
      </c>
      <c r="E609" t="inlineStr">
        <is>
          <t>MALUNG-SÄLEN</t>
        </is>
      </c>
      <c r="G609" t="n">
        <v>9</v>
      </c>
      <c r="H609" t="n">
        <v>0</v>
      </c>
      <c r="I609" t="n">
        <v>0</v>
      </c>
      <c r="J609" t="n">
        <v>0</v>
      </c>
      <c r="K609" t="n">
        <v>0</v>
      </c>
      <c r="L609" t="n">
        <v>0</v>
      </c>
      <c r="M609" t="n">
        <v>0</v>
      </c>
      <c r="N609" t="n">
        <v>0</v>
      </c>
      <c r="O609" t="n">
        <v>0</v>
      </c>
      <c r="P609" t="n">
        <v>0</v>
      </c>
      <c r="Q609" t="n">
        <v>0</v>
      </c>
      <c r="R609" s="2" t="inlineStr"/>
    </row>
    <row r="610" ht="15" customHeight="1">
      <c r="A610" t="inlineStr">
        <is>
          <t>A 17167-2023</t>
        </is>
      </c>
      <c r="B610" s="1" t="n">
        <v>45034</v>
      </c>
      <c r="C610" s="1" t="n">
        <v>45635</v>
      </c>
      <c r="D610" t="inlineStr">
        <is>
          <t>DALARNAS LÄN</t>
        </is>
      </c>
      <c r="E610" t="inlineStr">
        <is>
          <t>MALUNG-SÄLEN</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17165-2023</t>
        </is>
      </c>
      <c r="B611" s="1" t="n">
        <v>45034</v>
      </c>
      <c r="C611" s="1" t="n">
        <v>45635</v>
      </c>
      <c r="D611" t="inlineStr">
        <is>
          <t>DALARNAS LÄN</t>
        </is>
      </c>
      <c r="E611" t="inlineStr">
        <is>
          <t>MALUNG-SÄLEN</t>
        </is>
      </c>
      <c r="G611" t="n">
        <v>5.1</v>
      </c>
      <c r="H611" t="n">
        <v>0</v>
      </c>
      <c r="I611" t="n">
        <v>0</v>
      </c>
      <c r="J611" t="n">
        <v>0</v>
      </c>
      <c r="K611" t="n">
        <v>0</v>
      </c>
      <c r="L611" t="n">
        <v>0</v>
      </c>
      <c r="M611" t="n">
        <v>0</v>
      </c>
      <c r="N611" t="n">
        <v>0</v>
      </c>
      <c r="O611" t="n">
        <v>0</v>
      </c>
      <c r="P611" t="n">
        <v>0</v>
      </c>
      <c r="Q611" t="n">
        <v>0</v>
      </c>
      <c r="R611" s="2" t="inlineStr"/>
    </row>
    <row r="612" ht="15" customHeight="1">
      <c r="A612" t="inlineStr">
        <is>
          <t>A 17469-2023</t>
        </is>
      </c>
      <c r="B612" s="1" t="n">
        <v>45036</v>
      </c>
      <c r="C612" s="1" t="n">
        <v>45635</v>
      </c>
      <c r="D612" t="inlineStr">
        <is>
          <t>DALARNAS LÄN</t>
        </is>
      </c>
      <c r="E612" t="inlineStr">
        <is>
          <t>MALUNG-SÄLEN</t>
        </is>
      </c>
      <c r="G612" t="n">
        <v>3.6</v>
      </c>
      <c r="H612" t="n">
        <v>0</v>
      </c>
      <c r="I612" t="n">
        <v>0</v>
      </c>
      <c r="J612" t="n">
        <v>0</v>
      </c>
      <c r="K612" t="n">
        <v>0</v>
      </c>
      <c r="L612" t="n">
        <v>0</v>
      </c>
      <c r="M612" t="n">
        <v>0</v>
      </c>
      <c r="N612" t="n">
        <v>0</v>
      </c>
      <c r="O612" t="n">
        <v>0</v>
      </c>
      <c r="P612" t="n">
        <v>0</v>
      </c>
      <c r="Q612" t="n">
        <v>0</v>
      </c>
      <c r="R612" s="2" t="inlineStr"/>
    </row>
    <row r="613" ht="15" customHeight="1">
      <c r="A613" t="inlineStr">
        <is>
          <t>A 17608-2023</t>
        </is>
      </c>
      <c r="B613" s="1" t="n">
        <v>45036</v>
      </c>
      <c r="C613" s="1" t="n">
        <v>45635</v>
      </c>
      <c r="D613" t="inlineStr">
        <is>
          <t>DALARNAS LÄN</t>
        </is>
      </c>
      <c r="E613" t="inlineStr">
        <is>
          <t>MALUNG-SÄLEN</t>
        </is>
      </c>
      <c r="G613" t="n">
        <v>3.9</v>
      </c>
      <c r="H613" t="n">
        <v>0</v>
      </c>
      <c r="I613" t="n">
        <v>0</v>
      </c>
      <c r="J613" t="n">
        <v>0</v>
      </c>
      <c r="K613" t="n">
        <v>0</v>
      </c>
      <c r="L613" t="n">
        <v>0</v>
      </c>
      <c r="M613" t="n">
        <v>0</v>
      </c>
      <c r="N613" t="n">
        <v>0</v>
      </c>
      <c r="O613" t="n">
        <v>0</v>
      </c>
      <c r="P613" t="n">
        <v>0</v>
      </c>
      <c r="Q613" t="n">
        <v>0</v>
      </c>
      <c r="R613" s="2" t="inlineStr"/>
    </row>
    <row r="614" ht="15" customHeight="1">
      <c r="A614" t="inlineStr">
        <is>
          <t>A 17615-2023</t>
        </is>
      </c>
      <c r="B614" s="1" t="n">
        <v>45036</v>
      </c>
      <c r="C614" s="1" t="n">
        <v>45635</v>
      </c>
      <c r="D614" t="inlineStr">
        <is>
          <t>DALARNAS LÄN</t>
        </is>
      </c>
      <c r="E614" t="inlineStr">
        <is>
          <t>MALUNG-SÄLEN</t>
        </is>
      </c>
      <c r="G614" t="n">
        <v>4.6</v>
      </c>
      <c r="H614" t="n">
        <v>0</v>
      </c>
      <c r="I614" t="n">
        <v>0</v>
      </c>
      <c r="J614" t="n">
        <v>0</v>
      </c>
      <c r="K614" t="n">
        <v>0</v>
      </c>
      <c r="L614" t="n">
        <v>0</v>
      </c>
      <c r="M614" t="n">
        <v>0</v>
      </c>
      <c r="N614" t="n">
        <v>0</v>
      </c>
      <c r="O614" t="n">
        <v>0</v>
      </c>
      <c r="P614" t="n">
        <v>0</v>
      </c>
      <c r="Q614" t="n">
        <v>0</v>
      </c>
      <c r="R614" s="2" t="inlineStr"/>
    </row>
    <row r="615" ht="15" customHeight="1">
      <c r="A615" t="inlineStr">
        <is>
          <t>A 17583-2023</t>
        </is>
      </c>
      <c r="B615" s="1" t="n">
        <v>45036</v>
      </c>
      <c r="C615" s="1" t="n">
        <v>45635</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17828-2023</t>
        </is>
      </c>
      <c r="B616" s="1" t="n">
        <v>45037</v>
      </c>
      <c r="C616" s="1" t="n">
        <v>45635</v>
      </c>
      <c r="D616" t="inlineStr">
        <is>
          <t>DALARNAS LÄN</t>
        </is>
      </c>
      <c r="E616" t="inlineStr">
        <is>
          <t>MALUNG-SÄLEN</t>
        </is>
      </c>
      <c r="G616" t="n">
        <v>3</v>
      </c>
      <c r="H616" t="n">
        <v>0</v>
      </c>
      <c r="I616" t="n">
        <v>0</v>
      </c>
      <c r="J616" t="n">
        <v>0</v>
      </c>
      <c r="K616" t="n">
        <v>0</v>
      </c>
      <c r="L616" t="n">
        <v>0</v>
      </c>
      <c r="M616" t="n">
        <v>0</v>
      </c>
      <c r="N616" t="n">
        <v>0</v>
      </c>
      <c r="O616" t="n">
        <v>0</v>
      </c>
      <c r="P616" t="n">
        <v>0</v>
      </c>
      <c r="Q616" t="n">
        <v>0</v>
      </c>
      <c r="R616" s="2" t="inlineStr"/>
    </row>
    <row r="617" ht="15" customHeight="1">
      <c r="A617" t="inlineStr">
        <is>
          <t>A 18233-2023</t>
        </is>
      </c>
      <c r="B617" s="1" t="n">
        <v>45041</v>
      </c>
      <c r="C617" s="1" t="n">
        <v>45635</v>
      </c>
      <c r="D617" t="inlineStr">
        <is>
          <t>DALARNAS LÄN</t>
        </is>
      </c>
      <c r="E617" t="inlineStr">
        <is>
          <t>MALUNG-SÄLEN</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18239-2023</t>
        </is>
      </c>
      <c r="B618" s="1" t="n">
        <v>45041</v>
      </c>
      <c r="C618" s="1" t="n">
        <v>45635</v>
      </c>
      <c r="D618" t="inlineStr">
        <is>
          <t>DALARNAS LÄN</t>
        </is>
      </c>
      <c r="E618" t="inlineStr">
        <is>
          <t>MALUNG-SÄLEN</t>
        </is>
      </c>
      <c r="F618" t="inlineStr">
        <is>
          <t>Bergvik skog öst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18584-2023</t>
        </is>
      </c>
      <c r="B619" s="1" t="n">
        <v>45041</v>
      </c>
      <c r="C619" s="1" t="n">
        <v>45635</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19056-2023</t>
        </is>
      </c>
      <c r="B620" s="1" t="n">
        <v>45048</v>
      </c>
      <c r="C620" s="1" t="n">
        <v>45635</v>
      </c>
      <c r="D620" t="inlineStr">
        <is>
          <t>DALARNAS LÄN</t>
        </is>
      </c>
      <c r="E620" t="inlineStr">
        <is>
          <t>MALUNG-SÄLEN</t>
        </is>
      </c>
      <c r="G620" t="n">
        <v>1.6</v>
      </c>
      <c r="H620" t="n">
        <v>0</v>
      </c>
      <c r="I620" t="n">
        <v>0</v>
      </c>
      <c r="J620" t="n">
        <v>0</v>
      </c>
      <c r="K620" t="n">
        <v>0</v>
      </c>
      <c r="L620" t="n">
        <v>0</v>
      </c>
      <c r="M620" t="n">
        <v>0</v>
      </c>
      <c r="N620" t="n">
        <v>0</v>
      </c>
      <c r="O620" t="n">
        <v>0</v>
      </c>
      <c r="P620" t="n">
        <v>0</v>
      </c>
      <c r="Q620" t="n">
        <v>0</v>
      </c>
      <c r="R620" s="2" t="inlineStr"/>
    </row>
    <row r="621" ht="15" customHeight="1">
      <c r="A621" t="inlineStr">
        <is>
          <t>A 19851-2023</t>
        </is>
      </c>
      <c r="B621" s="1" t="n">
        <v>45053</v>
      </c>
      <c r="C621" s="1" t="n">
        <v>45635</v>
      </c>
      <c r="D621" t="inlineStr">
        <is>
          <t>DALARNAS LÄN</t>
        </is>
      </c>
      <c r="E621" t="inlineStr">
        <is>
          <t>MALUNG-SÄLEN</t>
        </is>
      </c>
      <c r="G621" t="n">
        <v>12.6</v>
      </c>
      <c r="H621" t="n">
        <v>0</v>
      </c>
      <c r="I621" t="n">
        <v>0</v>
      </c>
      <c r="J621" t="n">
        <v>0</v>
      </c>
      <c r="K621" t="n">
        <v>0</v>
      </c>
      <c r="L621" t="n">
        <v>0</v>
      </c>
      <c r="M621" t="n">
        <v>0</v>
      </c>
      <c r="N621" t="n">
        <v>0</v>
      </c>
      <c r="O621" t="n">
        <v>0</v>
      </c>
      <c r="P621" t="n">
        <v>0</v>
      </c>
      <c r="Q621" t="n">
        <v>0</v>
      </c>
      <c r="R621" s="2" t="inlineStr"/>
    </row>
    <row r="622" ht="15" customHeight="1">
      <c r="A622" t="inlineStr">
        <is>
          <t>A 19856-2023</t>
        </is>
      </c>
      <c r="B622" s="1" t="n">
        <v>45053</v>
      </c>
      <c r="C622" s="1" t="n">
        <v>45635</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19857-2023</t>
        </is>
      </c>
      <c r="B623" s="1" t="n">
        <v>45053</v>
      </c>
      <c r="C623" s="1" t="n">
        <v>45635</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20010-2023</t>
        </is>
      </c>
      <c r="B624" s="1" t="n">
        <v>45054</v>
      </c>
      <c r="C624" s="1" t="n">
        <v>45635</v>
      </c>
      <c r="D624" t="inlineStr">
        <is>
          <t>DALARNAS LÄN</t>
        </is>
      </c>
      <c r="E624" t="inlineStr">
        <is>
          <t>MALUNG-SÄLEN</t>
        </is>
      </c>
      <c r="G624" t="n">
        <v>1.5</v>
      </c>
      <c r="H624" t="n">
        <v>0</v>
      </c>
      <c r="I624" t="n">
        <v>0</v>
      </c>
      <c r="J624" t="n">
        <v>0</v>
      </c>
      <c r="K624" t="n">
        <v>0</v>
      </c>
      <c r="L624" t="n">
        <v>0</v>
      </c>
      <c r="M624" t="n">
        <v>0</v>
      </c>
      <c r="N624" t="n">
        <v>0</v>
      </c>
      <c r="O624" t="n">
        <v>0</v>
      </c>
      <c r="P624" t="n">
        <v>0</v>
      </c>
      <c r="Q624" t="n">
        <v>0</v>
      </c>
      <c r="R624" s="2" t="inlineStr"/>
    </row>
    <row r="625" ht="15" customHeight="1">
      <c r="A625" t="inlineStr">
        <is>
          <t>A 20025-2023</t>
        </is>
      </c>
      <c r="B625" s="1" t="n">
        <v>45054</v>
      </c>
      <c r="C625" s="1" t="n">
        <v>45635</v>
      </c>
      <c r="D625" t="inlineStr">
        <is>
          <t>DALARNAS LÄN</t>
        </is>
      </c>
      <c r="E625" t="inlineStr">
        <is>
          <t>MALUNG-SÄLEN</t>
        </is>
      </c>
      <c r="G625" t="n">
        <v>1</v>
      </c>
      <c r="H625" t="n">
        <v>0</v>
      </c>
      <c r="I625" t="n">
        <v>0</v>
      </c>
      <c r="J625" t="n">
        <v>0</v>
      </c>
      <c r="K625" t="n">
        <v>0</v>
      </c>
      <c r="L625" t="n">
        <v>0</v>
      </c>
      <c r="M625" t="n">
        <v>0</v>
      </c>
      <c r="N625" t="n">
        <v>0</v>
      </c>
      <c r="O625" t="n">
        <v>0</v>
      </c>
      <c r="P625" t="n">
        <v>0</v>
      </c>
      <c r="Q625" t="n">
        <v>0</v>
      </c>
      <c r="R625" s="2" t="inlineStr"/>
    </row>
    <row r="626" ht="15" customHeight="1">
      <c r="A626" t="inlineStr">
        <is>
          <t>A 20002-2023</t>
        </is>
      </c>
      <c r="B626" s="1" t="n">
        <v>45054</v>
      </c>
      <c r="C626" s="1" t="n">
        <v>45635</v>
      </c>
      <c r="D626" t="inlineStr">
        <is>
          <t>DALARNAS LÄN</t>
        </is>
      </c>
      <c r="E626" t="inlineStr">
        <is>
          <t>MALUNG-SÄLEN</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20021-2023</t>
        </is>
      </c>
      <c r="B627" s="1" t="n">
        <v>45054</v>
      </c>
      <c r="C627" s="1" t="n">
        <v>45635</v>
      </c>
      <c r="D627" t="inlineStr">
        <is>
          <t>DALARNAS LÄN</t>
        </is>
      </c>
      <c r="E627" t="inlineStr">
        <is>
          <t>MALUNG-SÄLEN</t>
        </is>
      </c>
      <c r="G627" t="n">
        <v>2.5</v>
      </c>
      <c r="H627" t="n">
        <v>0</v>
      </c>
      <c r="I627" t="n">
        <v>0</v>
      </c>
      <c r="J627" t="n">
        <v>0</v>
      </c>
      <c r="K627" t="n">
        <v>0</v>
      </c>
      <c r="L627" t="n">
        <v>0</v>
      </c>
      <c r="M627" t="n">
        <v>0</v>
      </c>
      <c r="N627" t="n">
        <v>0</v>
      </c>
      <c r="O627" t="n">
        <v>0</v>
      </c>
      <c r="P627" t="n">
        <v>0</v>
      </c>
      <c r="Q627" t="n">
        <v>0</v>
      </c>
      <c r="R627" s="2" t="inlineStr"/>
    </row>
    <row r="628" ht="15" customHeight="1">
      <c r="A628" t="inlineStr">
        <is>
          <t>A 20026-2023</t>
        </is>
      </c>
      <c r="B628" s="1" t="n">
        <v>45054</v>
      </c>
      <c r="C628" s="1" t="n">
        <v>45635</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19974-2023</t>
        </is>
      </c>
      <c r="B629" s="1" t="n">
        <v>45054</v>
      </c>
      <c r="C629" s="1" t="n">
        <v>45635</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20292-2023</t>
        </is>
      </c>
      <c r="B630" s="1" t="n">
        <v>45056</v>
      </c>
      <c r="C630" s="1" t="n">
        <v>45635</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20931-2023</t>
        </is>
      </c>
      <c r="B631" s="1" t="n">
        <v>45056</v>
      </c>
      <c r="C631" s="1" t="n">
        <v>45635</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20507-2023</t>
        </is>
      </c>
      <c r="B632" s="1" t="n">
        <v>45057</v>
      </c>
      <c r="C632" s="1" t="n">
        <v>45635</v>
      </c>
      <c r="D632" t="inlineStr">
        <is>
          <t>DALARNAS LÄN</t>
        </is>
      </c>
      <c r="E632" t="inlineStr">
        <is>
          <t>MALUNG-SÄLEN</t>
        </is>
      </c>
      <c r="F632" t="inlineStr">
        <is>
          <t>Bergvik skog öst AB</t>
        </is>
      </c>
      <c r="G632" t="n">
        <v>11.8</v>
      </c>
      <c r="H632" t="n">
        <v>0</v>
      </c>
      <c r="I632" t="n">
        <v>0</v>
      </c>
      <c r="J632" t="n">
        <v>0</v>
      </c>
      <c r="K632" t="n">
        <v>0</v>
      </c>
      <c r="L632" t="n">
        <v>0</v>
      </c>
      <c r="M632" t="n">
        <v>0</v>
      </c>
      <c r="N632" t="n">
        <v>0</v>
      </c>
      <c r="O632" t="n">
        <v>0</v>
      </c>
      <c r="P632" t="n">
        <v>0</v>
      </c>
      <c r="Q632" t="n">
        <v>0</v>
      </c>
      <c r="R632" s="2" t="inlineStr"/>
    </row>
    <row r="633" ht="15" customHeight="1">
      <c r="A633" t="inlineStr">
        <is>
          <t>A 20553-2023</t>
        </is>
      </c>
      <c r="B633" s="1" t="n">
        <v>45057</v>
      </c>
      <c r="C633" s="1" t="n">
        <v>45635</v>
      </c>
      <c r="D633" t="inlineStr">
        <is>
          <t>DALARNAS LÄN</t>
        </is>
      </c>
      <c r="E633" t="inlineStr">
        <is>
          <t>MALUNG-SÄLEN</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20706-2023</t>
        </is>
      </c>
      <c r="B634" s="1" t="n">
        <v>45058</v>
      </c>
      <c r="C634" s="1" t="n">
        <v>45635</v>
      </c>
      <c r="D634" t="inlineStr">
        <is>
          <t>DALARNAS LÄN</t>
        </is>
      </c>
      <c r="E634" t="inlineStr">
        <is>
          <t>MALUNG-SÄLEN</t>
        </is>
      </c>
      <c r="F634" t="inlineStr">
        <is>
          <t>Bergvik skog öst AB</t>
        </is>
      </c>
      <c r="G634" t="n">
        <v>4.1</v>
      </c>
      <c r="H634" t="n">
        <v>0</v>
      </c>
      <c r="I634" t="n">
        <v>0</v>
      </c>
      <c r="J634" t="n">
        <v>0</v>
      </c>
      <c r="K634" t="n">
        <v>0</v>
      </c>
      <c r="L634" t="n">
        <v>0</v>
      </c>
      <c r="M634" t="n">
        <v>0</v>
      </c>
      <c r="N634" t="n">
        <v>0</v>
      </c>
      <c r="O634" t="n">
        <v>0</v>
      </c>
      <c r="P634" t="n">
        <v>0</v>
      </c>
      <c r="Q634" t="n">
        <v>0</v>
      </c>
      <c r="R634" s="2" t="inlineStr"/>
    </row>
    <row r="635" ht="15" customHeight="1">
      <c r="A635" t="inlineStr">
        <is>
          <t>A 20715-2023</t>
        </is>
      </c>
      <c r="B635" s="1" t="n">
        <v>45058</v>
      </c>
      <c r="C635" s="1" t="n">
        <v>45635</v>
      </c>
      <c r="D635" t="inlineStr">
        <is>
          <t>DALARNAS LÄN</t>
        </is>
      </c>
      <c r="E635" t="inlineStr">
        <is>
          <t>MALUNG-SÄLEN</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21568-2023</t>
        </is>
      </c>
      <c r="B636" s="1" t="n">
        <v>45061</v>
      </c>
      <c r="C636" s="1" t="n">
        <v>45635</v>
      </c>
      <c r="D636" t="inlineStr">
        <is>
          <t>DALARNAS LÄN</t>
        </is>
      </c>
      <c r="E636" t="inlineStr">
        <is>
          <t>MALUNG-SÄLEN</t>
        </is>
      </c>
      <c r="G636" t="n">
        <v>6.6</v>
      </c>
      <c r="H636" t="n">
        <v>0</v>
      </c>
      <c r="I636" t="n">
        <v>0</v>
      </c>
      <c r="J636" t="n">
        <v>0</v>
      </c>
      <c r="K636" t="n">
        <v>0</v>
      </c>
      <c r="L636" t="n">
        <v>0</v>
      </c>
      <c r="M636" t="n">
        <v>0</v>
      </c>
      <c r="N636" t="n">
        <v>0</v>
      </c>
      <c r="O636" t="n">
        <v>0</v>
      </c>
      <c r="P636" t="n">
        <v>0</v>
      </c>
      <c r="Q636" t="n">
        <v>0</v>
      </c>
      <c r="R636" s="2" t="inlineStr"/>
    </row>
    <row r="637" ht="15" customHeight="1">
      <c r="A637" t="inlineStr">
        <is>
          <t>A 21279-2023</t>
        </is>
      </c>
      <c r="B637" s="1" t="n">
        <v>45062</v>
      </c>
      <c r="C637" s="1" t="n">
        <v>45635</v>
      </c>
      <c r="D637" t="inlineStr">
        <is>
          <t>DALARNAS LÄN</t>
        </is>
      </c>
      <c r="E637" t="inlineStr">
        <is>
          <t>MALUNG-SÄLEN</t>
        </is>
      </c>
      <c r="G637" t="n">
        <v>1.1</v>
      </c>
      <c r="H637" t="n">
        <v>0</v>
      </c>
      <c r="I637" t="n">
        <v>0</v>
      </c>
      <c r="J637" t="n">
        <v>0</v>
      </c>
      <c r="K637" t="n">
        <v>0</v>
      </c>
      <c r="L637" t="n">
        <v>0</v>
      </c>
      <c r="M637" t="n">
        <v>0</v>
      </c>
      <c r="N637" t="n">
        <v>0</v>
      </c>
      <c r="O637" t="n">
        <v>0</v>
      </c>
      <c r="P637" t="n">
        <v>0</v>
      </c>
      <c r="Q637" t="n">
        <v>0</v>
      </c>
      <c r="R637" s="2" t="inlineStr"/>
    </row>
    <row r="638" ht="15" customHeight="1">
      <c r="A638" t="inlineStr">
        <is>
          <t>A 21486-2023</t>
        </is>
      </c>
      <c r="B638" s="1" t="n">
        <v>45063</v>
      </c>
      <c r="C638" s="1" t="n">
        <v>45635</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21460-2023</t>
        </is>
      </c>
      <c r="B639" s="1" t="n">
        <v>45063</v>
      </c>
      <c r="C639" s="1" t="n">
        <v>45635</v>
      </c>
      <c r="D639" t="inlineStr">
        <is>
          <t>DALARNAS LÄN</t>
        </is>
      </c>
      <c r="E639" t="inlineStr">
        <is>
          <t>MALUNG-SÄLEN</t>
        </is>
      </c>
      <c r="G639" t="n">
        <v>3</v>
      </c>
      <c r="H639" t="n">
        <v>0</v>
      </c>
      <c r="I639" t="n">
        <v>0</v>
      </c>
      <c r="J639" t="n">
        <v>0</v>
      </c>
      <c r="K639" t="n">
        <v>0</v>
      </c>
      <c r="L639" t="n">
        <v>0</v>
      </c>
      <c r="M639" t="n">
        <v>0</v>
      </c>
      <c r="N639" t="n">
        <v>0</v>
      </c>
      <c r="O639" t="n">
        <v>0</v>
      </c>
      <c r="P639" t="n">
        <v>0</v>
      </c>
      <c r="Q639" t="n">
        <v>0</v>
      </c>
      <c r="R639" s="2" t="inlineStr"/>
    </row>
    <row r="640" ht="15" customHeight="1">
      <c r="A640" t="inlineStr">
        <is>
          <t>A 22107-2023</t>
        </is>
      </c>
      <c r="B640" s="1" t="n">
        <v>45068</v>
      </c>
      <c r="C640" s="1" t="n">
        <v>45635</v>
      </c>
      <c r="D640" t="inlineStr">
        <is>
          <t>DALARNAS LÄN</t>
        </is>
      </c>
      <c r="E640" t="inlineStr">
        <is>
          <t>MALUNG-SÄLEN</t>
        </is>
      </c>
      <c r="G640" t="n">
        <v>8</v>
      </c>
      <c r="H640" t="n">
        <v>0</v>
      </c>
      <c r="I640" t="n">
        <v>0</v>
      </c>
      <c r="J640" t="n">
        <v>0</v>
      </c>
      <c r="K640" t="n">
        <v>0</v>
      </c>
      <c r="L640" t="n">
        <v>0</v>
      </c>
      <c r="M640" t="n">
        <v>0</v>
      </c>
      <c r="N640" t="n">
        <v>0</v>
      </c>
      <c r="O640" t="n">
        <v>0</v>
      </c>
      <c r="P640" t="n">
        <v>0</v>
      </c>
      <c r="Q640" t="n">
        <v>0</v>
      </c>
      <c r="R640" s="2" t="inlineStr"/>
    </row>
    <row r="641" ht="15" customHeight="1">
      <c r="A641" t="inlineStr">
        <is>
          <t>A 22131-2023</t>
        </is>
      </c>
      <c r="B641" s="1" t="n">
        <v>45068</v>
      </c>
      <c r="C641" s="1" t="n">
        <v>45635</v>
      </c>
      <c r="D641" t="inlineStr">
        <is>
          <t>DALARNAS LÄN</t>
        </is>
      </c>
      <c r="E641" t="inlineStr">
        <is>
          <t>MALUNG-SÄLEN</t>
        </is>
      </c>
      <c r="G641" t="n">
        <v>5.6</v>
      </c>
      <c r="H641" t="n">
        <v>0</v>
      </c>
      <c r="I641" t="n">
        <v>0</v>
      </c>
      <c r="J641" t="n">
        <v>0</v>
      </c>
      <c r="K641" t="n">
        <v>0</v>
      </c>
      <c r="L641" t="n">
        <v>0</v>
      </c>
      <c r="M641" t="n">
        <v>0</v>
      </c>
      <c r="N641" t="n">
        <v>0</v>
      </c>
      <c r="O641" t="n">
        <v>0</v>
      </c>
      <c r="P641" t="n">
        <v>0</v>
      </c>
      <c r="Q641" t="n">
        <v>0</v>
      </c>
      <c r="R641" s="2" t="inlineStr"/>
    </row>
    <row r="642" ht="15" customHeight="1">
      <c r="A642" t="inlineStr">
        <is>
          <t>A 22622-2023</t>
        </is>
      </c>
      <c r="B642" s="1" t="n">
        <v>45071</v>
      </c>
      <c r="C642" s="1" t="n">
        <v>45635</v>
      </c>
      <c r="D642" t="inlineStr">
        <is>
          <t>DALARNAS LÄN</t>
        </is>
      </c>
      <c r="E642" t="inlineStr">
        <is>
          <t>MALUNG-SÄLEN</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22640-2023</t>
        </is>
      </c>
      <c r="B643" s="1" t="n">
        <v>45071</v>
      </c>
      <c r="C643" s="1" t="n">
        <v>45635</v>
      </c>
      <c r="D643" t="inlineStr">
        <is>
          <t>DALARNAS LÄN</t>
        </is>
      </c>
      <c r="E643" t="inlineStr">
        <is>
          <t>MALUNG-SÄLEN</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22772-2023</t>
        </is>
      </c>
      <c r="B644" s="1" t="n">
        <v>45072</v>
      </c>
      <c r="C644" s="1" t="n">
        <v>45635</v>
      </c>
      <c r="D644" t="inlineStr">
        <is>
          <t>DALARNAS LÄN</t>
        </is>
      </c>
      <c r="E644" t="inlineStr">
        <is>
          <t>MALUNG-SÄLEN</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22780-2023</t>
        </is>
      </c>
      <c r="B645" s="1" t="n">
        <v>45072</v>
      </c>
      <c r="C645" s="1" t="n">
        <v>45635</v>
      </c>
      <c r="D645" t="inlineStr">
        <is>
          <t>DALARNAS LÄN</t>
        </is>
      </c>
      <c r="E645" t="inlineStr">
        <is>
          <t>MALUNG-SÄLEN</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22770-2023</t>
        </is>
      </c>
      <c r="B646" s="1" t="n">
        <v>45072</v>
      </c>
      <c r="C646" s="1" t="n">
        <v>45635</v>
      </c>
      <c r="D646" t="inlineStr">
        <is>
          <t>DALARNAS LÄN</t>
        </is>
      </c>
      <c r="E646" t="inlineStr">
        <is>
          <t>MALUNG-SÄLEN</t>
        </is>
      </c>
      <c r="G646" t="n">
        <v>9.9</v>
      </c>
      <c r="H646" t="n">
        <v>0</v>
      </c>
      <c r="I646" t="n">
        <v>0</v>
      </c>
      <c r="J646" t="n">
        <v>0</v>
      </c>
      <c r="K646" t="n">
        <v>0</v>
      </c>
      <c r="L646" t="n">
        <v>0</v>
      </c>
      <c r="M646" t="n">
        <v>0</v>
      </c>
      <c r="N646" t="n">
        <v>0</v>
      </c>
      <c r="O646" t="n">
        <v>0</v>
      </c>
      <c r="P646" t="n">
        <v>0</v>
      </c>
      <c r="Q646" t="n">
        <v>0</v>
      </c>
      <c r="R646" s="2" t="inlineStr"/>
    </row>
    <row r="647" ht="15" customHeight="1">
      <c r="A647" t="inlineStr">
        <is>
          <t>A 22769-2023</t>
        </is>
      </c>
      <c r="B647" s="1" t="n">
        <v>45072</v>
      </c>
      <c r="C647" s="1" t="n">
        <v>45635</v>
      </c>
      <c r="D647" t="inlineStr">
        <is>
          <t>DALARNAS LÄN</t>
        </is>
      </c>
      <c r="E647" t="inlineStr">
        <is>
          <t>MALUNG-SÄLEN</t>
        </is>
      </c>
      <c r="G647" t="n">
        <v>2.1</v>
      </c>
      <c r="H647" t="n">
        <v>0</v>
      </c>
      <c r="I647" t="n">
        <v>0</v>
      </c>
      <c r="J647" t="n">
        <v>0</v>
      </c>
      <c r="K647" t="n">
        <v>0</v>
      </c>
      <c r="L647" t="n">
        <v>0</v>
      </c>
      <c r="M647" t="n">
        <v>0</v>
      </c>
      <c r="N647" t="n">
        <v>0</v>
      </c>
      <c r="O647" t="n">
        <v>0</v>
      </c>
      <c r="P647" t="n">
        <v>0</v>
      </c>
      <c r="Q647" t="n">
        <v>0</v>
      </c>
      <c r="R647" s="2" t="inlineStr"/>
    </row>
    <row r="648" ht="15" customHeight="1">
      <c r="A648" t="inlineStr">
        <is>
          <t>A 22773-2023</t>
        </is>
      </c>
      <c r="B648" s="1" t="n">
        <v>45072</v>
      </c>
      <c r="C648" s="1" t="n">
        <v>45635</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22811-2023</t>
        </is>
      </c>
      <c r="B649" s="1" t="n">
        <v>45072</v>
      </c>
      <c r="C649" s="1" t="n">
        <v>45635</v>
      </c>
      <c r="D649" t="inlineStr">
        <is>
          <t>DALARNAS LÄN</t>
        </is>
      </c>
      <c r="E649" t="inlineStr">
        <is>
          <t>MALUNG-SÄLEN</t>
        </is>
      </c>
      <c r="F649" t="inlineStr">
        <is>
          <t>Bergvik skog öst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22771-2023</t>
        </is>
      </c>
      <c r="B650" s="1" t="n">
        <v>45072</v>
      </c>
      <c r="C650" s="1" t="n">
        <v>45635</v>
      </c>
      <c r="D650" t="inlineStr">
        <is>
          <t>DALARNAS LÄN</t>
        </is>
      </c>
      <c r="E650" t="inlineStr">
        <is>
          <t>MALUNG-SÄLEN</t>
        </is>
      </c>
      <c r="G650" t="n">
        <v>1.5</v>
      </c>
      <c r="H650" t="n">
        <v>0</v>
      </c>
      <c r="I650" t="n">
        <v>0</v>
      </c>
      <c r="J650" t="n">
        <v>0</v>
      </c>
      <c r="K650" t="n">
        <v>0</v>
      </c>
      <c r="L650" t="n">
        <v>0</v>
      </c>
      <c r="M650" t="n">
        <v>0</v>
      </c>
      <c r="N650" t="n">
        <v>0</v>
      </c>
      <c r="O650" t="n">
        <v>0</v>
      </c>
      <c r="P650" t="n">
        <v>0</v>
      </c>
      <c r="Q650" t="n">
        <v>0</v>
      </c>
      <c r="R650" s="2" t="inlineStr"/>
    </row>
    <row r="651" ht="15" customHeight="1">
      <c r="A651" t="inlineStr">
        <is>
          <t>A 23422-2023</t>
        </is>
      </c>
      <c r="B651" s="1" t="n">
        <v>45072</v>
      </c>
      <c r="C651" s="1" t="n">
        <v>45635</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23174-2023</t>
        </is>
      </c>
      <c r="B652" s="1" t="n">
        <v>45075</v>
      </c>
      <c r="C652" s="1" t="n">
        <v>45635</v>
      </c>
      <c r="D652" t="inlineStr">
        <is>
          <t>DALARNAS LÄN</t>
        </is>
      </c>
      <c r="E652" t="inlineStr">
        <is>
          <t>MALUNG-SÄLEN</t>
        </is>
      </c>
      <c r="F652" t="inlineStr">
        <is>
          <t>Bergvik skog öst AB</t>
        </is>
      </c>
      <c r="G652" t="n">
        <v>16.8</v>
      </c>
      <c r="H652" t="n">
        <v>0</v>
      </c>
      <c r="I652" t="n">
        <v>0</v>
      </c>
      <c r="J652" t="n">
        <v>0</v>
      </c>
      <c r="K652" t="n">
        <v>0</v>
      </c>
      <c r="L652" t="n">
        <v>0</v>
      </c>
      <c r="M652" t="n">
        <v>0</v>
      </c>
      <c r="N652" t="n">
        <v>0</v>
      </c>
      <c r="O652" t="n">
        <v>0</v>
      </c>
      <c r="P652" t="n">
        <v>0</v>
      </c>
      <c r="Q652" t="n">
        <v>0</v>
      </c>
      <c r="R652" s="2" t="inlineStr"/>
    </row>
    <row r="653" ht="15" customHeight="1">
      <c r="A653" t="inlineStr">
        <is>
          <t>A 23320-2023</t>
        </is>
      </c>
      <c r="B653" s="1" t="n">
        <v>45076</v>
      </c>
      <c r="C653" s="1" t="n">
        <v>45635</v>
      </c>
      <c r="D653" t="inlineStr">
        <is>
          <t>DALARNAS LÄN</t>
        </is>
      </c>
      <c r="E653" t="inlineStr">
        <is>
          <t>MALUNG-SÄLEN</t>
        </is>
      </c>
      <c r="G653" t="n">
        <v>1.4</v>
      </c>
      <c r="H653" t="n">
        <v>0</v>
      </c>
      <c r="I653" t="n">
        <v>0</v>
      </c>
      <c r="J653" t="n">
        <v>0</v>
      </c>
      <c r="K653" t="n">
        <v>0</v>
      </c>
      <c r="L653" t="n">
        <v>0</v>
      </c>
      <c r="M653" t="n">
        <v>0</v>
      </c>
      <c r="N653" t="n">
        <v>0</v>
      </c>
      <c r="O653" t="n">
        <v>0</v>
      </c>
      <c r="P653" t="n">
        <v>0</v>
      </c>
      <c r="Q653" t="n">
        <v>0</v>
      </c>
      <c r="R653" s="2" t="inlineStr"/>
    </row>
    <row r="654" ht="15" customHeight="1">
      <c r="A654" t="inlineStr">
        <is>
          <t>A 23452-2023</t>
        </is>
      </c>
      <c r="B654" s="1" t="n">
        <v>45076</v>
      </c>
      <c r="C654" s="1" t="n">
        <v>45635</v>
      </c>
      <c r="D654" t="inlineStr">
        <is>
          <t>DALARNAS LÄN</t>
        </is>
      </c>
      <c r="E654" t="inlineStr">
        <is>
          <t>MALUNG-SÄLEN</t>
        </is>
      </c>
      <c r="F654" t="inlineStr">
        <is>
          <t>Bergvik skog öst AB</t>
        </is>
      </c>
      <c r="G654" t="n">
        <v>6.2</v>
      </c>
      <c r="H654" t="n">
        <v>0</v>
      </c>
      <c r="I654" t="n">
        <v>0</v>
      </c>
      <c r="J654" t="n">
        <v>0</v>
      </c>
      <c r="K654" t="n">
        <v>0</v>
      </c>
      <c r="L654" t="n">
        <v>0</v>
      </c>
      <c r="M654" t="n">
        <v>0</v>
      </c>
      <c r="N654" t="n">
        <v>0</v>
      </c>
      <c r="O654" t="n">
        <v>0</v>
      </c>
      <c r="P654" t="n">
        <v>0</v>
      </c>
      <c r="Q654" t="n">
        <v>0</v>
      </c>
      <c r="R654" s="2" t="inlineStr"/>
    </row>
    <row r="655" ht="15" customHeight="1">
      <c r="A655" t="inlineStr">
        <is>
          <t>A 23663-2023</t>
        </is>
      </c>
      <c r="B655" s="1" t="n">
        <v>45077</v>
      </c>
      <c r="C655" s="1" t="n">
        <v>45635</v>
      </c>
      <c r="D655" t="inlineStr">
        <is>
          <t>DALARNAS LÄN</t>
        </is>
      </c>
      <c r="E655" t="inlineStr">
        <is>
          <t>MALUNG-SÄLEN</t>
        </is>
      </c>
      <c r="G655" t="n">
        <v>2.5</v>
      </c>
      <c r="H655" t="n">
        <v>0</v>
      </c>
      <c r="I655" t="n">
        <v>0</v>
      </c>
      <c r="J655" t="n">
        <v>0</v>
      </c>
      <c r="K655" t="n">
        <v>0</v>
      </c>
      <c r="L655" t="n">
        <v>0</v>
      </c>
      <c r="M655" t="n">
        <v>0</v>
      </c>
      <c r="N655" t="n">
        <v>0</v>
      </c>
      <c r="O655" t="n">
        <v>0</v>
      </c>
      <c r="P655" t="n">
        <v>0</v>
      </c>
      <c r="Q655" t="n">
        <v>0</v>
      </c>
      <c r="R655" s="2" t="inlineStr"/>
    </row>
    <row r="656" ht="15" customHeight="1">
      <c r="A656" t="inlineStr">
        <is>
          <t>A 24477-2023</t>
        </is>
      </c>
      <c r="B656" s="1" t="n">
        <v>45077</v>
      </c>
      <c r="C656" s="1" t="n">
        <v>45635</v>
      </c>
      <c r="D656" t="inlineStr">
        <is>
          <t>DALARNAS LÄN</t>
        </is>
      </c>
      <c r="E656" t="inlineStr">
        <is>
          <t>MALUNG-SÄLEN</t>
        </is>
      </c>
      <c r="G656" t="n">
        <v>4.7</v>
      </c>
      <c r="H656" t="n">
        <v>0</v>
      </c>
      <c r="I656" t="n">
        <v>0</v>
      </c>
      <c r="J656" t="n">
        <v>0</v>
      </c>
      <c r="K656" t="n">
        <v>0</v>
      </c>
      <c r="L656" t="n">
        <v>0</v>
      </c>
      <c r="M656" t="n">
        <v>0</v>
      </c>
      <c r="N656" t="n">
        <v>0</v>
      </c>
      <c r="O656" t="n">
        <v>0</v>
      </c>
      <c r="P656" t="n">
        <v>0</v>
      </c>
      <c r="Q656" t="n">
        <v>0</v>
      </c>
      <c r="R656" s="2" t="inlineStr"/>
    </row>
    <row r="657" ht="15" customHeight="1">
      <c r="A657" t="inlineStr">
        <is>
          <t>A 23800-2023</t>
        </is>
      </c>
      <c r="B657" s="1" t="n">
        <v>45078</v>
      </c>
      <c r="C657" s="1" t="n">
        <v>45635</v>
      </c>
      <c r="D657" t="inlineStr">
        <is>
          <t>DALARNAS LÄN</t>
        </is>
      </c>
      <c r="E657" t="inlineStr">
        <is>
          <t>MALUNG-SÄLEN</t>
        </is>
      </c>
      <c r="G657" t="n">
        <v>6.3</v>
      </c>
      <c r="H657" t="n">
        <v>0</v>
      </c>
      <c r="I657" t="n">
        <v>0</v>
      </c>
      <c r="J657" t="n">
        <v>0</v>
      </c>
      <c r="K657" t="n">
        <v>0</v>
      </c>
      <c r="L657" t="n">
        <v>0</v>
      </c>
      <c r="M657" t="n">
        <v>0</v>
      </c>
      <c r="N657" t="n">
        <v>0</v>
      </c>
      <c r="O657" t="n">
        <v>0</v>
      </c>
      <c r="P657" t="n">
        <v>0</v>
      </c>
      <c r="Q657" t="n">
        <v>0</v>
      </c>
      <c r="R657" s="2" t="inlineStr"/>
    </row>
    <row r="658" ht="15" customHeight="1">
      <c r="A658" t="inlineStr">
        <is>
          <t>A 23923-2023</t>
        </is>
      </c>
      <c r="B658" s="1" t="n">
        <v>45078</v>
      </c>
      <c r="C658" s="1" t="n">
        <v>45635</v>
      </c>
      <c r="D658" t="inlineStr">
        <is>
          <t>DALARNAS LÄN</t>
        </is>
      </c>
      <c r="E658" t="inlineStr">
        <is>
          <t>MALUNG-SÄLEN</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23953-2023</t>
        </is>
      </c>
      <c r="B659" s="1" t="n">
        <v>45078</v>
      </c>
      <c r="C659" s="1" t="n">
        <v>45635</v>
      </c>
      <c r="D659" t="inlineStr">
        <is>
          <t>DALARNAS LÄN</t>
        </is>
      </c>
      <c r="E659" t="inlineStr">
        <is>
          <t>MALUNG-SÄLEN</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23941-2023</t>
        </is>
      </c>
      <c r="B660" s="1" t="n">
        <v>45078</v>
      </c>
      <c r="C660" s="1" t="n">
        <v>45635</v>
      </c>
      <c r="D660" t="inlineStr">
        <is>
          <t>DALARNAS LÄN</t>
        </is>
      </c>
      <c r="E660" t="inlineStr">
        <is>
          <t>MALUNG-SÄLEN</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23989-2023</t>
        </is>
      </c>
      <c r="B661" s="1" t="n">
        <v>45078</v>
      </c>
      <c r="C661" s="1" t="n">
        <v>45635</v>
      </c>
      <c r="D661" t="inlineStr">
        <is>
          <t>DALARNAS LÄN</t>
        </is>
      </c>
      <c r="E661" t="inlineStr">
        <is>
          <t>MALUNG-SÄLEN</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24108-2023</t>
        </is>
      </c>
      <c r="B662" s="1" t="n">
        <v>45079</v>
      </c>
      <c r="C662" s="1" t="n">
        <v>45635</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24132-2023</t>
        </is>
      </c>
      <c r="B663" s="1" t="n">
        <v>45079</v>
      </c>
      <c r="C663" s="1" t="n">
        <v>45635</v>
      </c>
      <c r="D663" t="inlineStr">
        <is>
          <t>DALARNAS LÄN</t>
        </is>
      </c>
      <c r="E663" t="inlineStr">
        <is>
          <t>MALUNG-SÄLEN</t>
        </is>
      </c>
      <c r="G663" t="n">
        <v>2.3</v>
      </c>
      <c r="H663" t="n">
        <v>0</v>
      </c>
      <c r="I663" t="n">
        <v>0</v>
      </c>
      <c r="J663" t="n">
        <v>0</v>
      </c>
      <c r="K663" t="n">
        <v>0</v>
      </c>
      <c r="L663" t="n">
        <v>0</v>
      </c>
      <c r="M663" t="n">
        <v>0</v>
      </c>
      <c r="N663" t="n">
        <v>0</v>
      </c>
      <c r="O663" t="n">
        <v>0</v>
      </c>
      <c r="P663" t="n">
        <v>0</v>
      </c>
      <c r="Q663" t="n">
        <v>0</v>
      </c>
      <c r="R663" s="2" t="inlineStr"/>
    </row>
    <row r="664" ht="15" customHeight="1">
      <c r="A664" t="inlineStr">
        <is>
          <t>A 24215-2023</t>
        </is>
      </c>
      <c r="B664" s="1" t="n">
        <v>45079</v>
      </c>
      <c r="C664" s="1" t="n">
        <v>45635</v>
      </c>
      <c r="D664" t="inlineStr">
        <is>
          <t>DALARNAS LÄN</t>
        </is>
      </c>
      <c r="E664" t="inlineStr">
        <is>
          <t>MALUNG-SÄLEN</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24114-2023</t>
        </is>
      </c>
      <c r="B665" s="1" t="n">
        <v>45079</v>
      </c>
      <c r="C665" s="1" t="n">
        <v>45635</v>
      </c>
      <c r="D665" t="inlineStr">
        <is>
          <t>DALARNAS LÄN</t>
        </is>
      </c>
      <c r="E665" t="inlineStr">
        <is>
          <t>MALUNG-SÄLEN</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24637-2023</t>
        </is>
      </c>
      <c r="B666" s="1" t="n">
        <v>45084</v>
      </c>
      <c r="C666" s="1" t="n">
        <v>45635</v>
      </c>
      <c r="D666" t="inlineStr">
        <is>
          <t>DALARNAS LÄN</t>
        </is>
      </c>
      <c r="E666" t="inlineStr">
        <is>
          <t>MALUNG-SÄLEN</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24738-2023</t>
        </is>
      </c>
      <c r="B667" s="1" t="n">
        <v>45084</v>
      </c>
      <c r="C667" s="1" t="n">
        <v>45635</v>
      </c>
      <c r="D667" t="inlineStr">
        <is>
          <t>DALARNAS LÄN</t>
        </is>
      </c>
      <c r="E667" t="inlineStr">
        <is>
          <t>MALUNG-SÄLEN</t>
        </is>
      </c>
      <c r="F667" t="inlineStr">
        <is>
          <t>Allmännings- och besparingsskogar</t>
        </is>
      </c>
      <c r="G667" t="n">
        <v>22.5</v>
      </c>
      <c r="H667" t="n">
        <v>0</v>
      </c>
      <c r="I667" t="n">
        <v>0</v>
      </c>
      <c r="J667" t="n">
        <v>0</v>
      </c>
      <c r="K667" t="n">
        <v>0</v>
      </c>
      <c r="L667" t="n">
        <v>0</v>
      </c>
      <c r="M667" t="n">
        <v>0</v>
      </c>
      <c r="N667" t="n">
        <v>0</v>
      </c>
      <c r="O667" t="n">
        <v>0</v>
      </c>
      <c r="P667" t="n">
        <v>0</v>
      </c>
      <c r="Q667" t="n">
        <v>0</v>
      </c>
      <c r="R667" s="2" t="inlineStr"/>
    </row>
    <row r="668" ht="15" customHeight="1">
      <c r="A668" t="inlineStr">
        <is>
          <t>A 24706-2023</t>
        </is>
      </c>
      <c r="B668" s="1" t="n">
        <v>45084</v>
      </c>
      <c r="C668" s="1" t="n">
        <v>45635</v>
      </c>
      <c r="D668" t="inlineStr">
        <is>
          <t>DALARNAS LÄN</t>
        </is>
      </c>
      <c r="E668" t="inlineStr">
        <is>
          <t>MALUNG-SÄLEN</t>
        </is>
      </c>
      <c r="G668" t="n">
        <v>3.6</v>
      </c>
      <c r="H668" t="n">
        <v>0</v>
      </c>
      <c r="I668" t="n">
        <v>0</v>
      </c>
      <c r="J668" t="n">
        <v>0</v>
      </c>
      <c r="K668" t="n">
        <v>0</v>
      </c>
      <c r="L668" t="n">
        <v>0</v>
      </c>
      <c r="M668" t="n">
        <v>0</v>
      </c>
      <c r="N668" t="n">
        <v>0</v>
      </c>
      <c r="O668" t="n">
        <v>0</v>
      </c>
      <c r="P668" t="n">
        <v>0</v>
      </c>
      <c r="Q668" t="n">
        <v>0</v>
      </c>
      <c r="R668" s="2" t="inlineStr"/>
    </row>
    <row r="669" ht="15" customHeight="1">
      <c r="A669" t="inlineStr">
        <is>
          <t>A 25276-2023</t>
        </is>
      </c>
      <c r="B669" s="1" t="n">
        <v>45086</v>
      </c>
      <c r="C669" s="1" t="n">
        <v>45635</v>
      </c>
      <c r="D669" t="inlineStr">
        <is>
          <t>DALARNAS LÄN</t>
        </is>
      </c>
      <c r="E669" t="inlineStr">
        <is>
          <t>MALUNG-SÄLEN</t>
        </is>
      </c>
      <c r="F669" t="inlineStr">
        <is>
          <t>Allmännings- och besparingsskogar</t>
        </is>
      </c>
      <c r="G669" t="n">
        <v>18.2</v>
      </c>
      <c r="H669" t="n">
        <v>0</v>
      </c>
      <c r="I669" t="n">
        <v>0</v>
      </c>
      <c r="J669" t="n">
        <v>0</v>
      </c>
      <c r="K669" t="n">
        <v>0</v>
      </c>
      <c r="L669" t="n">
        <v>0</v>
      </c>
      <c r="M669" t="n">
        <v>0</v>
      </c>
      <c r="N669" t="n">
        <v>0</v>
      </c>
      <c r="O669" t="n">
        <v>0</v>
      </c>
      <c r="P669" t="n">
        <v>0</v>
      </c>
      <c r="Q669" t="n">
        <v>0</v>
      </c>
      <c r="R669" s="2" t="inlineStr"/>
    </row>
    <row r="670" ht="15" customHeight="1">
      <c r="A670" t="inlineStr">
        <is>
          <t>A 25108-2023</t>
        </is>
      </c>
      <c r="B670" s="1" t="n">
        <v>45086</v>
      </c>
      <c r="C670" s="1" t="n">
        <v>45635</v>
      </c>
      <c r="D670" t="inlineStr">
        <is>
          <t>DALARNAS LÄN</t>
        </is>
      </c>
      <c r="E670" t="inlineStr">
        <is>
          <t>MALUNG-SÄLEN</t>
        </is>
      </c>
      <c r="F670" t="inlineStr">
        <is>
          <t>Allmännings- och besparingsskogar</t>
        </is>
      </c>
      <c r="G670" t="n">
        <v>12</v>
      </c>
      <c r="H670" t="n">
        <v>0</v>
      </c>
      <c r="I670" t="n">
        <v>0</v>
      </c>
      <c r="J670" t="n">
        <v>0</v>
      </c>
      <c r="K670" t="n">
        <v>0</v>
      </c>
      <c r="L670" t="n">
        <v>0</v>
      </c>
      <c r="M670" t="n">
        <v>0</v>
      </c>
      <c r="N670" t="n">
        <v>0</v>
      </c>
      <c r="O670" t="n">
        <v>0</v>
      </c>
      <c r="P670" t="n">
        <v>0</v>
      </c>
      <c r="Q670" t="n">
        <v>0</v>
      </c>
      <c r="R670" s="2" t="inlineStr"/>
    </row>
    <row r="671" ht="15" customHeight="1">
      <c r="A671" t="inlineStr">
        <is>
          <t>A 25438-2023</t>
        </is>
      </c>
      <c r="B671" s="1" t="n">
        <v>45089</v>
      </c>
      <c r="C671" s="1" t="n">
        <v>45635</v>
      </c>
      <c r="D671" t="inlineStr">
        <is>
          <t>DALARNAS LÄN</t>
        </is>
      </c>
      <c r="E671" t="inlineStr">
        <is>
          <t>MALUNG-SÄLEN</t>
        </is>
      </c>
      <c r="G671" t="n">
        <v>3</v>
      </c>
      <c r="H671" t="n">
        <v>0</v>
      </c>
      <c r="I671" t="n">
        <v>0</v>
      </c>
      <c r="J671" t="n">
        <v>0</v>
      </c>
      <c r="K671" t="n">
        <v>0</v>
      </c>
      <c r="L671" t="n">
        <v>0</v>
      </c>
      <c r="M671" t="n">
        <v>0</v>
      </c>
      <c r="N671" t="n">
        <v>0</v>
      </c>
      <c r="O671" t="n">
        <v>0</v>
      </c>
      <c r="P671" t="n">
        <v>0</v>
      </c>
      <c r="Q671" t="n">
        <v>0</v>
      </c>
      <c r="R671" s="2" t="inlineStr"/>
    </row>
    <row r="672" ht="15" customHeight="1">
      <c r="A672" t="inlineStr">
        <is>
          <t>A 25534-2023</t>
        </is>
      </c>
      <c r="B672" s="1" t="n">
        <v>45089</v>
      </c>
      <c r="C672" s="1" t="n">
        <v>45635</v>
      </c>
      <c r="D672" t="inlineStr">
        <is>
          <t>DALARNAS LÄN</t>
        </is>
      </c>
      <c r="E672" t="inlineStr">
        <is>
          <t>MALUNG-SÄLEN</t>
        </is>
      </c>
      <c r="G672" t="n">
        <v>2.6</v>
      </c>
      <c r="H672" t="n">
        <v>0</v>
      </c>
      <c r="I672" t="n">
        <v>0</v>
      </c>
      <c r="J672" t="n">
        <v>0</v>
      </c>
      <c r="K672" t="n">
        <v>0</v>
      </c>
      <c r="L672" t="n">
        <v>0</v>
      </c>
      <c r="M672" t="n">
        <v>0</v>
      </c>
      <c r="N672" t="n">
        <v>0</v>
      </c>
      <c r="O672" t="n">
        <v>0</v>
      </c>
      <c r="P672" t="n">
        <v>0</v>
      </c>
      <c r="Q672" t="n">
        <v>0</v>
      </c>
      <c r="R672" s="2" t="inlineStr"/>
    </row>
    <row r="673" ht="15" customHeight="1">
      <c r="A673" t="inlineStr">
        <is>
          <t>A 25441-2023</t>
        </is>
      </c>
      <c r="B673" s="1" t="n">
        <v>45089</v>
      </c>
      <c r="C673" s="1" t="n">
        <v>45635</v>
      </c>
      <c r="D673" t="inlineStr">
        <is>
          <t>DALARNAS LÄN</t>
        </is>
      </c>
      <c r="E673" t="inlineStr">
        <is>
          <t>MALUNG-SÄLEN</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25527-2023</t>
        </is>
      </c>
      <c r="B674" s="1" t="n">
        <v>45089</v>
      </c>
      <c r="C674" s="1" t="n">
        <v>45635</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25553-2023</t>
        </is>
      </c>
      <c r="B675" s="1" t="n">
        <v>45089</v>
      </c>
      <c r="C675" s="1" t="n">
        <v>45635</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25835-2023</t>
        </is>
      </c>
      <c r="B676" s="1" t="n">
        <v>45090</v>
      </c>
      <c r="C676" s="1" t="n">
        <v>45635</v>
      </c>
      <c r="D676" t="inlineStr">
        <is>
          <t>DALARNAS LÄN</t>
        </is>
      </c>
      <c r="E676" t="inlineStr">
        <is>
          <t>MALUNG-SÄLEN</t>
        </is>
      </c>
      <c r="F676" t="inlineStr">
        <is>
          <t>Bergvik skog öst AB</t>
        </is>
      </c>
      <c r="G676" t="n">
        <v>6.8</v>
      </c>
      <c r="H676" t="n">
        <v>0</v>
      </c>
      <c r="I676" t="n">
        <v>0</v>
      </c>
      <c r="J676" t="n">
        <v>0</v>
      </c>
      <c r="K676" t="n">
        <v>0</v>
      </c>
      <c r="L676" t="n">
        <v>0</v>
      </c>
      <c r="M676" t="n">
        <v>0</v>
      </c>
      <c r="N676" t="n">
        <v>0</v>
      </c>
      <c r="O676" t="n">
        <v>0</v>
      </c>
      <c r="P676" t="n">
        <v>0</v>
      </c>
      <c r="Q676" t="n">
        <v>0</v>
      </c>
      <c r="R676" s="2" t="inlineStr"/>
    </row>
    <row r="677" ht="15" customHeight="1">
      <c r="A677" t="inlineStr">
        <is>
          <t>A 25778-2023</t>
        </is>
      </c>
      <c r="B677" s="1" t="n">
        <v>45090</v>
      </c>
      <c r="C677" s="1" t="n">
        <v>45635</v>
      </c>
      <c r="D677" t="inlineStr">
        <is>
          <t>DALARNAS LÄN</t>
        </is>
      </c>
      <c r="E677" t="inlineStr">
        <is>
          <t>MALUNG-SÄLEN</t>
        </is>
      </c>
      <c r="G677" t="n">
        <v>8.1</v>
      </c>
      <c r="H677" t="n">
        <v>0</v>
      </c>
      <c r="I677" t="n">
        <v>0</v>
      </c>
      <c r="J677" t="n">
        <v>0</v>
      </c>
      <c r="K677" t="n">
        <v>0</v>
      </c>
      <c r="L677" t="n">
        <v>0</v>
      </c>
      <c r="M677" t="n">
        <v>0</v>
      </c>
      <c r="N677" t="n">
        <v>0</v>
      </c>
      <c r="O677" t="n">
        <v>0</v>
      </c>
      <c r="P677" t="n">
        <v>0</v>
      </c>
      <c r="Q677" t="n">
        <v>0</v>
      </c>
      <c r="R677" s="2" t="inlineStr"/>
    </row>
    <row r="678" ht="15" customHeight="1">
      <c r="A678" t="inlineStr">
        <is>
          <t>A 25900-2023</t>
        </is>
      </c>
      <c r="B678" s="1" t="n">
        <v>45090</v>
      </c>
      <c r="C678" s="1" t="n">
        <v>45635</v>
      </c>
      <c r="D678" t="inlineStr">
        <is>
          <t>DALARNAS LÄN</t>
        </is>
      </c>
      <c r="E678" t="inlineStr">
        <is>
          <t>MALUNG-SÄLEN</t>
        </is>
      </c>
      <c r="G678" t="n">
        <v>2.2</v>
      </c>
      <c r="H678" t="n">
        <v>0</v>
      </c>
      <c r="I678" t="n">
        <v>0</v>
      </c>
      <c r="J678" t="n">
        <v>0</v>
      </c>
      <c r="K678" t="n">
        <v>0</v>
      </c>
      <c r="L678" t="n">
        <v>0</v>
      </c>
      <c r="M678" t="n">
        <v>0</v>
      </c>
      <c r="N678" t="n">
        <v>0</v>
      </c>
      <c r="O678" t="n">
        <v>0</v>
      </c>
      <c r="P678" t="n">
        <v>0</v>
      </c>
      <c r="Q678" t="n">
        <v>0</v>
      </c>
      <c r="R678" s="2" t="inlineStr"/>
    </row>
    <row r="679" ht="15" customHeight="1">
      <c r="A679" t="inlineStr">
        <is>
          <t>A 25842-2023</t>
        </is>
      </c>
      <c r="B679" s="1" t="n">
        <v>45090</v>
      </c>
      <c r="C679" s="1" t="n">
        <v>45635</v>
      </c>
      <c r="D679" t="inlineStr">
        <is>
          <t>DALARNAS LÄN</t>
        </is>
      </c>
      <c r="E679" t="inlineStr">
        <is>
          <t>MALUNG-SÄLEN</t>
        </is>
      </c>
      <c r="G679" t="n">
        <v>4.2</v>
      </c>
      <c r="H679" t="n">
        <v>0</v>
      </c>
      <c r="I679" t="n">
        <v>0</v>
      </c>
      <c r="J679" t="n">
        <v>0</v>
      </c>
      <c r="K679" t="n">
        <v>0</v>
      </c>
      <c r="L679" t="n">
        <v>0</v>
      </c>
      <c r="M679" t="n">
        <v>0</v>
      </c>
      <c r="N679" t="n">
        <v>0</v>
      </c>
      <c r="O679" t="n">
        <v>0</v>
      </c>
      <c r="P679" t="n">
        <v>0</v>
      </c>
      <c r="Q679" t="n">
        <v>0</v>
      </c>
      <c r="R679" s="2" t="inlineStr"/>
    </row>
    <row r="680" ht="15" customHeight="1">
      <c r="A680" t="inlineStr">
        <is>
          <t>A 25922-2023</t>
        </is>
      </c>
      <c r="B680" s="1" t="n">
        <v>45090</v>
      </c>
      <c r="C680" s="1" t="n">
        <v>45635</v>
      </c>
      <c r="D680" t="inlineStr">
        <is>
          <t>DALARNAS LÄN</t>
        </is>
      </c>
      <c r="E680" t="inlineStr">
        <is>
          <t>MALUNG-SÄLEN</t>
        </is>
      </c>
      <c r="G680" t="n">
        <v>5.2</v>
      </c>
      <c r="H680" t="n">
        <v>0</v>
      </c>
      <c r="I680" t="n">
        <v>0</v>
      </c>
      <c r="J680" t="n">
        <v>0</v>
      </c>
      <c r="K680" t="n">
        <v>0</v>
      </c>
      <c r="L680" t="n">
        <v>0</v>
      </c>
      <c r="M680" t="n">
        <v>0</v>
      </c>
      <c r="N680" t="n">
        <v>0</v>
      </c>
      <c r="O680" t="n">
        <v>0</v>
      </c>
      <c r="P680" t="n">
        <v>0</v>
      </c>
      <c r="Q680" t="n">
        <v>0</v>
      </c>
      <c r="R680" s="2" t="inlineStr"/>
    </row>
    <row r="681" ht="15" customHeight="1">
      <c r="A681" t="inlineStr">
        <is>
          <t>A 26813-2023</t>
        </is>
      </c>
      <c r="B681" s="1" t="n">
        <v>45090</v>
      </c>
      <c r="C681" s="1" t="n">
        <v>45635</v>
      </c>
      <c r="D681" t="inlineStr">
        <is>
          <t>DALARNAS LÄN</t>
        </is>
      </c>
      <c r="E681" t="inlineStr">
        <is>
          <t>MALUNG-SÄLEN</t>
        </is>
      </c>
      <c r="G681" t="n">
        <v>0.9</v>
      </c>
      <c r="H681" t="n">
        <v>0</v>
      </c>
      <c r="I681" t="n">
        <v>0</v>
      </c>
      <c r="J681" t="n">
        <v>0</v>
      </c>
      <c r="K681" t="n">
        <v>0</v>
      </c>
      <c r="L681" t="n">
        <v>0</v>
      </c>
      <c r="M681" t="n">
        <v>0</v>
      </c>
      <c r="N681" t="n">
        <v>0</v>
      </c>
      <c r="O681" t="n">
        <v>0</v>
      </c>
      <c r="P681" t="n">
        <v>0</v>
      </c>
      <c r="Q681" t="n">
        <v>0</v>
      </c>
      <c r="R681" s="2" t="inlineStr"/>
    </row>
    <row r="682" ht="15" customHeight="1">
      <c r="A682" t="inlineStr">
        <is>
          <t>A 26542-2023</t>
        </is>
      </c>
      <c r="B682" s="1" t="n">
        <v>45092</v>
      </c>
      <c r="C682" s="1" t="n">
        <v>45635</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26528-2023</t>
        </is>
      </c>
      <c r="B683" s="1" t="n">
        <v>45092</v>
      </c>
      <c r="C683" s="1" t="n">
        <v>45635</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26768-2023</t>
        </is>
      </c>
      <c r="B684" s="1" t="n">
        <v>45093</v>
      </c>
      <c r="C684" s="1" t="n">
        <v>45635</v>
      </c>
      <c r="D684" t="inlineStr">
        <is>
          <t>DALARNAS LÄN</t>
        </is>
      </c>
      <c r="E684" t="inlineStr">
        <is>
          <t>MALUNG-SÄLEN</t>
        </is>
      </c>
      <c r="F684" t="inlineStr">
        <is>
          <t>Bergvik skog öst AB</t>
        </is>
      </c>
      <c r="G684" t="n">
        <v>18.9</v>
      </c>
      <c r="H684" t="n">
        <v>0</v>
      </c>
      <c r="I684" t="n">
        <v>0</v>
      </c>
      <c r="J684" t="n">
        <v>0</v>
      </c>
      <c r="K684" t="n">
        <v>0</v>
      </c>
      <c r="L684" t="n">
        <v>0</v>
      </c>
      <c r="M684" t="n">
        <v>0</v>
      </c>
      <c r="N684" t="n">
        <v>0</v>
      </c>
      <c r="O684" t="n">
        <v>0</v>
      </c>
      <c r="P684" t="n">
        <v>0</v>
      </c>
      <c r="Q684" t="n">
        <v>0</v>
      </c>
      <c r="R684" s="2" t="inlineStr"/>
    </row>
    <row r="685" ht="15" customHeight="1">
      <c r="A685" t="inlineStr">
        <is>
          <t>A 26752-2023</t>
        </is>
      </c>
      <c r="B685" s="1" t="n">
        <v>45093</v>
      </c>
      <c r="C685" s="1" t="n">
        <v>45635</v>
      </c>
      <c r="D685" t="inlineStr">
        <is>
          <t>DALARNAS LÄN</t>
        </is>
      </c>
      <c r="E685" t="inlineStr">
        <is>
          <t>MALUNG-SÄLEN</t>
        </is>
      </c>
      <c r="G685" t="n">
        <v>0.7</v>
      </c>
      <c r="H685" t="n">
        <v>0</v>
      </c>
      <c r="I685" t="n">
        <v>0</v>
      </c>
      <c r="J685" t="n">
        <v>0</v>
      </c>
      <c r="K685" t="n">
        <v>0</v>
      </c>
      <c r="L685" t="n">
        <v>0</v>
      </c>
      <c r="M685" t="n">
        <v>0</v>
      </c>
      <c r="N685" t="n">
        <v>0</v>
      </c>
      <c r="O685" t="n">
        <v>0</v>
      </c>
      <c r="P685" t="n">
        <v>0</v>
      </c>
      <c r="Q685" t="n">
        <v>0</v>
      </c>
      <c r="R685" s="2" t="inlineStr"/>
    </row>
    <row r="686" ht="15" customHeight="1">
      <c r="A686" t="inlineStr">
        <is>
          <t>A 27160-2023</t>
        </is>
      </c>
      <c r="B686" s="1" t="n">
        <v>45096</v>
      </c>
      <c r="C686" s="1" t="n">
        <v>45635</v>
      </c>
      <c r="D686" t="inlineStr">
        <is>
          <t>DALARNAS LÄN</t>
        </is>
      </c>
      <c r="E686" t="inlineStr">
        <is>
          <t>MALUNG-SÄLEN</t>
        </is>
      </c>
      <c r="G686" t="n">
        <v>6.5</v>
      </c>
      <c r="H686" t="n">
        <v>0</v>
      </c>
      <c r="I686" t="n">
        <v>0</v>
      </c>
      <c r="J686" t="n">
        <v>0</v>
      </c>
      <c r="K686" t="n">
        <v>0</v>
      </c>
      <c r="L686" t="n">
        <v>0</v>
      </c>
      <c r="M686" t="n">
        <v>0</v>
      </c>
      <c r="N686" t="n">
        <v>0</v>
      </c>
      <c r="O686" t="n">
        <v>0</v>
      </c>
      <c r="P686" t="n">
        <v>0</v>
      </c>
      <c r="Q686" t="n">
        <v>0</v>
      </c>
      <c r="R686" s="2" t="inlineStr"/>
    </row>
    <row r="687" ht="15" customHeight="1">
      <c r="A687" t="inlineStr">
        <is>
          <t>A 28621-2023</t>
        </is>
      </c>
      <c r="B687" s="1" t="n">
        <v>45096</v>
      </c>
      <c r="C687" s="1" t="n">
        <v>45635</v>
      </c>
      <c r="D687" t="inlineStr">
        <is>
          <t>DALARNAS LÄN</t>
        </is>
      </c>
      <c r="E687" t="inlineStr">
        <is>
          <t>MALUNG-SÄLEN</t>
        </is>
      </c>
      <c r="G687" t="n">
        <v>1.4</v>
      </c>
      <c r="H687" t="n">
        <v>0</v>
      </c>
      <c r="I687" t="n">
        <v>0</v>
      </c>
      <c r="J687" t="n">
        <v>0</v>
      </c>
      <c r="K687" t="n">
        <v>0</v>
      </c>
      <c r="L687" t="n">
        <v>0</v>
      </c>
      <c r="M687" t="n">
        <v>0</v>
      </c>
      <c r="N687" t="n">
        <v>0</v>
      </c>
      <c r="O687" t="n">
        <v>0</v>
      </c>
      <c r="P687" t="n">
        <v>0</v>
      </c>
      <c r="Q687" t="n">
        <v>0</v>
      </c>
      <c r="R687" s="2" t="inlineStr"/>
    </row>
    <row r="688" ht="15" customHeight="1">
      <c r="A688" t="inlineStr">
        <is>
          <t>A 27561-2023</t>
        </is>
      </c>
      <c r="B688" s="1" t="n">
        <v>45097</v>
      </c>
      <c r="C688" s="1" t="n">
        <v>45635</v>
      </c>
      <c r="D688" t="inlineStr">
        <is>
          <t>DALARNAS LÄN</t>
        </is>
      </c>
      <c r="E688" t="inlineStr">
        <is>
          <t>MALUNG-SÄLEN</t>
        </is>
      </c>
      <c r="G688" t="n">
        <v>3.4</v>
      </c>
      <c r="H688" t="n">
        <v>0</v>
      </c>
      <c r="I688" t="n">
        <v>0</v>
      </c>
      <c r="J688" t="n">
        <v>0</v>
      </c>
      <c r="K688" t="n">
        <v>0</v>
      </c>
      <c r="L688" t="n">
        <v>0</v>
      </c>
      <c r="M688" t="n">
        <v>0</v>
      </c>
      <c r="N688" t="n">
        <v>0</v>
      </c>
      <c r="O688" t="n">
        <v>0</v>
      </c>
      <c r="P688" t="n">
        <v>0</v>
      </c>
      <c r="Q688" t="n">
        <v>0</v>
      </c>
      <c r="R688" s="2" t="inlineStr"/>
    </row>
    <row r="689" ht="15" customHeight="1">
      <c r="A689" t="inlineStr">
        <is>
          <t>A 27500-2023</t>
        </is>
      </c>
      <c r="B689" s="1" t="n">
        <v>45097</v>
      </c>
      <c r="C689" s="1" t="n">
        <v>45635</v>
      </c>
      <c r="D689" t="inlineStr">
        <is>
          <t>DALARNAS LÄN</t>
        </is>
      </c>
      <c r="E689" t="inlineStr">
        <is>
          <t>MALUNG-SÄLEN</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27559-2023</t>
        </is>
      </c>
      <c r="B690" s="1" t="n">
        <v>45097</v>
      </c>
      <c r="C690" s="1" t="n">
        <v>45635</v>
      </c>
      <c r="D690" t="inlineStr">
        <is>
          <t>DALARNAS LÄN</t>
        </is>
      </c>
      <c r="E690" t="inlineStr">
        <is>
          <t>MALUNG-SÄLEN</t>
        </is>
      </c>
      <c r="G690" t="n">
        <v>5.3</v>
      </c>
      <c r="H690" t="n">
        <v>0</v>
      </c>
      <c r="I690" t="n">
        <v>0</v>
      </c>
      <c r="J690" t="n">
        <v>0</v>
      </c>
      <c r="K690" t="n">
        <v>0</v>
      </c>
      <c r="L690" t="n">
        <v>0</v>
      </c>
      <c r="M690" t="n">
        <v>0</v>
      </c>
      <c r="N690" t="n">
        <v>0</v>
      </c>
      <c r="O690" t="n">
        <v>0</v>
      </c>
      <c r="P690" t="n">
        <v>0</v>
      </c>
      <c r="Q690" t="n">
        <v>0</v>
      </c>
      <c r="R690" s="2" t="inlineStr"/>
    </row>
    <row r="691" ht="15" customHeight="1">
      <c r="A691" t="inlineStr">
        <is>
          <t>A 28198-2023</t>
        </is>
      </c>
      <c r="B691" s="1" t="n">
        <v>45099</v>
      </c>
      <c r="C691" s="1" t="n">
        <v>45635</v>
      </c>
      <c r="D691" t="inlineStr">
        <is>
          <t>DALARNAS LÄN</t>
        </is>
      </c>
      <c r="E691" t="inlineStr">
        <is>
          <t>MALUNG-SÄLEN</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28235-2023</t>
        </is>
      </c>
      <c r="B692" s="1" t="n">
        <v>45099</v>
      </c>
      <c r="C692" s="1" t="n">
        <v>45635</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28585-2023</t>
        </is>
      </c>
      <c r="B693" s="1" t="n">
        <v>45103</v>
      </c>
      <c r="C693" s="1" t="n">
        <v>45635</v>
      </c>
      <c r="D693" t="inlineStr">
        <is>
          <t>DALARNAS LÄN</t>
        </is>
      </c>
      <c r="E693" t="inlineStr">
        <is>
          <t>MALUNG-SÄLEN</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28943-2023</t>
        </is>
      </c>
      <c r="B694" s="1" t="n">
        <v>45104</v>
      </c>
      <c r="C694" s="1" t="n">
        <v>45635</v>
      </c>
      <c r="D694" t="inlineStr">
        <is>
          <t>DALARNAS LÄN</t>
        </is>
      </c>
      <c r="E694" t="inlineStr">
        <is>
          <t>MALUNG-SÄLEN</t>
        </is>
      </c>
      <c r="G694" t="n">
        <v>14.4</v>
      </c>
      <c r="H694" t="n">
        <v>0</v>
      </c>
      <c r="I694" t="n">
        <v>0</v>
      </c>
      <c r="J694" t="n">
        <v>0</v>
      </c>
      <c r="K694" t="n">
        <v>0</v>
      </c>
      <c r="L694" t="n">
        <v>0</v>
      </c>
      <c r="M694" t="n">
        <v>0</v>
      </c>
      <c r="N694" t="n">
        <v>0</v>
      </c>
      <c r="O694" t="n">
        <v>0</v>
      </c>
      <c r="P694" t="n">
        <v>0</v>
      </c>
      <c r="Q694" t="n">
        <v>0</v>
      </c>
      <c r="R694" s="2" t="inlineStr"/>
    </row>
    <row r="695" ht="15" customHeight="1">
      <c r="A695" t="inlineStr">
        <is>
          <t>A 28998-2023</t>
        </is>
      </c>
      <c r="B695" s="1" t="n">
        <v>45104</v>
      </c>
      <c r="C695" s="1" t="n">
        <v>45635</v>
      </c>
      <c r="D695" t="inlineStr">
        <is>
          <t>DALARNAS LÄN</t>
        </is>
      </c>
      <c r="E695" t="inlineStr">
        <is>
          <t>MALUNG-SÄLEN</t>
        </is>
      </c>
      <c r="G695" t="n">
        <v>3.2</v>
      </c>
      <c r="H695" t="n">
        <v>0</v>
      </c>
      <c r="I695" t="n">
        <v>0</v>
      </c>
      <c r="J695" t="n">
        <v>0</v>
      </c>
      <c r="K695" t="n">
        <v>0</v>
      </c>
      <c r="L695" t="n">
        <v>0</v>
      </c>
      <c r="M695" t="n">
        <v>0</v>
      </c>
      <c r="N695" t="n">
        <v>0</v>
      </c>
      <c r="O695" t="n">
        <v>0</v>
      </c>
      <c r="P695" t="n">
        <v>0</v>
      </c>
      <c r="Q695" t="n">
        <v>0</v>
      </c>
      <c r="R695" s="2" t="inlineStr"/>
    </row>
    <row r="696" ht="15" customHeight="1">
      <c r="A696" t="inlineStr">
        <is>
          <t>A 29378-2023</t>
        </is>
      </c>
      <c r="B696" s="1" t="n">
        <v>45106</v>
      </c>
      <c r="C696" s="1" t="n">
        <v>45635</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29362-2023</t>
        </is>
      </c>
      <c r="B697" s="1" t="n">
        <v>45106</v>
      </c>
      <c r="C697" s="1" t="n">
        <v>45635</v>
      </c>
      <c r="D697" t="inlineStr">
        <is>
          <t>DALARNAS LÄN</t>
        </is>
      </c>
      <c r="E697" t="inlineStr">
        <is>
          <t>MALUNG-SÄLEN</t>
        </is>
      </c>
      <c r="F697" t="inlineStr">
        <is>
          <t>Övriga statliga verk och myndigheter</t>
        </is>
      </c>
      <c r="G697" t="n">
        <v>2.3</v>
      </c>
      <c r="H697" t="n">
        <v>0</v>
      </c>
      <c r="I697" t="n">
        <v>0</v>
      </c>
      <c r="J697" t="n">
        <v>0</v>
      </c>
      <c r="K697" t="n">
        <v>0</v>
      </c>
      <c r="L697" t="n">
        <v>0</v>
      </c>
      <c r="M697" t="n">
        <v>0</v>
      </c>
      <c r="N697" t="n">
        <v>0</v>
      </c>
      <c r="O697" t="n">
        <v>0</v>
      </c>
      <c r="P697" t="n">
        <v>0</v>
      </c>
      <c r="Q697" t="n">
        <v>0</v>
      </c>
      <c r="R697" s="2" t="inlineStr"/>
    </row>
    <row r="698" ht="15" customHeight="1">
      <c r="A698" t="inlineStr">
        <is>
          <t>A 29381-2023</t>
        </is>
      </c>
      <c r="B698" s="1" t="n">
        <v>45106</v>
      </c>
      <c r="C698" s="1" t="n">
        <v>45635</v>
      </c>
      <c r="D698" t="inlineStr">
        <is>
          <t>DALARNAS LÄN</t>
        </is>
      </c>
      <c r="E698" t="inlineStr">
        <is>
          <t>MALUNG-SÄLEN</t>
        </is>
      </c>
      <c r="G698" t="n">
        <v>1</v>
      </c>
      <c r="H698" t="n">
        <v>0</v>
      </c>
      <c r="I698" t="n">
        <v>0</v>
      </c>
      <c r="J698" t="n">
        <v>0</v>
      </c>
      <c r="K698" t="n">
        <v>0</v>
      </c>
      <c r="L698" t="n">
        <v>0</v>
      </c>
      <c r="M698" t="n">
        <v>0</v>
      </c>
      <c r="N698" t="n">
        <v>0</v>
      </c>
      <c r="O698" t="n">
        <v>0</v>
      </c>
      <c r="P698" t="n">
        <v>0</v>
      </c>
      <c r="Q698" t="n">
        <v>0</v>
      </c>
      <c r="R698" s="2" t="inlineStr"/>
    </row>
    <row r="699" ht="15" customHeight="1">
      <c r="A699" t="inlineStr">
        <is>
          <t>A 29473-2023</t>
        </is>
      </c>
      <c r="B699" s="1" t="n">
        <v>45106</v>
      </c>
      <c r="C699" s="1" t="n">
        <v>45635</v>
      </c>
      <c r="D699" t="inlineStr">
        <is>
          <t>DALARNAS LÄN</t>
        </is>
      </c>
      <c r="E699" t="inlineStr">
        <is>
          <t>MALUNG-SÄLEN</t>
        </is>
      </c>
      <c r="G699" t="n">
        <v>1.2</v>
      </c>
      <c r="H699" t="n">
        <v>0</v>
      </c>
      <c r="I699" t="n">
        <v>0</v>
      </c>
      <c r="J699" t="n">
        <v>0</v>
      </c>
      <c r="K699" t="n">
        <v>0</v>
      </c>
      <c r="L699" t="n">
        <v>0</v>
      </c>
      <c r="M699" t="n">
        <v>0</v>
      </c>
      <c r="N699" t="n">
        <v>0</v>
      </c>
      <c r="O699" t="n">
        <v>0</v>
      </c>
      <c r="P699" t="n">
        <v>0</v>
      </c>
      <c r="Q699" t="n">
        <v>0</v>
      </c>
      <c r="R699" s="2" t="inlineStr"/>
    </row>
    <row r="700" ht="15" customHeight="1">
      <c r="A700" t="inlineStr">
        <is>
          <t>A 29451-2023</t>
        </is>
      </c>
      <c r="B700" s="1" t="n">
        <v>45106</v>
      </c>
      <c r="C700" s="1" t="n">
        <v>45635</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29664-2023</t>
        </is>
      </c>
      <c r="B701" s="1" t="n">
        <v>45107</v>
      </c>
      <c r="C701" s="1" t="n">
        <v>45635</v>
      </c>
      <c r="D701" t="inlineStr">
        <is>
          <t>DALARNAS LÄN</t>
        </is>
      </c>
      <c r="E701" t="inlineStr">
        <is>
          <t>MALUNG-SÄLEN</t>
        </is>
      </c>
      <c r="G701" t="n">
        <v>5.6</v>
      </c>
      <c r="H701" t="n">
        <v>0</v>
      </c>
      <c r="I701" t="n">
        <v>0</v>
      </c>
      <c r="J701" t="n">
        <v>0</v>
      </c>
      <c r="K701" t="n">
        <v>0</v>
      </c>
      <c r="L701" t="n">
        <v>0</v>
      </c>
      <c r="M701" t="n">
        <v>0</v>
      </c>
      <c r="N701" t="n">
        <v>0</v>
      </c>
      <c r="O701" t="n">
        <v>0</v>
      </c>
      <c r="P701" t="n">
        <v>0</v>
      </c>
      <c r="Q701" t="n">
        <v>0</v>
      </c>
      <c r="R701" s="2" t="inlineStr"/>
    </row>
    <row r="702" ht="15" customHeight="1">
      <c r="A702" t="inlineStr">
        <is>
          <t>A 30098-2023</t>
        </is>
      </c>
      <c r="B702" s="1" t="n">
        <v>45110</v>
      </c>
      <c r="C702" s="1" t="n">
        <v>45635</v>
      </c>
      <c r="D702" t="inlineStr">
        <is>
          <t>DALARNAS LÄN</t>
        </is>
      </c>
      <c r="E702" t="inlineStr">
        <is>
          <t>MALUNG-SÄLEN</t>
        </is>
      </c>
      <c r="F702" t="inlineStr">
        <is>
          <t>Bergvik skog öst AB</t>
        </is>
      </c>
      <c r="G702" t="n">
        <v>6.6</v>
      </c>
      <c r="H702" t="n">
        <v>0</v>
      </c>
      <c r="I702" t="n">
        <v>0</v>
      </c>
      <c r="J702" t="n">
        <v>0</v>
      </c>
      <c r="K702" t="n">
        <v>0</v>
      </c>
      <c r="L702" t="n">
        <v>0</v>
      </c>
      <c r="M702" t="n">
        <v>0</v>
      </c>
      <c r="N702" t="n">
        <v>0</v>
      </c>
      <c r="O702" t="n">
        <v>0</v>
      </c>
      <c r="P702" t="n">
        <v>0</v>
      </c>
      <c r="Q702" t="n">
        <v>0</v>
      </c>
      <c r="R702" s="2" t="inlineStr"/>
    </row>
    <row r="703" ht="15" customHeight="1">
      <c r="A703" t="inlineStr">
        <is>
          <t>A 30199-2023</t>
        </is>
      </c>
      <c r="B703" s="1" t="n">
        <v>45110</v>
      </c>
      <c r="C703" s="1" t="n">
        <v>45635</v>
      </c>
      <c r="D703" t="inlineStr">
        <is>
          <t>DALARNAS LÄN</t>
        </is>
      </c>
      <c r="E703" t="inlineStr">
        <is>
          <t>MALUNG-SÄLEN</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30326-2023</t>
        </is>
      </c>
      <c r="B704" s="1" t="n">
        <v>45111</v>
      </c>
      <c r="C704" s="1" t="n">
        <v>45635</v>
      </c>
      <c r="D704" t="inlineStr">
        <is>
          <t>DALARNAS LÄN</t>
        </is>
      </c>
      <c r="E704" t="inlineStr">
        <is>
          <t>MALUNG-SÄLEN</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30645-2023</t>
        </is>
      </c>
      <c r="B705" s="1" t="n">
        <v>45112</v>
      </c>
      <c r="C705" s="1" t="n">
        <v>45635</v>
      </c>
      <c r="D705" t="inlineStr">
        <is>
          <t>DALARNAS LÄN</t>
        </is>
      </c>
      <c r="E705" t="inlineStr">
        <is>
          <t>MALUNG-SÄLEN</t>
        </is>
      </c>
      <c r="F705" t="inlineStr">
        <is>
          <t>Allmännings- och besparingsskogar</t>
        </is>
      </c>
      <c r="G705" t="n">
        <v>29.5</v>
      </c>
      <c r="H705" t="n">
        <v>0</v>
      </c>
      <c r="I705" t="n">
        <v>0</v>
      </c>
      <c r="J705" t="n">
        <v>0</v>
      </c>
      <c r="K705" t="n">
        <v>0</v>
      </c>
      <c r="L705" t="n">
        <v>0</v>
      </c>
      <c r="M705" t="n">
        <v>0</v>
      </c>
      <c r="N705" t="n">
        <v>0</v>
      </c>
      <c r="O705" t="n">
        <v>0</v>
      </c>
      <c r="P705" t="n">
        <v>0</v>
      </c>
      <c r="Q705" t="n">
        <v>0</v>
      </c>
      <c r="R705" s="2" t="inlineStr"/>
    </row>
    <row r="706" ht="15" customHeight="1">
      <c r="A706" t="inlineStr">
        <is>
          <t>A 30646-2023</t>
        </is>
      </c>
      <c r="B706" s="1" t="n">
        <v>45112</v>
      </c>
      <c r="C706" s="1" t="n">
        <v>45635</v>
      </c>
      <c r="D706" t="inlineStr">
        <is>
          <t>DALARNAS LÄN</t>
        </is>
      </c>
      <c r="E706" t="inlineStr">
        <is>
          <t>MALUNG-SÄLEN</t>
        </is>
      </c>
      <c r="F706" t="inlineStr">
        <is>
          <t>Allmännings- och besparingsskogar</t>
        </is>
      </c>
      <c r="G706" t="n">
        <v>16.1</v>
      </c>
      <c r="H706" t="n">
        <v>0</v>
      </c>
      <c r="I706" t="n">
        <v>0</v>
      </c>
      <c r="J706" t="n">
        <v>0</v>
      </c>
      <c r="K706" t="n">
        <v>0</v>
      </c>
      <c r="L706" t="n">
        <v>0</v>
      </c>
      <c r="M706" t="n">
        <v>0</v>
      </c>
      <c r="N706" t="n">
        <v>0</v>
      </c>
      <c r="O706" t="n">
        <v>0</v>
      </c>
      <c r="P706" t="n">
        <v>0</v>
      </c>
      <c r="Q706" t="n">
        <v>0</v>
      </c>
      <c r="R706" s="2" t="inlineStr"/>
    </row>
    <row r="707" ht="15" customHeight="1">
      <c r="A707" t="inlineStr">
        <is>
          <t>A 30783-2023</t>
        </is>
      </c>
      <c r="B707" s="1" t="n">
        <v>45112</v>
      </c>
      <c r="C707" s="1" t="n">
        <v>45635</v>
      </c>
      <c r="D707" t="inlineStr">
        <is>
          <t>DALARNAS LÄN</t>
        </is>
      </c>
      <c r="E707" t="inlineStr">
        <is>
          <t>MALUNG-SÄLEN</t>
        </is>
      </c>
      <c r="G707" t="n">
        <v>2.7</v>
      </c>
      <c r="H707" t="n">
        <v>0</v>
      </c>
      <c r="I707" t="n">
        <v>0</v>
      </c>
      <c r="J707" t="n">
        <v>0</v>
      </c>
      <c r="K707" t="n">
        <v>0</v>
      </c>
      <c r="L707" t="n">
        <v>0</v>
      </c>
      <c r="M707" t="n">
        <v>0</v>
      </c>
      <c r="N707" t="n">
        <v>0</v>
      </c>
      <c r="O707" t="n">
        <v>0</v>
      </c>
      <c r="P707" t="n">
        <v>0</v>
      </c>
      <c r="Q707" t="n">
        <v>0</v>
      </c>
      <c r="R707" s="2" t="inlineStr"/>
    </row>
    <row r="708" ht="15" customHeight="1">
      <c r="A708" t="inlineStr">
        <is>
          <t>A 31292-2023</t>
        </is>
      </c>
      <c r="B708" s="1" t="n">
        <v>45114</v>
      </c>
      <c r="C708" s="1" t="n">
        <v>45635</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31291-2023</t>
        </is>
      </c>
      <c r="B709" s="1" t="n">
        <v>45114</v>
      </c>
      <c r="C709" s="1" t="n">
        <v>45635</v>
      </c>
      <c r="D709" t="inlineStr">
        <is>
          <t>DALARNAS LÄN</t>
        </is>
      </c>
      <c r="E709" t="inlineStr">
        <is>
          <t>MALUNG-SÄLEN</t>
        </is>
      </c>
      <c r="G709" t="n">
        <v>1.4</v>
      </c>
      <c r="H709" t="n">
        <v>0</v>
      </c>
      <c r="I709" t="n">
        <v>0</v>
      </c>
      <c r="J709" t="n">
        <v>0</v>
      </c>
      <c r="K709" t="n">
        <v>0</v>
      </c>
      <c r="L709" t="n">
        <v>0</v>
      </c>
      <c r="M709" t="n">
        <v>0</v>
      </c>
      <c r="N709" t="n">
        <v>0</v>
      </c>
      <c r="O709" t="n">
        <v>0</v>
      </c>
      <c r="P709" t="n">
        <v>0</v>
      </c>
      <c r="Q709" t="n">
        <v>0</v>
      </c>
      <c r="R709" s="2" t="inlineStr"/>
    </row>
    <row r="710" ht="15" customHeight="1">
      <c r="A710" t="inlineStr">
        <is>
          <t>A 31455-2023</t>
        </is>
      </c>
      <c r="B710" s="1" t="n">
        <v>45114</v>
      </c>
      <c r="C710" s="1" t="n">
        <v>45635</v>
      </c>
      <c r="D710" t="inlineStr">
        <is>
          <t>DALARNAS LÄN</t>
        </is>
      </c>
      <c r="E710" t="inlineStr">
        <is>
          <t>MALUNG-SÄLEN</t>
        </is>
      </c>
      <c r="G710" t="n">
        <v>5.7</v>
      </c>
      <c r="H710" t="n">
        <v>0</v>
      </c>
      <c r="I710" t="n">
        <v>0</v>
      </c>
      <c r="J710" t="n">
        <v>0</v>
      </c>
      <c r="K710" t="n">
        <v>0</v>
      </c>
      <c r="L710" t="n">
        <v>0</v>
      </c>
      <c r="M710" t="n">
        <v>0</v>
      </c>
      <c r="N710" t="n">
        <v>0</v>
      </c>
      <c r="O710" t="n">
        <v>0</v>
      </c>
      <c r="P710" t="n">
        <v>0</v>
      </c>
      <c r="Q710" t="n">
        <v>0</v>
      </c>
      <c r="R710" s="2" t="inlineStr"/>
    </row>
    <row r="711" ht="15" customHeight="1">
      <c r="A711" t="inlineStr">
        <is>
          <t>A 31423-2023</t>
        </is>
      </c>
      <c r="B711" s="1" t="n">
        <v>45114</v>
      </c>
      <c r="C711" s="1" t="n">
        <v>45635</v>
      </c>
      <c r="D711" t="inlineStr">
        <is>
          <t>DALARNAS LÄN</t>
        </is>
      </c>
      <c r="E711" t="inlineStr">
        <is>
          <t>MALUNG-SÄLEN</t>
        </is>
      </c>
      <c r="G711" t="n">
        <v>3.6</v>
      </c>
      <c r="H711" t="n">
        <v>0</v>
      </c>
      <c r="I711" t="n">
        <v>0</v>
      </c>
      <c r="J711" t="n">
        <v>0</v>
      </c>
      <c r="K711" t="n">
        <v>0</v>
      </c>
      <c r="L711" t="n">
        <v>0</v>
      </c>
      <c r="M711" t="n">
        <v>0</v>
      </c>
      <c r="N711" t="n">
        <v>0</v>
      </c>
      <c r="O711" t="n">
        <v>0</v>
      </c>
      <c r="P711" t="n">
        <v>0</v>
      </c>
      <c r="Q711" t="n">
        <v>0</v>
      </c>
      <c r="R711" s="2" t="inlineStr"/>
    </row>
    <row r="712" ht="15" customHeight="1">
      <c r="A712" t="inlineStr">
        <is>
          <t>A 33087-2023</t>
        </is>
      </c>
      <c r="B712" s="1" t="n">
        <v>45114</v>
      </c>
      <c r="C712" s="1" t="n">
        <v>45635</v>
      </c>
      <c r="D712" t="inlineStr">
        <is>
          <t>DALARNAS LÄN</t>
        </is>
      </c>
      <c r="E712" t="inlineStr">
        <is>
          <t>MALUNG-SÄLEN</t>
        </is>
      </c>
      <c r="G712" t="n">
        <v>8</v>
      </c>
      <c r="H712" t="n">
        <v>0</v>
      </c>
      <c r="I712" t="n">
        <v>0</v>
      </c>
      <c r="J712" t="n">
        <v>0</v>
      </c>
      <c r="K712" t="n">
        <v>0</v>
      </c>
      <c r="L712" t="n">
        <v>0</v>
      </c>
      <c r="M712" t="n">
        <v>0</v>
      </c>
      <c r="N712" t="n">
        <v>0</v>
      </c>
      <c r="O712" t="n">
        <v>0</v>
      </c>
      <c r="P712" t="n">
        <v>0</v>
      </c>
      <c r="Q712" t="n">
        <v>0</v>
      </c>
      <c r="R712" s="2" t="inlineStr"/>
    </row>
    <row r="713" ht="15" customHeight="1">
      <c r="A713" t="inlineStr">
        <is>
          <t>A 31845-2023</t>
        </is>
      </c>
      <c r="B713" s="1" t="n">
        <v>45118</v>
      </c>
      <c r="C713" s="1" t="n">
        <v>45635</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31846-2023</t>
        </is>
      </c>
      <c r="B714" s="1" t="n">
        <v>45118</v>
      </c>
      <c r="C714" s="1" t="n">
        <v>45635</v>
      </c>
      <c r="D714" t="inlineStr">
        <is>
          <t>DALARNAS LÄN</t>
        </is>
      </c>
      <c r="E714" t="inlineStr">
        <is>
          <t>MALUNG-SÄLEN</t>
        </is>
      </c>
      <c r="G714" t="n">
        <v>6.9</v>
      </c>
      <c r="H714" t="n">
        <v>0</v>
      </c>
      <c r="I714" t="n">
        <v>0</v>
      </c>
      <c r="J714" t="n">
        <v>0</v>
      </c>
      <c r="K714" t="n">
        <v>0</v>
      </c>
      <c r="L714" t="n">
        <v>0</v>
      </c>
      <c r="M714" t="n">
        <v>0</v>
      </c>
      <c r="N714" t="n">
        <v>0</v>
      </c>
      <c r="O714" t="n">
        <v>0</v>
      </c>
      <c r="P714" t="n">
        <v>0</v>
      </c>
      <c r="Q714" t="n">
        <v>0</v>
      </c>
      <c r="R714" s="2" t="inlineStr"/>
    </row>
    <row r="715" ht="15" customHeight="1">
      <c r="A715" t="inlineStr">
        <is>
          <t>A 31886-2023</t>
        </is>
      </c>
      <c r="B715" s="1" t="n">
        <v>45118</v>
      </c>
      <c r="C715" s="1" t="n">
        <v>45635</v>
      </c>
      <c r="D715" t="inlineStr">
        <is>
          <t>DALARNAS LÄN</t>
        </is>
      </c>
      <c r="E715" t="inlineStr">
        <is>
          <t>MALUNG-SÄLEN</t>
        </is>
      </c>
      <c r="G715" t="n">
        <v>4.2</v>
      </c>
      <c r="H715" t="n">
        <v>0</v>
      </c>
      <c r="I715" t="n">
        <v>0</v>
      </c>
      <c r="J715" t="n">
        <v>0</v>
      </c>
      <c r="K715" t="n">
        <v>0</v>
      </c>
      <c r="L715" t="n">
        <v>0</v>
      </c>
      <c r="M715" t="n">
        <v>0</v>
      </c>
      <c r="N715" t="n">
        <v>0</v>
      </c>
      <c r="O715" t="n">
        <v>0</v>
      </c>
      <c r="P715" t="n">
        <v>0</v>
      </c>
      <c r="Q715" t="n">
        <v>0</v>
      </c>
      <c r="R715" s="2" t="inlineStr"/>
    </row>
    <row r="716" ht="15" customHeight="1">
      <c r="A716" t="inlineStr">
        <is>
          <t>A 32038-2023</t>
        </is>
      </c>
      <c r="B716" s="1" t="n">
        <v>45119</v>
      </c>
      <c r="C716" s="1" t="n">
        <v>45635</v>
      </c>
      <c r="D716" t="inlineStr">
        <is>
          <t>DALARNAS LÄN</t>
        </is>
      </c>
      <c r="E716" t="inlineStr">
        <is>
          <t>MALUNG-SÄLEN</t>
        </is>
      </c>
      <c r="G716" t="n">
        <v>0.7</v>
      </c>
      <c r="H716" t="n">
        <v>0</v>
      </c>
      <c r="I716" t="n">
        <v>0</v>
      </c>
      <c r="J716" t="n">
        <v>0</v>
      </c>
      <c r="K716" t="n">
        <v>0</v>
      </c>
      <c r="L716" t="n">
        <v>0</v>
      </c>
      <c r="M716" t="n">
        <v>0</v>
      </c>
      <c r="N716" t="n">
        <v>0</v>
      </c>
      <c r="O716" t="n">
        <v>0</v>
      </c>
      <c r="P716" t="n">
        <v>0</v>
      </c>
      <c r="Q716" t="n">
        <v>0</v>
      </c>
      <c r="R716" s="2" t="inlineStr"/>
    </row>
    <row r="717" ht="15" customHeight="1">
      <c r="A717" t="inlineStr">
        <is>
          <t>A 32602-2023</t>
        </is>
      </c>
      <c r="B717" s="1" t="n">
        <v>45121</v>
      </c>
      <c r="C717" s="1" t="n">
        <v>45635</v>
      </c>
      <c r="D717" t="inlineStr">
        <is>
          <t>DALARNAS LÄN</t>
        </is>
      </c>
      <c r="E717" t="inlineStr">
        <is>
          <t>MALUNG-SÄLEN</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32603-2023</t>
        </is>
      </c>
      <c r="B718" s="1" t="n">
        <v>45121</v>
      </c>
      <c r="C718" s="1" t="n">
        <v>45635</v>
      </c>
      <c r="D718" t="inlineStr">
        <is>
          <t>DALARNAS LÄN</t>
        </is>
      </c>
      <c r="E718" t="inlineStr">
        <is>
          <t>MALUNG-SÄLEN</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33367-2023</t>
        </is>
      </c>
      <c r="B719" s="1" t="n">
        <v>45128</v>
      </c>
      <c r="C719" s="1" t="n">
        <v>45635</v>
      </c>
      <c r="D719" t="inlineStr">
        <is>
          <t>DALARNAS LÄN</t>
        </is>
      </c>
      <c r="E719" t="inlineStr">
        <is>
          <t>MALUNG-SÄLEN</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33372-2023</t>
        </is>
      </c>
      <c r="B720" s="1" t="n">
        <v>45128</v>
      </c>
      <c r="C720" s="1" t="n">
        <v>45635</v>
      </c>
      <c r="D720" t="inlineStr">
        <is>
          <t>DALARNAS LÄN</t>
        </is>
      </c>
      <c r="E720" t="inlineStr">
        <is>
          <t>MALUNG-SÄLEN</t>
        </is>
      </c>
      <c r="F720" t="inlineStr">
        <is>
          <t>Kommuner</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33369-2023</t>
        </is>
      </c>
      <c r="B721" s="1" t="n">
        <v>45128</v>
      </c>
      <c r="C721" s="1" t="n">
        <v>45635</v>
      </c>
      <c r="D721" t="inlineStr">
        <is>
          <t>DALARNAS LÄN</t>
        </is>
      </c>
      <c r="E721" t="inlineStr">
        <is>
          <t>MALUNG-SÄLEN</t>
        </is>
      </c>
      <c r="F721" t="inlineStr">
        <is>
          <t>Kommuner</t>
        </is>
      </c>
      <c r="G721" t="n">
        <v>8.1</v>
      </c>
      <c r="H721" t="n">
        <v>0</v>
      </c>
      <c r="I721" t="n">
        <v>0</v>
      </c>
      <c r="J721" t="n">
        <v>0</v>
      </c>
      <c r="K721" t="n">
        <v>0</v>
      </c>
      <c r="L721" t="n">
        <v>0</v>
      </c>
      <c r="M721" t="n">
        <v>0</v>
      </c>
      <c r="N721" t="n">
        <v>0</v>
      </c>
      <c r="O721" t="n">
        <v>0</v>
      </c>
      <c r="P721" t="n">
        <v>0</v>
      </c>
      <c r="Q721" t="n">
        <v>0</v>
      </c>
      <c r="R721" s="2" t="inlineStr"/>
    </row>
    <row r="722" ht="15" customHeight="1">
      <c r="A722" t="inlineStr">
        <is>
          <t>A 33374-2023</t>
        </is>
      </c>
      <c r="B722" s="1" t="n">
        <v>45128</v>
      </c>
      <c r="C722" s="1" t="n">
        <v>45635</v>
      </c>
      <c r="D722" t="inlineStr">
        <is>
          <t>DALARNAS LÄN</t>
        </is>
      </c>
      <c r="E722" t="inlineStr">
        <is>
          <t>MALUNG-SÄLEN</t>
        </is>
      </c>
      <c r="F722" t="inlineStr">
        <is>
          <t>Kommuner</t>
        </is>
      </c>
      <c r="G722" t="n">
        <v>5.4</v>
      </c>
      <c r="H722" t="n">
        <v>0</v>
      </c>
      <c r="I722" t="n">
        <v>0</v>
      </c>
      <c r="J722" t="n">
        <v>0</v>
      </c>
      <c r="K722" t="n">
        <v>0</v>
      </c>
      <c r="L722" t="n">
        <v>0</v>
      </c>
      <c r="M722" t="n">
        <v>0</v>
      </c>
      <c r="N722" t="n">
        <v>0</v>
      </c>
      <c r="O722" t="n">
        <v>0</v>
      </c>
      <c r="P722" t="n">
        <v>0</v>
      </c>
      <c r="Q722" t="n">
        <v>0</v>
      </c>
      <c r="R722" s="2" t="inlineStr"/>
    </row>
    <row r="723" ht="15" customHeight="1">
      <c r="A723" t="inlineStr">
        <is>
          <t>A 33375-2023</t>
        </is>
      </c>
      <c r="B723" s="1" t="n">
        <v>45128</v>
      </c>
      <c r="C723" s="1" t="n">
        <v>45635</v>
      </c>
      <c r="D723" t="inlineStr">
        <is>
          <t>DALARNAS LÄN</t>
        </is>
      </c>
      <c r="E723" t="inlineStr">
        <is>
          <t>MALUNG-SÄLEN</t>
        </is>
      </c>
      <c r="F723" t="inlineStr">
        <is>
          <t>Kommuner</t>
        </is>
      </c>
      <c r="G723" t="n">
        <v>10.8</v>
      </c>
      <c r="H723" t="n">
        <v>0</v>
      </c>
      <c r="I723" t="n">
        <v>0</v>
      </c>
      <c r="J723" t="n">
        <v>0</v>
      </c>
      <c r="K723" t="n">
        <v>0</v>
      </c>
      <c r="L723" t="n">
        <v>0</v>
      </c>
      <c r="M723" t="n">
        <v>0</v>
      </c>
      <c r="N723" t="n">
        <v>0</v>
      </c>
      <c r="O723" t="n">
        <v>0</v>
      </c>
      <c r="P723" t="n">
        <v>0</v>
      </c>
      <c r="Q723" t="n">
        <v>0</v>
      </c>
      <c r="R723" s="2" t="inlineStr"/>
    </row>
    <row r="724" ht="15" customHeight="1">
      <c r="A724" t="inlineStr">
        <is>
          <t>A 33371-2023</t>
        </is>
      </c>
      <c r="B724" s="1" t="n">
        <v>45128</v>
      </c>
      <c r="C724" s="1" t="n">
        <v>45635</v>
      </c>
      <c r="D724" t="inlineStr">
        <is>
          <t>DALARNAS LÄN</t>
        </is>
      </c>
      <c r="E724" t="inlineStr">
        <is>
          <t>MALUNG-SÄLEN</t>
        </is>
      </c>
      <c r="F724" t="inlineStr">
        <is>
          <t>Kommuner</t>
        </is>
      </c>
      <c r="G724" t="n">
        <v>9.1</v>
      </c>
      <c r="H724" t="n">
        <v>0</v>
      </c>
      <c r="I724" t="n">
        <v>0</v>
      </c>
      <c r="J724" t="n">
        <v>0</v>
      </c>
      <c r="K724" t="n">
        <v>0</v>
      </c>
      <c r="L724" t="n">
        <v>0</v>
      </c>
      <c r="M724" t="n">
        <v>0</v>
      </c>
      <c r="N724" t="n">
        <v>0</v>
      </c>
      <c r="O724" t="n">
        <v>0</v>
      </c>
      <c r="P724" t="n">
        <v>0</v>
      </c>
      <c r="Q724" t="n">
        <v>0</v>
      </c>
      <c r="R724" s="2" t="inlineStr"/>
    </row>
    <row r="725" ht="15" customHeight="1">
      <c r="A725" t="inlineStr">
        <is>
          <t>A 33904-2023</t>
        </is>
      </c>
      <c r="B725" s="1" t="n">
        <v>45134</v>
      </c>
      <c r="C725" s="1" t="n">
        <v>45635</v>
      </c>
      <c r="D725" t="inlineStr">
        <is>
          <t>DALARNAS LÄN</t>
        </is>
      </c>
      <c r="E725" t="inlineStr">
        <is>
          <t>MALUNG-SÄLEN</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34332-2023</t>
        </is>
      </c>
      <c r="B726" s="1" t="n">
        <v>45139</v>
      </c>
      <c r="C726" s="1" t="n">
        <v>45635</v>
      </c>
      <c r="D726" t="inlineStr">
        <is>
          <t>DALARNAS LÄN</t>
        </is>
      </c>
      <c r="E726" t="inlineStr">
        <is>
          <t>MALUNG-SÄLEN</t>
        </is>
      </c>
      <c r="G726" t="n">
        <v>17</v>
      </c>
      <c r="H726" t="n">
        <v>0</v>
      </c>
      <c r="I726" t="n">
        <v>0</v>
      </c>
      <c r="J726" t="n">
        <v>0</v>
      </c>
      <c r="K726" t="n">
        <v>0</v>
      </c>
      <c r="L726" t="n">
        <v>0</v>
      </c>
      <c r="M726" t="n">
        <v>0</v>
      </c>
      <c r="N726" t="n">
        <v>0</v>
      </c>
      <c r="O726" t="n">
        <v>0</v>
      </c>
      <c r="P726" t="n">
        <v>0</v>
      </c>
      <c r="Q726" t="n">
        <v>0</v>
      </c>
      <c r="R726" s="2" t="inlineStr"/>
    </row>
    <row r="727" ht="15" customHeight="1">
      <c r="A727" t="inlineStr">
        <is>
          <t>A 34331-2023</t>
        </is>
      </c>
      <c r="B727" s="1" t="n">
        <v>45139</v>
      </c>
      <c r="C727" s="1" t="n">
        <v>45635</v>
      </c>
      <c r="D727" t="inlineStr">
        <is>
          <t>DALARNAS LÄN</t>
        </is>
      </c>
      <c r="E727" t="inlineStr">
        <is>
          <t>MALUNG-SÄLEN</t>
        </is>
      </c>
      <c r="G727" t="n">
        <v>12.3</v>
      </c>
      <c r="H727" t="n">
        <v>0</v>
      </c>
      <c r="I727" t="n">
        <v>0</v>
      </c>
      <c r="J727" t="n">
        <v>0</v>
      </c>
      <c r="K727" t="n">
        <v>0</v>
      </c>
      <c r="L727" t="n">
        <v>0</v>
      </c>
      <c r="M727" t="n">
        <v>0</v>
      </c>
      <c r="N727" t="n">
        <v>0</v>
      </c>
      <c r="O727" t="n">
        <v>0</v>
      </c>
      <c r="P727" t="n">
        <v>0</v>
      </c>
      <c r="Q727" t="n">
        <v>0</v>
      </c>
      <c r="R727" s="2" t="inlineStr"/>
    </row>
    <row r="728" ht="15" customHeight="1">
      <c r="A728" t="inlineStr">
        <is>
          <t>A 35498-2023</t>
        </is>
      </c>
      <c r="B728" s="1" t="n">
        <v>45146</v>
      </c>
      <c r="C728" s="1" t="n">
        <v>45635</v>
      </c>
      <c r="D728" t="inlineStr">
        <is>
          <t>DALARNAS LÄN</t>
        </is>
      </c>
      <c r="E728" t="inlineStr">
        <is>
          <t>MALUNG-SÄLEN</t>
        </is>
      </c>
      <c r="G728" t="n">
        <v>1.1</v>
      </c>
      <c r="H728" t="n">
        <v>0</v>
      </c>
      <c r="I728" t="n">
        <v>0</v>
      </c>
      <c r="J728" t="n">
        <v>0</v>
      </c>
      <c r="K728" t="n">
        <v>0</v>
      </c>
      <c r="L728" t="n">
        <v>0</v>
      </c>
      <c r="M728" t="n">
        <v>0</v>
      </c>
      <c r="N728" t="n">
        <v>0</v>
      </c>
      <c r="O728" t="n">
        <v>0</v>
      </c>
      <c r="P728" t="n">
        <v>0</v>
      </c>
      <c r="Q728" t="n">
        <v>0</v>
      </c>
      <c r="R728" s="2" t="inlineStr"/>
    </row>
    <row r="729" ht="15" customHeight="1">
      <c r="A729" t="inlineStr">
        <is>
          <t>A 36024-2023</t>
        </is>
      </c>
      <c r="B729" s="1" t="n">
        <v>45149</v>
      </c>
      <c r="C729" s="1" t="n">
        <v>45635</v>
      </c>
      <c r="D729" t="inlineStr">
        <is>
          <t>DALARNAS LÄN</t>
        </is>
      </c>
      <c r="E729" t="inlineStr">
        <is>
          <t>MALUNG-SÄLEN</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36338-2023</t>
        </is>
      </c>
      <c r="B730" s="1" t="n">
        <v>45152</v>
      </c>
      <c r="C730" s="1" t="n">
        <v>45635</v>
      </c>
      <c r="D730" t="inlineStr">
        <is>
          <t>DALARNAS LÄN</t>
        </is>
      </c>
      <c r="E730" t="inlineStr">
        <is>
          <t>MALUNG-SÄLEN</t>
        </is>
      </c>
      <c r="F730" t="inlineStr">
        <is>
          <t>Kommuner</t>
        </is>
      </c>
      <c r="G730" t="n">
        <v>22.9</v>
      </c>
      <c r="H730" t="n">
        <v>0</v>
      </c>
      <c r="I730" t="n">
        <v>0</v>
      </c>
      <c r="J730" t="n">
        <v>0</v>
      </c>
      <c r="K730" t="n">
        <v>0</v>
      </c>
      <c r="L730" t="n">
        <v>0</v>
      </c>
      <c r="M730" t="n">
        <v>0</v>
      </c>
      <c r="N730" t="n">
        <v>0</v>
      </c>
      <c r="O730" t="n">
        <v>0</v>
      </c>
      <c r="P730" t="n">
        <v>0</v>
      </c>
      <c r="Q730" t="n">
        <v>0</v>
      </c>
      <c r="R730" s="2" t="inlineStr"/>
    </row>
    <row r="731" ht="15" customHeight="1">
      <c r="A731" t="inlineStr">
        <is>
          <t>A 36466-2023</t>
        </is>
      </c>
      <c r="B731" s="1" t="n">
        <v>45152</v>
      </c>
      <c r="C731" s="1" t="n">
        <v>45635</v>
      </c>
      <c r="D731" t="inlineStr">
        <is>
          <t>DALARNAS LÄN</t>
        </is>
      </c>
      <c r="E731" t="inlineStr">
        <is>
          <t>MALUNG-SÄLEN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36539-2023</t>
        </is>
      </c>
      <c r="B732" s="1" t="n">
        <v>45153</v>
      </c>
      <c r="C732" s="1" t="n">
        <v>45635</v>
      </c>
      <c r="D732" t="inlineStr">
        <is>
          <t>DALARNAS LÄN</t>
        </is>
      </c>
      <c r="E732" t="inlineStr">
        <is>
          <t>MALUNG-SÄLEN</t>
        </is>
      </c>
      <c r="G732" t="n">
        <v>4.6</v>
      </c>
      <c r="H732" t="n">
        <v>0</v>
      </c>
      <c r="I732" t="n">
        <v>0</v>
      </c>
      <c r="J732" t="n">
        <v>0</v>
      </c>
      <c r="K732" t="n">
        <v>0</v>
      </c>
      <c r="L732" t="n">
        <v>0</v>
      </c>
      <c r="M732" t="n">
        <v>0</v>
      </c>
      <c r="N732" t="n">
        <v>0</v>
      </c>
      <c r="O732" t="n">
        <v>0</v>
      </c>
      <c r="P732" t="n">
        <v>0</v>
      </c>
      <c r="Q732" t="n">
        <v>0</v>
      </c>
      <c r="R732" s="2" t="inlineStr"/>
    </row>
    <row r="733" ht="15" customHeight="1">
      <c r="A733" t="inlineStr">
        <is>
          <t>A 37872-2023</t>
        </is>
      </c>
      <c r="B733" s="1" t="n">
        <v>45160</v>
      </c>
      <c r="C733" s="1" t="n">
        <v>45635</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38029-2023</t>
        </is>
      </c>
      <c r="B734" s="1" t="n">
        <v>45160</v>
      </c>
      <c r="C734" s="1" t="n">
        <v>45635</v>
      </c>
      <c r="D734" t="inlineStr">
        <is>
          <t>DALARNAS LÄN</t>
        </is>
      </c>
      <c r="E734" t="inlineStr">
        <is>
          <t>MALUNG-SÄLEN</t>
        </is>
      </c>
      <c r="G734" t="n">
        <v>1</v>
      </c>
      <c r="H734" t="n">
        <v>0</v>
      </c>
      <c r="I734" t="n">
        <v>0</v>
      </c>
      <c r="J734" t="n">
        <v>0</v>
      </c>
      <c r="K734" t="n">
        <v>0</v>
      </c>
      <c r="L734" t="n">
        <v>0</v>
      </c>
      <c r="M734" t="n">
        <v>0</v>
      </c>
      <c r="N734" t="n">
        <v>0</v>
      </c>
      <c r="O734" t="n">
        <v>0</v>
      </c>
      <c r="P734" t="n">
        <v>0</v>
      </c>
      <c r="Q734" t="n">
        <v>0</v>
      </c>
      <c r="R734" s="2" t="inlineStr"/>
    </row>
    <row r="735" ht="15" customHeight="1">
      <c r="A735" t="inlineStr">
        <is>
          <t>A 38543-2023</t>
        </is>
      </c>
      <c r="B735" s="1" t="n">
        <v>45162</v>
      </c>
      <c r="C735" s="1" t="n">
        <v>45635</v>
      </c>
      <c r="D735" t="inlineStr">
        <is>
          <t>DALARNAS LÄN</t>
        </is>
      </c>
      <c r="E735" t="inlineStr">
        <is>
          <t>MALUNG-SÄLEN</t>
        </is>
      </c>
      <c r="F735" t="inlineStr">
        <is>
          <t>Bergvik skog öst AB</t>
        </is>
      </c>
      <c r="G735" t="n">
        <v>5</v>
      </c>
      <c r="H735" t="n">
        <v>0</v>
      </c>
      <c r="I735" t="n">
        <v>0</v>
      </c>
      <c r="J735" t="n">
        <v>0</v>
      </c>
      <c r="K735" t="n">
        <v>0</v>
      </c>
      <c r="L735" t="n">
        <v>0</v>
      </c>
      <c r="M735" t="n">
        <v>0</v>
      </c>
      <c r="N735" t="n">
        <v>0</v>
      </c>
      <c r="O735" t="n">
        <v>0</v>
      </c>
      <c r="P735" t="n">
        <v>0</v>
      </c>
      <c r="Q735" t="n">
        <v>0</v>
      </c>
      <c r="R735" s="2" t="inlineStr"/>
    </row>
    <row r="736" ht="15" customHeight="1">
      <c r="A736" t="inlineStr">
        <is>
          <t>A 38560-2023</t>
        </is>
      </c>
      <c r="B736" s="1" t="n">
        <v>45162</v>
      </c>
      <c r="C736" s="1" t="n">
        <v>45635</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38569-2023</t>
        </is>
      </c>
      <c r="B737" s="1" t="n">
        <v>45162</v>
      </c>
      <c r="C737" s="1" t="n">
        <v>45635</v>
      </c>
      <c r="D737" t="inlineStr">
        <is>
          <t>DALARNAS LÄN</t>
        </is>
      </c>
      <c r="E737" t="inlineStr">
        <is>
          <t>MALUNG-SÄLEN</t>
        </is>
      </c>
      <c r="F737" t="inlineStr">
        <is>
          <t>Bergvik skog öst AB</t>
        </is>
      </c>
      <c r="G737" t="n">
        <v>3.1</v>
      </c>
      <c r="H737" t="n">
        <v>0</v>
      </c>
      <c r="I737" t="n">
        <v>0</v>
      </c>
      <c r="J737" t="n">
        <v>0</v>
      </c>
      <c r="K737" t="n">
        <v>0</v>
      </c>
      <c r="L737" t="n">
        <v>0</v>
      </c>
      <c r="M737" t="n">
        <v>0</v>
      </c>
      <c r="N737" t="n">
        <v>0</v>
      </c>
      <c r="O737" t="n">
        <v>0</v>
      </c>
      <c r="P737" t="n">
        <v>0</v>
      </c>
      <c r="Q737" t="n">
        <v>0</v>
      </c>
      <c r="R737" s="2" t="inlineStr"/>
    </row>
    <row r="738" ht="15" customHeight="1">
      <c r="A738" t="inlineStr">
        <is>
          <t>A 38823-2023</t>
        </is>
      </c>
      <c r="B738" s="1" t="n">
        <v>45163</v>
      </c>
      <c r="C738" s="1" t="n">
        <v>45635</v>
      </c>
      <c r="D738" t="inlineStr">
        <is>
          <t>DALARNAS LÄN</t>
        </is>
      </c>
      <c r="E738" t="inlineStr">
        <is>
          <t>MALUNG-SÄLEN</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38791-2023</t>
        </is>
      </c>
      <c r="B739" s="1" t="n">
        <v>45163</v>
      </c>
      <c r="C739" s="1" t="n">
        <v>45635</v>
      </c>
      <c r="D739" t="inlineStr">
        <is>
          <t>DALARNAS LÄN</t>
        </is>
      </c>
      <c r="E739" t="inlineStr">
        <is>
          <t>MALUNG-SÄLEN</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38817-2023</t>
        </is>
      </c>
      <c r="B740" s="1" t="n">
        <v>45163</v>
      </c>
      <c r="C740" s="1" t="n">
        <v>45635</v>
      </c>
      <c r="D740" t="inlineStr">
        <is>
          <t>DALARNAS LÄN</t>
        </is>
      </c>
      <c r="E740" t="inlineStr">
        <is>
          <t>MALUNG-SÄLEN</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39588-2023</t>
        </is>
      </c>
      <c r="B741" s="1" t="n">
        <v>45167</v>
      </c>
      <c r="C741" s="1" t="n">
        <v>45635</v>
      </c>
      <c r="D741" t="inlineStr">
        <is>
          <t>DALARNAS LÄN</t>
        </is>
      </c>
      <c r="E741" t="inlineStr">
        <is>
          <t>MALUNG-SÄLEN</t>
        </is>
      </c>
      <c r="F741" t="inlineStr">
        <is>
          <t>Bergvik skog öst AB</t>
        </is>
      </c>
      <c r="G741" t="n">
        <v>6.6</v>
      </c>
      <c r="H741" t="n">
        <v>0</v>
      </c>
      <c r="I741" t="n">
        <v>0</v>
      </c>
      <c r="J741" t="n">
        <v>0</v>
      </c>
      <c r="K741" t="n">
        <v>0</v>
      </c>
      <c r="L741" t="n">
        <v>0</v>
      </c>
      <c r="M741" t="n">
        <v>0</v>
      </c>
      <c r="N741" t="n">
        <v>0</v>
      </c>
      <c r="O741" t="n">
        <v>0</v>
      </c>
      <c r="P741" t="n">
        <v>0</v>
      </c>
      <c r="Q741" t="n">
        <v>0</v>
      </c>
      <c r="R741" s="2" t="inlineStr"/>
    </row>
    <row r="742" ht="15" customHeight="1">
      <c r="A742" t="inlineStr">
        <is>
          <t>A 39982-2023</t>
        </is>
      </c>
      <c r="B742" s="1" t="n">
        <v>45168</v>
      </c>
      <c r="C742" s="1" t="n">
        <v>45635</v>
      </c>
      <c r="D742" t="inlineStr">
        <is>
          <t>DALARNAS LÄN</t>
        </is>
      </c>
      <c r="E742" t="inlineStr">
        <is>
          <t>MALUNG-SÄLEN</t>
        </is>
      </c>
      <c r="G742" t="n">
        <v>0.2</v>
      </c>
      <c r="H742" t="n">
        <v>0</v>
      </c>
      <c r="I742" t="n">
        <v>0</v>
      </c>
      <c r="J742" t="n">
        <v>0</v>
      </c>
      <c r="K742" t="n">
        <v>0</v>
      </c>
      <c r="L742" t="n">
        <v>0</v>
      </c>
      <c r="M742" t="n">
        <v>0</v>
      </c>
      <c r="N742" t="n">
        <v>0</v>
      </c>
      <c r="O742" t="n">
        <v>0</v>
      </c>
      <c r="P742" t="n">
        <v>0</v>
      </c>
      <c r="Q742" t="n">
        <v>0</v>
      </c>
      <c r="R742" s="2" t="inlineStr"/>
    </row>
    <row r="743" ht="15" customHeight="1">
      <c r="A743" t="inlineStr">
        <is>
          <t>A 39986-2023</t>
        </is>
      </c>
      <c r="B743" s="1" t="n">
        <v>45168</v>
      </c>
      <c r="C743" s="1" t="n">
        <v>45635</v>
      </c>
      <c r="D743" t="inlineStr">
        <is>
          <t>DALARNAS LÄN</t>
        </is>
      </c>
      <c r="E743" t="inlineStr">
        <is>
          <t>MALUNG-SÄLEN</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39976-2023</t>
        </is>
      </c>
      <c r="B744" s="1" t="n">
        <v>45168</v>
      </c>
      <c r="C744" s="1" t="n">
        <v>45635</v>
      </c>
      <c r="D744" t="inlineStr">
        <is>
          <t>DALARNAS LÄN</t>
        </is>
      </c>
      <c r="E744" t="inlineStr">
        <is>
          <t>MALUNG-SÄLEN</t>
        </is>
      </c>
      <c r="G744" t="n">
        <v>2.2</v>
      </c>
      <c r="H744" t="n">
        <v>0</v>
      </c>
      <c r="I744" t="n">
        <v>0</v>
      </c>
      <c r="J744" t="n">
        <v>0</v>
      </c>
      <c r="K744" t="n">
        <v>0</v>
      </c>
      <c r="L744" t="n">
        <v>0</v>
      </c>
      <c r="M744" t="n">
        <v>0</v>
      </c>
      <c r="N744" t="n">
        <v>0</v>
      </c>
      <c r="O744" t="n">
        <v>0</v>
      </c>
      <c r="P744" t="n">
        <v>0</v>
      </c>
      <c r="Q744" t="n">
        <v>0</v>
      </c>
      <c r="R744" s="2" t="inlineStr"/>
    </row>
    <row r="745" ht="15" customHeight="1">
      <c r="A745" t="inlineStr">
        <is>
          <t>A 40198-2023</t>
        </is>
      </c>
      <c r="B745" s="1" t="n">
        <v>45169</v>
      </c>
      <c r="C745" s="1" t="n">
        <v>45635</v>
      </c>
      <c r="D745" t="inlineStr">
        <is>
          <t>DALARNAS LÄN</t>
        </is>
      </c>
      <c r="E745" t="inlineStr">
        <is>
          <t>MALUNG-SÄLEN</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40227-2023</t>
        </is>
      </c>
      <c r="B746" s="1" t="n">
        <v>45169</v>
      </c>
      <c r="C746" s="1" t="n">
        <v>45635</v>
      </c>
      <c r="D746" t="inlineStr">
        <is>
          <t>DALARNAS LÄN</t>
        </is>
      </c>
      <c r="E746" t="inlineStr">
        <is>
          <t>MALUNG-SÄLEN</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40236-2023</t>
        </is>
      </c>
      <c r="B747" s="1" t="n">
        <v>45169</v>
      </c>
      <c r="C747" s="1" t="n">
        <v>45635</v>
      </c>
      <c r="D747" t="inlineStr">
        <is>
          <t>DALARNAS LÄN</t>
        </is>
      </c>
      <c r="E747" t="inlineStr">
        <is>
          <t>MALUNG-SÄLEN</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40694-2023</t>
        </is>
      </c>
      <c r="B748" s="1" t="n">
        <v>45170</v>
      </c>
      <c r="C748" s="1" t="n">
        <v>45635</v>
      </c>
      <c r="D748" t="inlineStr">
        <is>
          <t>DALARNAS LÄN</t>
        </is>
      </c>
      <c r="E748" t="inlineStr">
        <is>
          <t>MALUNG-SÄLEN</t>
        </is>
      </c>
      <c r="F748" t="inlineStr">
        <is>
          <t>Allmännings- och besparingsskogar</t>
        </is>
      </c>
      <c r="G748" t="n">
        <v>19</v>
      </c>
      <c r="H748" t="n">
        <v>0</v>
      </c>
      <c r="I748" t="n">
        <v>0</v>
      </c>
      <c r="J748" t="n">
        <v>0</v>
      </c>
      <c r="K748" t="n">
        <v>0</v>
      </c>
      <c r="L748" t="n">
        <v>0</v>
      </c>
      <c r="M748" t="n">
        <v>0</v>
      </c>
      <c r="N748" t="n">
        <v>0</v>
      </c>
      <c r="O748" t="n">
        <v>0</v>
      </c>
      <c r="P748" t="n">
        <v>0</v>
      </c>
      <c r="Q748" t="n">
        <v>0</v>
      </c>
      <c r="R748" s="2" t="inlineStr"/>
    </row>
    <row r="749" ht="15" customHeight="1">
      <c r="A749" t="inlineStr">
        <is>
          <t>A 40704-2023</t>
        </is>
      </c>
      <c r="B749" s="1" t="n">
        <v>45170</v>
      </c>
      <c r="C749" s="1" t="n">
        <v>45635</v>
      </c>
      <c r="D749" t="inlineStr">
        <is>
          <t>DALARNAS LÄN</t>
        </is>
      </c>
      <c r="E749" t="inlineStr">
        <is>
          <t>MALUNG-SÄLEN</t>
        </is>
      </c>
      <c r="F749" t="inlineStr">
        <is>
          <t>Allmännings- och besparingsskogar</t>
        </is>
      </c>
      <c r="G749" t="n">
        <v>27.9</v>
      </c>
      <c r="H749" t="n">
        <v>0</v>
      </c>
      <c r="I749" t="n">
        <v>0</v>
      </c>
      <c r="J749" t="n">
        <v>0</v>
      </c>
      <c r="K749" t="n">
        <v>0</v>
      </c>
      <c r="L749" t="n">
        <v>0</v>
      </c>
      <c r="M749" t="n">
        <v>0</v>
      </c>
      <c r="N749" t="n">
        <v>0</v>
      </c>
      <c r="O749" t="n">
        <v>0</v>
      </c>
      <c r="P749" t="n">
        <v>0</v>
      </c>
      <c r="Q749" t="n">
        <v>0</v>
      </c>
      <c r="R749" s="2" t="inlineStr"/>
    </row>
    <row r="750" ht="15" customHeight="1">
      <c r="A750" t="inlineStr">
        <is>
          <t>A 40670-2023</t>
        </is>
      </c>
      <c r="B750" s="1" t="n">
        <v>45170</v>
      </c>
      <c r="C750" s="1" t="n">
        <v>45635</v>
      </c>
      <c r="D750" t="inlineStr">
        <is>
          <t>DALARNAS LÄN</t>
        </is>
      </c>
      <c r="E750" t="inlineStr">
        <is>
          <t>MALUNG-SÄLEN</t>
        </is>
      </c>
      <c r="F750" t="inlineStr">
        <is>
          <t>Allmännings- och besparingsskogar</t>
        </is>
      </c>
      <c r="G750" t="n">
        <v>30.4</v>
      </c>
      <c r="H750" t="n">
        <v>0</v>
      </c>
      <c r="I750" t="n">
        <v>0</v>
      </c>
      <c r="J750" t="n">
        <v>0</v>
      </c>
      <c r="K750" t="n">
        <v>0</v>
      </c>
      <c r="L750" t="n">
        <v>0</v>
      </c>
      <c r="M750" t="n">
        <v>0</v>
      </c>
      <c r="N750" t="n">
        <v>0</v>
      </c>
      <c r="O750" t="n">
        <v>0</v>
      </c>
      <c r="P750" t="n">
        <v>0</v>
      </c>
      <c r="Q750" t="n">
        <v>0</v>
      </c>
      <c r="R750" s="2" t="inlineStr"/>
    </row>
    <row r="751" ht="15" customHeight="1">
      <c r="A751" t="inlineStr">
        <is>
          <t>A 40967-2023</t>
        </is>
      </c>
      <c r="B751" s="1" t="n">
        <v>45173</v>
      </c>
      <c r="C751" s="1" t="n">
        <v>45635</v>
      </c>
      <c r="D751" t="inlineStr">
        <is>
          <t>DALARNAS LÄN</t>
        </is>
      </c>
      <c r="E751" t="inlineStr">
        <is>
          <t>MALUNG-SÄLEN</t>
        </is>
      </c>
      <c r="G751" t="n">
        <v>0.6</v>
      </c>
      <c r="H751" t="n">
        <v>0</v>
      </c>
      <c r="I751" t="n">
        <v>0</v>
      </c>
      <c r="J751" t="n">
        <v>0</v>
      </c>
      <c r="K751" t="n">
        <v>0</v>
      </c>
      <c r="L751" t="n">
        <v>0</v>
      </c>
      <c r="M751" t="n">
        <v>0</v>
      </c>
      <c r="N751" t="n">
        <v>0</v>
      </c>
      <c r="O751" t="n">
        <v>0</v>
      </c>
      <c r="P751" t="n">
        <v>0</v>
      </c>
      <c r="Q751" t="n">
        <v>0</v>
      </c>
      <c r="R751" s="2" t="inlineStr"/>
    </row>
    <row r="752" ht="15" customHeight="1">
      <c r="A752" t="inlineStr">
        <is>
          <t>A 41007-2023</t>
        </is>
      </c>
      <c r="B752" s="1" t="n">
        <v>45173</v>
      </c>
      <c r="C752" s="1" t="n">
        <v>45635</v>
      </c>
      <c r="D752" t="inlineStr">
        <is>
          <t>DALARNAS LÄN</t>
        </is>
      </c>
      <c r="E752" t="inlineStr">
        <is>
          <t>MALUNG-SÄLEN</t>
        </is>
      </c>
      <c r="G752" t="n">
        <v>2.5</v>
      </c>
      <c r="H752" t="n">
        <v>0</v>
      </c>
      <c r="I752" t="n">
        <v>0</v>
      </c>
      <c r="J752" t="n">
        <v>0</v>
      </c>
      <c r="K752" t="n">
        <v>0</v>
      </c>
      <c r="L752" t="n">
        <v>0</v>
      </c>
      <c r="M752" t="n">
        <v>0</v>
      </c>
      <c r="N752" t="n">
        <v>0</v>
      </c>
      <c r="O752" t="n">
        <v>0</v>
      </c>
      <c r="P752" t="n">
        <v>0</v>
      </c>
      <c r="Q752" t="n">
        <v>0</v>
      </c>
      <c r="R752" s="2" t="inlineStr"/>
    </row>
    <row r="753" ht="15" customHeight="1">
      <c r="A753" t="inlineStr">
        <is>
          <t>A 41066-2023</t>
        </is>
      </c>
      <c r="B753" s="1" t="n">
        <v>45173</v>
      </c>
      <c r="C753" s="1" t="n">
        <v>45635</v>
      </c>
      <c r="D753" t="inlineStr">
        <is>
          <t>DALARNAS LÄN</t>
        </is>
      </c>
      <c r="E753" t="inlineStr">
        <is>
          <t>MALUNG-SÄLEN</t>
        </is>
      </c>
      <c r="G753" t="n">
        <v>10.6</v>
      </c>
      <c r="H753" t="n">
        <v>0</v>
      </c>
      <c r="I753" t="n">
        <v>0</v>
      </c>
      <c r="J753" t="n">
        <v>0</v>
      </c>
      <c r="K753" t="n">
        <v>0</v>
      </c>
      <c r="L753" t="n">
        <v>0</v>
      </c>
      <c r="M753" t="n">
        <v>0</v>
      </c>
      <c r="N753" t="n">
        <v>0</v>
      </c>
      <c r="O753" t="n">
        <v>0</v>
      </c>
      <c r="P753" t="n">
        <v>0</v>
      </c>
      <c r="Q753" t="n">
        <v>0</v>
      </c>
      <c r="R753" s="2" t="inlineStr"/>
    </row>
    <row r="754" ht="15" customHeight="1">
      <c r="A754" t="inlineStr">
        <is>
          <t>A 41077-2023</t>
        </is>
      </c>
      <c r="B754" s="1" t="n">
        <v>45173</v>
      </c>
      <c r="C754" s="1" t="n">
        <v>45635</v>
      </c>
      <c r="D754" t="inlineStr">
        <is>
          <t>DALARNAS LÄN</t>
        </is>
      </c>
      <c r="E754" t="inlineStr">
        <is>
          <t>MALUNG-SÄLEN</t>
        </is>
      </c>
      <c r="G754" t="n">
        <v>12.4</v>
      </c>
      <c r="H754" t="n">
        <v>0</v>
      </c>
      <c r="I754" t="n">
        <v>0</v>
      </c>
      <c r="J754" t="n">
        <v>0</v>
      </c>
      <c r="K754" t="n">
        <v>0</v>
      </c>
      <c r="L754" t="n">
        <v>0</v>
      </c>
      <c r="M754" t="n">
        <v>0</v>
      </c>
      <c r="N754" t="n">
        <v>0</v>
      </c>
      <c r="O754" t="n">
        <v>0</v>
      </c>
      <c r="P754" t="n">
        <v>0</v>
      </c>
      <c r="Q754" t="n">
        <v>0</v>
      </c>
      <c r="R754" s="2" t="inlineStr"/>
    </row>
    <row r="755" ht="15" customHeight="1">
      <c r="A755" t="inlineStr">
        <is>
          <t>A 40964-2023</t>
        </is>
      </c>
      <c r="B755" s="1" t="n">
        <v>45173</v>
      </c>
      <c r="C755" s="1" t="n">
        <v>45635</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41416-2023</t>
        </is>
      </c>
      <c r="B756" s="1" t="n">
        <v>45175</v>
      </c>
      <c r="C756" s="1" t="n">
        <v>45635</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41596-2023</t>
        </is>
      </c>
      <c r="B757" s="1" t="n">
        <v>45175</v>
      </c>
      <c r="C757" s="1" t="n">
        <v>45635</v>
      </c>
      <c r="D757" t="inlineStr">
        <is>
          <t>DALARNAS LÄN</t>
        </is>
      </c>
      <c r="E757" t="inlineStr">
        <is>
          <t>MALUNG-SÄLEN</t>
        </is>
      </c>
      <c r="G757" t="n">
        <v>0.9</v>
      </c>
      <c r="H757" t="n">
        <v>0</v>
      </c>
      <c r="I757" t="n">
        <v>0</v>
      </c>
      <c r="J757" t="n">
        <v>0</v>
      </c>
      <c r="K757" t="n">
        <v>0</v>
      </c>
      <c r="L757" t="n">
        <v>0</v>
      </c>
      <c r="M757" t="n">
        <v>0</v>
      </c>
      <c r="N757" t="n">
        <v>0</v>
      </c>
      <c r="O757" t="n">
        <v>0</v>
      </c>
      <c r="P757" t="n">
        <v>0</v>
      </c>
      <c r="Q757" t="n">
        <v>0</v>
      </c>
      <c r="R757" s="2" t="inlineStr"/>
    </row>
    <row r="758" ht="15" customHeight="1">
      <c r="A758" t="inlineStr">
        <is>
          <t>A 41583-2023</t>
        </is>
      </c>
      <c r="B758" s="1" t="n">
        <v>45175</v>
      </c>
      <c r="C758" s="1" t="n">
        <v>45635</v>
      </c>
      <c r="D758" t="inlineStr">
        <is>
          <t>DALARNAS LÄN</t>
        </is>
      </c>
      <c r="E758" t="inlineStr">
        <is>
          <t>MALUNG-SÄLEN</t>
        </is>
      </c>
      <c r="G758" t="n">
        <v>1.9</v>
      </c>
      <c r="H758" t="n">
        <v>0</v>
      </c>
      <c r="I758" t="n">
        <v>0</v>
      </c>
      <c r="J758" t="n">
        <v>0</v>
      </c>
      <c r="K758" t="n">
        <v>0</v>
      </c>
      <c r="L758" t="n">
        <v>0</v>
      </c>
      <c r="M758" t="n">
        <v>0</v>
      </c>
      <c r="N758" t="n">
        <v>0</v>
      </c>
      <c r="O758" t="n">
        <v>0</v>
      </c>
      <c r="P758" t="n">
        <v>0</v>
      </c>
      <c r="Q758" t="n">
        <v>0</v>
      </c>
      <c r="R758" s="2" t="inlineStr"/>
    </row>
    <row r="759" ht="15" customHeight="1">
      <c r="A759" t="inlineStr">
        <is>
          <t>A 41590-2023</t>
        </is>
      </c>
      <c r="B759" s="1" t="n">
        <v>45175</v>
      </c>
      <c r="C759" s="1" t="n">
        <v>45635</v>
      </c>
      <c r="D759" t="inlineStr">
        <is>
          <t>DALARNAS LÄN</t>
        </is>
      </c>
      <c r="E759" t="inlineStr">
        <is>
          <t>MALUNG-SÄLEN</t>
        </is>
      </c>
      <c r="G759" t="n">
        <v>1.8</v>
      </c>
      <c r="H759" t="n">
        <v>0</v>
      </c>
      <c r="I759" t="n">
        <v>0</v>
      </c>
      <c r="J759" t="n">
        <v>0</v>
      </c>
      <c r="K759" t="n">
        <v>0</v>
      </c>
      <c r="L759" t="n">
        <v>0</v>
      </c>
      <c r="M759" t="n">
        <v>0</v>
      </c>
      <c r="N759" t="n">
        <v>0</v>
      </c>
      <c r="O759" t="n">
        <v>0</v>
      </c>
      <c r="P759" t="n">
        <v>0</v>
      </c>
      <c r="Q759" t="n">
        <v>0</v>
      </c>
      <c r="R759" s="2" t="inlineStr"/>
    </row>
    <row r="760" ht="15" customHeight="1">
      <c r="A760" t="inlineStr">
        <is>
          <t>A 41828-2023</t>
        </is>
      </c>
      <c r="B760" s="1" t="n">
        <v>45176</v>
      </c>
      <c r="C760" s="1" t="n">
        <v>45635</v>
      </c>
      <c r="D760" t="inlineStr">
        <is>
          <t>DALARNAS LÄN</t>
        </is>
      </c>
      <c r="E760" t="inlineStr">
        <is>
          <t>MALUNG-SÄLEN</t>
        </is>
      </c>
      <c r="F760" t="inlineStr">
        <is>
          <t>Bergvik skog öst AB</t>
        </is>
      </c>
      <c r="G760" t="n">
        <v>10.9</v>
      </c>
      <c r="H760" t="n">
        <v>0</v>
      </c>
      <c r="I760" t="n">
        <v>0</v>
      </c>
      <c r="J760" t="n">
        <v>0</v>
      </c>
      <c r="K760" t="n">
        <v>0</v>
      </c>
      <c r="L760" t="n">
        <v>0</v>
      </c>
      <c r="M760" t="n">
        <v>0</v>
      </c>
      <c r="N760" t="n">
        <v>0</v>
      </c>
      <c r="O760" t="n">
        <v>0</v>
      </c>
      <c r="P760" t="n">
        <v>0</v>
      </c>
      <c r="Q760" t="n">
        <v>0</v>
      </c>
      <c r="R760" s="2" t="inlineStr"/>
    </row>
    <row r="761" ht="15" customHeight="1">
      <c r="A761" t="inlineStr">
        <is>
          <t>A 41946-2023</t>
        </is>
      </c>
      <c r="B761" s="1" t="n">
        <v>45177</v>
      </c>
      <c r="C761" s="1" t="n">
        <v>45635</v>
      </c>
      <c r="D761" t="inlineStr">
        <is>
          <t>DALARNAS LÄN</t>
        </is>
      </c>
      <c r="E761" t="inlineStr">
        <is>
          <t>MALUNG-SÄLEN</t>
        </is>
      </c>
      <c r="G761" t="n">
        <v>1.5</v>
      </c>
      <c r="H761" t="n">
        <v>0</v>
      </c>
      <c r="I761" t="n">
        <v>0</v>
      </c>
      <c r="J761" t="n">
        <v>0</v>
      </c>
      <c r="K761" t="n">
        <v>0</v>
      </c>
      <c r="L761" t="n">
        <v>0</v>
      </c>
      <c r="M761" t="n">
        <v>0</v>
      </c>
      <c r="N761" t="n">
        <v>0</v>
      </c>
      <c r="O761" t="n">
        <v>0</v>
      </c>
      <c r="P761" t="n">
        <v>0</v>
      </c>
      <c r="Q761" t="n">
        <v>0</v>
      </c>
      <c r="R761" s="2" t="inlineStr"/>
    </row>
    <row r="762" ht="15" customHeight="1">
      <c r="A762" t="inlineStr">
        <is>
          <t>A 42737-2023</t>
        </is>
      </c>
      <c r="B762" s="1" t="n">
        <v>45177</v>
      </c>
      <c r="C762" s="1" t="n">
        <v>45635</v>
      </c>
      <c r="D762" t="inlineStr">
        <is>
          <t>DALARNAS LÄN</t>
        </is>
      </c>
      <c r="E762" t="inlineStr">
        <is>
          <t>MALUNG-SÄLEN</t>
        </is>
      </c>
      <c r="G762" t="n">
        <v>1.3</v>
      </c>
      <c r="H762" t="n">
        <v>0</v>
      </c>
      <c r="I762" t="n">
        <v>0</v>
      </c>
      <c r="J762" t="n">
        <v>0</v>
      </c>
      <c r="K762" t="n">
        <v>0</v>
      </c>
      <c r="L762" t="n">
        <v>0</v>
      </c>
      <c r="M762" t="n">
        <v>0</v>
      </c>
      <c r="N762" t="n">
        <v>0</v>
      </c>
      <c r="O762" t="n">
        <v>0</v>
      </c>
      <c r="P762" t="n">
        <v>0</v>
      </c>
      <c r="Q762" t="n">
        <v>0</v>
      </c>
      <c r="R762" s="2" t="inlineStr"/>
    </row>
    <row r="763" ht="15" customHeight="1">
      <c r="A763" t="inlineStr">
        <is>
          <t>A 42548-2023</t>
        </is>
      </c>
      <c r="B763" s="1" t="n">
        <v>45181</v>
      </c>
      <c r="C763" s="1" t="n">
        <v>45635</v>
      </c>
      <c r="D763" t="inlineStr">
        <is>
          <t>DALARNAS LÄN</t>
        </is>
      </c>
      <c r="E763" t="inlineStr">
        <is>
          <t>MALUNG-SÄLEN</t>
        </is>
      </c>
      <c r="F763" t="inlineStr">
        <is>
          <t>Bergvik skog öst AB</t>
        </is>
      </c>
      <c r="G763" t="n">
        <v>7.8</v>
      </c>
      <c r="H763" t="n">
        <v>0</v>
      </c>
      <c r="I763" t="n">
        <v>0</v>
      </c>
      <c r="J763" t="n">
        <v>0</v>
      </c>
      <c r="K763" t="n">
        <v>0</v>
      </c>
      <c r="L763" t="n">
        <v>0</v>
      </c>
      <c r="M763" t="n">
        <v>0</v>
      </c>
      <c r="N763" t="n">
        <v>0</v>
      </c>
      <c r="O763" t="n">
        <v>0</v>
      </c>
      <c r="P763" t="n">
        <v>0</v>
      </c>
      <c r="Q763" t="n">
        <v>0</v>
      </c>
      <c r="R763" s="2" t="inlineStr"/>
    </row>
    <row r="764" ht="15" customHeight="1">
      <c r="A764" t="inlineStr">
        <is>
          <t>A 43655-2023</t>
        </is>
      </c>
      <c r="B764" s="1" t="n">
        <v>45187</v>
      </c>
      <c r="C764" s="1" t="n">
        <v>45635</v>
      </c>
      <c r="D764" t="inlineStr">
        <is>
          <t>DALARNAS LÄN</t>
        </is>
      </c>
      <c r="E764" t="inlineStr">
        <is>
          <t>MALUNG-SÄLEN</t>
        </is>
      </c>
      <c r="F764" t="inlineStr">
        <is>
          <t>Allmännings- och besparingsskogar</t>
        </is>
      </c>
      <c r="G764" t="n">
        <v>4.6</v>
      </c>
      <c r="H764" t="n">
        <v>0</v>
      </c>
      <c r="I764" t="n">
        <v>0</v>
      </c>
      <c r="J764" t="n">
        <v>0</v>
      </c>
      <c r="K764" t="n">
        <v>0</v>
      </c>
      <c r="L764" t="n">
        <v>0</v>
      </c>
      <c r="M764" t="n">
        <v>0</v>
      </c>
      <c r="N764" t="n">
        <v>0</v>
      </c>
      <c r="O764" t="n">
        <v>0</v>
      </c>
      <c r="P764" t="n">
        <v>0</v>
      </c>
      <c r="Q764" t="n">
        <v>0</v>
      </c>
      <c r="R764" s="2" t="inlineStr"/>
    </row>
    <row r="765" ht="15" customHeight="1">
      <c r="A765" t="inlineStr">
        <is>
          <t>A 43666-2023</t>
        </is>
      </c>
      <c r="B765" s="1" t="n">
        <v>45187</v>
      </c>
      <c r="C765" s="1" t="n">
        <v>45635</v>
      </c>
      <c r="D765" t="inlineStr">
        <is>
          <t>DALARNAS LÄN</t>
        </is>
      </c>
      <c r="E765" t="inlineStr">
        <is>
          <t>MALUNG-SÄLEN</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43808-2023</t>
        </is>
      </c>
      <c r="B766" s="1" t="n">
        <v>45187</v>
      </c>
      <c r="C766" s="1" t="n">
        <v>45635</v>
      </c>
      <c r="D766" t="inlineStr">
        <is>
          <t>DALARNAS LÄN</t>
        </is>
      </c>
      <c r="E766" t="inlineStr">
        <is>
          <t>MALUNG-SÄLEN</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43823-2023</t>
        </is>
      </c>
      <c r="B767" s="1" t="n">
        <v>45187</v>
      </c>
      <c r="C767" s="1" t="n">
        <v>45635</v>
      </c>
      <c r="D767" t="inlineStr">
        <is>
          <t>DALARNAS LÄN</t>
        </is>
      </c>
      <c r="E767" t="inlineStr">
        <is>
          <t>MALUNG-SÄLEN</t>
        </is>
      </c>
      <c r="G767" t="n">
        <v>3.8</v>
      </c>
      <c r="H767" t="n">
        <v>0</v>
      </c>
      <c r="I767" t="n">
        <v>0</v>
      </c>
      <c r="J767" t="n">
        <v>0</v>
      </c>
      <c r="K767" t="n">
        <v>0</v>
      </c>
      <c r="L767" t="n">
        <v>0</v>
      </c>
      <c r="M767" t="n">
        <v>0</v>
      </c>
      <c r="N767" t="n">
        <v>0</v>
      </c>
      <c r="O767" t="n">
        <v>0</v>
      </c>
      <c r="P767" t="n">
        <v>0</v>
      </c>
      <c r="Q767" t="n">
        <v>0</v>
      </c>
      <c r="R767" s="2" t="inlineStr"/>
    </row>
    <row r="768" ht="15" customHeight="1">
      <c r="A768" t="inlineStr">
        <is>
          <t>A 43829-2023</t>
        </is>
      </c>
      <c r="B768" s="1" t="n">
        <v>45187</v>
      </c>
      <c r="C768" s="1" t="n">
        <v>45635</v>
      </c>
      <c r="D768" t="inlineStr">
        <is>
          <t>DALARNAS LÄN</t>
        </is>
      </c>
      <c r="E768" t="inlineStr">
        <is>
          <t>MALUNG-SÄLEN</t>
        </is>
      </c>
      <c r="G768" t="n">
        <v>1.4</v>
      </c>
      <c r="H768" t="n">
        <v>0</v>
      </c>
      <c r="I768" t="n">
        <v>0</v>
      </c>
      <c r="J768" t="n">
        <v>0</v>
      </c>
      <c r="K768" t="n">
        <v>0</v>
      </c>
      <c r="L768" t="n">
        <v>0</v>
      </c>
      <c r="M768" t="n">
        <v>0</v>
      </c>
      <c r="N768" t="n">
        <v>0</v>
      </c>
      <c r="O768" t="n">
        <v>0</v>
      </c>
      <c r="P768" t="n">
        <v>0</v>
      </c>
      <c r="Q768" t="n">
        <v>0</v>
      </c>
      <c r="R768" s="2" t="inlineStr"/>
    </row>
    <row r="769" ht="15" customHeight="1">
      <c r="A769" t="inlineStr">
        <is>
          <t>A 44139-2023</t>
        </is>
      </c>
      <c r="B769" s="1" t="n">
        <v>45188</v>
      </c>
      <c r="C769" s="1" t="n">
        <v>45635</v>
      </c>
      <c r="D769" t="inlineStr">
        <is>
          <t>DALARNAS LÄN</t>
        </is>
      </c>
      <c r="E769" t="inlineStr">
        <is>
          <t>MALUNG-SÄLEN</t>
        </is>
      </c>
      <c r="G769" t="n">
        <v>5.8</v>
      </c>
      <c r="H769" t="n">
        <v>0</v>
      </c>
      <c r="I769" t="n">
        <v>0</v>
      </c>
      <c r="J769" t="n">
        <v>0</v>
      </c>
      <c r="K769" t="n">
        <v>0</v>
      </c>
      <c r="L769" t="n">
        <v>0</v>
      </c>
      <c r="M769" t="n">
        <v>0</v>
      </c>
      <c r="N769" t="n">
        <v>0</v>
      </c>
      <c r="O769" t="n">
        <v>0</v>
      </c>
      <c r="P769" t="n">
        <v>0</v>
      </c>
      <c r="Q769" t="n">
        <v>0</v>
      </c>
      <c r="R769" s="2" t="inlineStr"/>
    </row>
    <row r="770" ht="15" customHeight="1">
      <c r="A770" t="inlineStr">
        <is>
          <t>A 44190-2023</t>
        </is>
      </c>
      <c r="B770" s="1" t="n">
        <v>45188</v>
      </c>
      <c r="C770" s="1" t="n">
        <v>45635</v>
      </c>
      <c r="D770" t="inlineStr">
        <is>
          <t>DALARNAS LÄN</t>
        </is>
      </c>
      <c r="E770" t="inlineStr">
        <is>
          <t>MALUNG-SÄLEN</t>
        </is>
      </c>
      <c r="G770" t="n">
        <v>4.4</v>
      </c>
      <c r="H770" t="n">
        <v>0</v>
      </c>
      <c r="I770" t="n">
        <v>0</v>
      </c>
      <c r="J770" t="n">
        <v>0</v>
      </c>
      <c r="K770" t="n">
        <v>0</v>
      </c>
      <c r="L770" t="n">
        <v>0</v>
      </c>
      <c r="M770" t="n">
        <v>0</v>
      </c>
      <c r="N770" t="n">
        <v>0</v>
      </c>
      <c r="O770" t="n">
        <v>0</v>
      </c>
      <c r="P770" t="n">
        <v>0</v>
      </c>
      <c r="Q770" t="n">
        <v>0</v>
      </c>
      <c r="R770" s="2" t="inlineStr"/>
    </row>
    <row r="771" ht="15" customHeight="1">
      <c r="A771" t="inlineStr">
        <is>
          <t>A 45780-2023</t>
        </is>
      </c>
      <c r="B771" s="1" t="n">
        <v>45188</v>
      </c>
      <c r="C771" s="1" t="n">
        <v>45635</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45779-2023</t>
        </is>
      </c>
      <c r="B772" s="1" t="n">
        <v>45188</v>
      </c>
      <c r="C772" s="1" t="n">
        <v>45635</v>
      </c>
      <c r="D772" t="inlineStr">
        <is>
          <t>DALARNAS LÄN</t>
        </is>
      </c>
      <c r="E772" t="inlineStr">
        <is>
          <t>MALUNG-SÄLEN</t>
        </is>
      </c>
      <c r="G772" t="n">
        <v>2.8</v>
      </c>
      <c r="H772" t="n">
        <v>0</v>
      </c>
      <c r="I772" t="n">
        <v>0</v>
      </c>
      <c r="J772" t="n">
        <v>0</v>
      </c>
      <c r="K772" t="n">
        <v>0</v>
      </c>
      <c r="L772" t="n">
        <v>0</v>
      </c>
      <c r="M772" t="n">
        <v>0</v>
      </c>
      <c r="N772" t="n">
        <v>0</v>
      </c>
      <c r="O772" t="n">
        <v>0</v>
      </c>
      <c r="P772" t="n">
        <v>0</v>
      </c>
      <c r="Q772" t="n">
        <v>0</v>
      </c>
      <c r="R772" s="2" t="inlineStr"/>
    </row>
    <row r="773" ht="15" customHeight="1">
      <c r="A773" t="inlineStr">
        <is>
          <t>A 44350-2023</t>
        </is>
      </c>
      <c r="B773" s="1" t="n">
        <v>45188</v>
      </c>
      <c r="C773" s="1" t="n">
        <v>45635</v>
      </c>
      <c r="D773" t="inlineStr">
        <is>
          <t>DALARNAS LÄN</t>
        </is>
      </c>
      <c r="E773" t="inlineStr">
        <is>
          <t>MALUNG-SÄLEN</t>
        </is>
      </c>
      <c r="G773" t="n">
        <v>3.4</v>
      </c>
      <c r="H773" t="n">
        <v>0</v>
      </c>
      <c r="I773" t="n">
        <v>0</v>
      </c>
      <c r="J773" t="n">
        <v>0</v>
      </c>
      <c r="K773" t="n">
        <v>0</v>
      </c>
      <c r="L773" t="n">
        <v>0</v>
      </c>
      <c r="M773" t="n">
        <v>0</v>
      </c>
      <c r="N773" t="n">
        <v>0</v>
      </c>
      <c r="O773" t="n">
        <v>0</v>
      </c>
      <c r="P773" t="n">
        <v>0</v>
      </c>
      <c r="Q773" t="n">
        <v>0</v>
      </c>
      <c r="R773" s="2" t="inlineStr"/>
    </row>
    <row r="774" ht="15" customHeight="1">
      <c r="A774" t="inlineStr">
        <is>
          <t>A 44701-2023</t>
        </is>
      </c>
      <c r="B774" s="1" t="n">
        <v>45190</v>
      </c>
      <c r="C774" s="1" t="n">
        <v>45635</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44709-2023</t>
        </is>
      </c>
      <c r="B775" s="1" t="n">
        <v>45190</v>
      </c>
      <c r="C775" s="1" t="n">
        <v>45635</v>
      </c>
      <c r="D775" t="inlineStr">
        <is>
          <t>DALARNAS LÄN</t>
        </is>
      </c>
      <c r="E775" t="inlineStr">
        <is>
          <t>MALUNG-SÄLEN</t>
        </is>
      </c>
      <c r="G775" t="n">
        <v>3.9</v>
      </c>
      <c r="H775" t="n">
        <v>0</v>
      </c>
      <c r="I775" t="n">
        <v>0</v>
      </c>
      <c r="J775" t="n">
        <v>0</v>
      </c>
      <c r="K775" t="n">
        <v>0</v>
      </c>
      <c r="L775" t="n">
        <v>0</v>
      </c>
      <c r="M775" t="n">
        <v>0</v>
      </c>
      <c r="N775" t="n">
        <v>0</v>
      </c>
      <c r="O775" t="n">
        <v>0</v>
      </c>
      <c r="P775" t="n">
        <v>0</v>
      </c>
      <c r="Q775" t="n">
        <v>0</v>
      </c>
      <c r="R775" s="2" t="inlineStr"/>
    </row>
    <row r="776" ht="15" customHeight="1">
      <c r="A776" t="inlineStr">
        <is>
          <t>A 44782-2023</t>
        </is>
      </c>
      <c r="B776" s="1" t="n">
        <v>45190</v>
      </c>
      <c r="C776" s="1" t="n">
        <v>45635</v>
      </c>
      <c r="D776" t="inlineStr">
        <is>
          <t>DALARNAS LÄN</t>
        </is>
      </c>
      <c r="E776" t="inlineStr">
        <is>
          <t>MALUNG-SÄLEN</t>
        </is>
      </c>
      <c r="G776" t="n">
        <v>0.5</v>
      </c>
      <c r="H776" t="n">
        <v>0</v>
      </c>
      <c r="I776" t="n">
        <v>0</v>
      </c>
      <c r="J776" t="n">
        <v>0</v>
      </c>
      <c r="K776" t="n">
        <v>0</v>
      </c>
      <c r="L776" t="n">
        <v>0</v>
      </c>
      <c r="M776" t="n">
        <v>0</v>
      </c>
      <c r="N776" t="n">
        <v>0</v>
      </c>
      <c r="O776" t="n">
        <v>0</v>
      </c>
      <c r="P776" t="n">
        <v>0</v>
      </c>
      <c r="Q776" t="n">
        <v>0</v>
      </c>
      <c r="R776" s="2" t="inlineStr"/>
    </row>
    <row r="777" ht="15" customHeight="1">
      <c r="A777" t="inlineStr">
        <is>
          <t>A 44844-2023</t>
        </is>
      </c>
      <c r="B777" s="1" t="n">
        <v>45190</v>
      </c>
      <c r="C777" s="1" t="n">
        <v>45635</v>
      </c>
      <c r="D777" t="inlineStr">
        <is>
          <t>DALARNAS LÄN</t>
        </is>
      </c>
      <c r="E777" t="inlineStr">
        <is>
          <t>MALUNG-SÄLEN</t>
        </is>
      </c>
      <c r="F777" t="inlineStr">
        <is>
          <t>Allmännings- och besparingsskogar</t>
        </is>
      </c>
      <c r="G777" t="n">
        <v>14.1</v>
      </c>
      <c r="H777" t="n">
        <v>0</v>
      </c>
      <c r="I777" t="n">
        <v>0</v>
      </c>
      <c r="J777" t="n">
        <v>0</v>
      </c>
      <c r="K777" t="n">
        <v>0</v>
      </c>
      <c r="L777" t="n">
        <v>0</v>
      </c>
      <c r="M777" t="n">
        <v>0</v>
      </c>
      <c r="N777" t="n">
        <v>0</v>
      </c>
      <c r="O777" t="n">
        <v>0</v>
      </c>
      <c r="P777" t="n">
        <v>0</v>
      </c>
      <c r="Q777" t="n">
        <v>0</v>
      </c>
      <c r="R777" s="2" t="inlineStr"/>
    </row>
    <row r="778" ht="15" customHeight="1">
      <c r="A778" t="inlineStr">
        <is>
          <t>A 44852-2023</t>
        </is>
      </c>
      <c r="B778" s="1" t="n">
        <v>45190</v>
      </c>
      <c r="C778" s="1" t="n">
        <v>45635</v>
      </c>
      <c r="D778" t="inlineStr">
        <is>
          <t>DALARNAS LÄN</t>
        </is>
      </c>
      <c r="E778" t="inlineStr">
        <is>
          <t>MALUNG-SÄLEN</t>
        </is>
      </c>
      <c r="F778" t="inlineStr">
        <is>
          <t>Allmännings- och besparingsskogar</t>
        </is>
      </c>
      <c r="G778" t="n">
        <v>21.8</v>
      </c>
      <c r="H778" t="n">
        <v>0</v>
      </c>
      <c r="I778" t="n">
        <v>0</v>
      </c>
      <c r="J778" t="n">
        <v>0</v>
      </c>
      <c r="K778" t="n">
        <v>0</v>
      </c>
      <c r="L778" t="n">
        <v>0</v>
      </c>
      <c r="M778" t="n">
        <v>0</v>
      </c>
      <c r="N778" t="n">
        <v>0</v>
      </c>
      <c r="O778" t="n">
        <v>0</v>
      </c>
      <c r="P778" t="n">
        <v>0</v>
      </c>
      <c r="Q778" t="n">
        <v>0</v>
      </c>
      <c r="R778" s="2" t="inlineStr"/>
    </row>
    <row r="779" ht="15" customHeight="1">
      <c r="A779" t="inlineStr">
        <is>
          <t>A 45197-2023</t>
        </is>
      </c>
      <c r="B779" s="1" t="n">
        <v>45191</v>
      </c>
      <c r="C779" s="1" t="n">
        <v>45635</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45207-2023</t>
        </is>
      </c>
      <c r="B780" s="1" t="n">
        <v>45191</v>
      </c>
      <c r="C780" s="1" t="n">
        <v>45635</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45601-2023</t>
        </is>
      </c>
      <c r="B781" s="1" t="n">
        <v>45194</v>
      </c>
      <c r="C781" s="1" t="n">
        <v>45635</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46574-2023</t>
        </is>
      </c>
      <c r="B782" s="1" t="n">
        <v>45194</v>
      </c>
      <c r="C782" s="1" t="n">
        <v>45635</v>
      </c>
      <c r="D782" t="inlineStr">
        <is>
          <t>DALARNAS LÄN</t>
        </is>
      </c>
      <c r="E782" t="inlineStr">
        <is>
          <t>MALUNG-SÄLEN</t>
        </is>
      </c>
      <c r="G782" t="n">
        <v>17.2</v>
      </c>
      <c r="H782" t="n">
        <v>0</v>
      </c>
      <c r="I782" t="n">
        <v>0</v>
      </c>
      <c r="J782" t="n">
        <v>0</v>
      </c>
      <c r="K782" t="n">
        <v>0</v>
      </c>
      <c r="L782" t="n">
        <v>0</v>
      </c>
      <c r="M782" t="n">
        <v>0</v>
      </c>
      <c r="N782" t="n">
        <v>0</v>
      </c>
      <c r="O782" t="n">
        <v>0</v>
      </c>
      <c r="P782" t="n">
        <v>0</v>
      </c>
      <c r="Q782" t="n">
        <v>0</v>
      </c>
      <c r="R782" s="2" t="inlineStr"/>
    </row>
    <row r="783" ht="15" customHeight="1">
      <c r="A783" t="inlineStr">
        <is>
          <t>A 45697-2023</t>
        </is>
      </c>
      <c r="B783" s="1" t="n">
        <v>45195</v>
      </c>
      <c r="C783" s="1" t="n">
        <v>45635</v>
      </c>
      <c r="D783" t="inlineStr">
        <is>
          <t>DALARNAS LÄN</t>
        </is>
      </c>
      <c r="E783" t="inlineStr">
        <is>
          <t>MALUNG-SÄLEN</t>
        </is>
      </c>
      <c r="G783" t="n">
        <v>2.2</v>
      </c>
      <c r="H783" t="n">
        <v>0</v>
      </c>
      <c r="I783" t="n">
        <v>0</v>
      </c>
      <c r="J783" t="n">
        <v>0</v>
      </c>
      <c r="K783" t="n">
        <v>0</v>
      </c>
      <c r="L783" t="n">
        <v>0</v>
      </c>
      <c r="M783" t="n">
        <v>0</v>
      </c>
      <c r="N783" t="n">
        <v>0</v>
      </c>
      <c r="O783" t="n">
        <v>0</v>
      </c>
      <c r="P783" t="n">
        <v>0</v>
      </c>
      <c r="Q783" t="n">
        <v>0</v>
      </c>
      <c r="R783" s="2" t="inlineStr"/>
    </row>
    <row r="784" ht="15" customHeight="1">
      <c r="A784" t="inlineStr">
        <is>
          <t>A 45811-2023</t>
        </is>
      </c>
      <c r="B784" s="1" t="n">
        <v>45195</v>
      </c>
      <c r="C784" s="1" t="n">
        <v>45635</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45830-2023</t>
        </is>
      </c>
      <c r="B785" s="1" t="n">
        <v>45195</v>
      </c>
      <c r="C785" s="1" t="n">
        <v>45635</v>
      </c>
      <c r="D785" t="inlineStr">
        <is>
          <t>DALARNAS LÄN</t>
        </is>
      </c>
      <c r="E785" t="inlineStr">
        <is>
          <t>MALUNG-SÄLEN</t>
        </is>
      </c>
      <c r="F785" t="inlineStr">
        <is>
          <t>Allmännings- och besparingsskogar</t>
        </is>
      </c>
      <c r="G785" t="n">
        <v>60.7</v>
      </c>
      <c r="H785" t="n">
        <v>0</v>
      </c>
      <c r="I785" t="n">
        <v>0</v>
      </c>
      <c r="J785" t="n">
        <v>0</v>
      </c>
      <c r="K785" t="n">
        <v>0</v>
      </c>
      <c r="L785" t="n">
        <v>0</v>
      </c>
      <c r="M785" t="n">
        <v>0</v>
      </c>
      <c r="N785" t="n">
        <v>0</v>
      </c>
      <c r="O785" t="n">
        <v>0</v>
      </c>
      <c r="P785" t="n">
        <v>0</v>
      </c>
      <c r="Q785" t="n">
        <v>0</v>
      </c>
      <c r="R785" s="2" t="inlineStr"/>
    </row>
    <row r="786" ht="15" customHeight="1">
      <c r="A786" t="inlineStr">
        <is>
          <t>A 45893-2023</t>
        </is>
      </c>
      <c r="B786" s="1" t="n">
        <v>45195</v>
      </c>
      <c r="C786" s="1" t="n">
        <v>45635</v>
      </c>
      <c r="D786" t="inlineStr">
        <is>
          <t>DALARNAS LÄN</t>
        </is>
      </c>
      <c r="E786" t="inlineStr">
        <is>
          <t>MALUNG-SÄLEN</t>
        </is>
      </c>
      <c r="G786" t="n">
        <v>15.6</v>
      </c>
      <c r="H786" t="n">
        <v>0</v>
      </c>
      <c r="I786" t="n">
        <v>0</v>
      </c>
      <c r="J786" t="n">
        <v>0</v>
      </c>
      <c r="K786" t="n">
        <v>0</v>
      </c>
      <c r="L786" t="n">
        <v>0</v>
      </c>
      <c r="M786" t="n">
        <v>0</v>
      </c>
      <c r="N786" t="n">
        <v>0</v>
      </c>
      <c r="O786" t="n">
        <v>0</v>
      </c>
      <c r="P786" t="n">
        <v>0</v>
      </c>
      <c r="Q786" t="n">
        <v>0</v>
      </c>
      <c r="R786" s="2" t="inlineStr"/>
    </row>
    <row r="787" ht="15" customHeight="1">
      <c r="A787" t="inlineStr">
        <is>
          <t>A 46287-2023</t>
        </is>
      </c>
      <c r="B787" s="1" t="n">
        <v>45197</v>
      </c>
      <c r="C787" s="1" t="n">
        <v>45635</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46291-2023</t>
        </is>
      </c>
      <c r="B788" s="1" t="n">
        <v>45197</v>
      </c>
      <c r="C788" s="1" t="n">
        <v>45635</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46631-2023</t>
        </is>
      </c>
      <c r="B789" s="1" t="n">
        <v>45198</v>
      </c>
      <c r="C789" s="1" t="n">
        <v>45635</v>
      </c>
      <c r="D789" t="inlineStr">
        <is>
          <t>DALARNAS LÄN</t>
        </is>
      </c>
      <c r="E789" t="inlineStr">
        <is>
          <t>MALUNG-SÄLEN</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46659-2023</t>
        </is>
      </c>
      <c r="B790" s="1" t="n">
        <v>45198</v>
      </c>
      <c r="C790" s="1" t="n">
        <v>45635</v>
      </c>
      <c r="D790" t="inlineStr">
        <is>
          <t>DALARNAS LÄN</t>
        </is>
      </c>
      <c r="E790" t="inlineStr">
        <is>
          <t>MALUNG-SÄLEN</t>
        </is>
      </c>
      <c r="F790" t="inlineStr">
        <is>
          <t>Allmännings- och besparingsskogar</t>
        </is>
      </c>
      <c r="G790" t="n">
        <v>17.6</v>
      </c>
      <c r="H790" t="n">
        <v>0</v>
      </c>
      <c r="I790" t="n">
        <v>0</v>
      </c>
      <c r="J790" t="n">
        <v>0</v>
      </c>
      <c r="K790" t="n">
        <v>0</v>
      </c>
      <c r="L790" t="n">
        <v>0</v>
      </c>
      <c r="M790" t="n">
        <v>0</v>
      </c>
      <c r="N790" t="n">
        <v>0</v>
      </c>
      <c r="O790" t="n">
        <v>0</v>
      </c>
      <c r="P790" t="n">
        <v>0</v>
      </c>
      <c r="Q790" t="n">
        <v>0</v>
      </c>
      <c r="R790" s="2" t="inlineStr"/>
    </row>
    <row r="791" ht="15" customHeight="1">
      <c r="A791" t="inlineStr">
        <is>
          <t>A 46702-2023</t>
        </is>
      </c>
      <c r="B791" s="1" t="n">
        <v>45198</v>
      </c>
      <c r="C791" s="1" t="n">
        <v>45635</v>
      </c>
      <c r="D791" t="inlineStr">
        <is>
          <t>DALARNAS LÄN</t>
        </is>
      </c>
      <c r="E791" t="inlineStr">
        <is>
          <t>MALUNG-SÄLEN</t>
        </is>
      </c>
      <c r="F791" t="inlineStr">
        <is>
          <t>Allmännings- och besparingsskogar</t>
        </is>
      </c>
      <c r="G791" t="n">
        <v>7.3</v>
      </c>
      <c r="H791" t="n">
        <v>0</v>
      </c>
      <c r="I791" t="n">
        <v>0</v>
      </c>
      <c r="J791" t="n">
        <v>0</v>
      </c>
      <c r="K791" t="n">
        <v>0</v>
      </c>
      <c r="L791" t="n">
        <v>0</v>
      </c>
      <c r="M791" t="n">
        <v>0</v>
      </c>
      <c r="N791" t="n">
        <v>0</v>
      </c>
      <c r="O791" t="n">
        <v>0</v>
      </c>
      <c r="P791" t="n">
        <v>0</v>
      </c>
      <c r="Q791" t="n">
        <v>0</v>
      </c>
      <c r="R791" s="2" t="inlineStr"/>
    </row>
    <row r="792" ht="15" customHeight="1">
      <c r="A792" t="inlineStr">
        <is>
          <t>A 46624-2023</t>
        </is>
      </c>
      <c r="B792" s="1" t="n">
        <v>45198</v>
      </c>
      <c r="C792" s="1" t="n">
        <v>45635</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46956-2023</t>
        </is>
      </c>
      <c r="B793" s="1" t="n">
        <v>45201</v>
      </c>
      <c r="C793" s="1" t="n">
        <v>45635</v>
      </c>
      <c r="D793" t="inlineStr">
        <is>
          <t>DALARNAS LÄN</t>
        </is>
      </c>
      <c r="E793" t="inlineStr">
        <is>
          <t>MALUNG-SÄLEN</t>
        </is>
      </c>
      <c r="G793" t="n">
        <v>5.8</v>
      </c>
      <c r="H793" t="n">
        <v>0</v>
      </c>
      <c r="I793" t="n">
        <v>0</v>
      </c>
      <c r="J793" t="n">
        <v>0</v>
      </c>
      <c r="K793" t="n">
        <v>0</v>
      </c>
      <c r="L793" t="n">
        <v>0</v>
      </c>
      <c r="M793" t="n">
        <v>0</v>
      </c>
      <c r="N793" t="n">
        <v>0</v>
      </c>
      <c r="O793" t="n">
        <v>0</v>
      </c>
      <c r="P793" t="n">
        <v>0</v>
      </c>
      <c r="Q793" t="n">
        <v>0</v>
      </c>
      <c r="R793" s="2" t="inlineStr"/>
    </row>
    <row r="794" ht="15" customHeight="1">
      <c r="A794" t="inlineStr">
        <is>
          <t>A 48156-2023</t>
        </is>
      </c>
      <c r="B794" s="1" t="n">
        <v>45201</v>
      </c>
      <c r="C794" s="1" t="n">
        <v>45635</v>
      </c>
      <c r="D794" t="inlineStr">
        <is>
          <t>DALARNAS LÄN</t>
        </is>
      </c>
      <c r="E794" t="inlineStr">
        <is>
          <t>MALUNG-SÄLEN</t>
        </is>
      </c>
      <c r="G794" t="n">
        <v>1.5</v>
      </c>
      <c r="H794" t="n">
        <v>0</v>
      </c>
      <c r="I794" t="n">
        <v>0</v>
      </c>
      <c r="J794" t="n">
        <v>0</v>
      </c>
      <c r="K794" t="n">
        <v>0</v>
      </c>
      <c r="L794" t="n">
        <v>0</v>
      </c>
      <c r="M794" t="n">
        <v>0</v>
      </c>
      <c r="N794" t="n">
        <v>0</v>
      </c>
      <c r="O794" t="n">
        <v>0</v>
      </c>
      <c r="P794" t="n">
        <v>0</v>
      </c>
      <c r="Q794" t="n">
        <v>0</v>
      </c>
      <c r="R794" s="2" t="inlineStr"/>
    </row>
    <row r="795" ht="15" customHeight="1">
      <c r="A795" t="inlineStr">
        <is>
          <t>A 47351-2023</t>
        </is>
      </c>
      <c r="B795" s="1" t="n">
        <v>45202</v>
      </c>
      <c r="C795" s="1" t="n">
        <v>45635</v>
      </c>
      <c r="D795" t="inlineStr">
        <is>
          <t>DALARNAS LÄN</t>
        </is>
      </c>
      <c r="E795" t="inlineStr">
        <is>
          <t>MALUNG-SÄLEN</t>
        </is>
      </c>
      <c r="G795" t="n">
        <v>4.7</v>
      </c>
      <c r="H795" t="n">
        <v>0</v>
      </c>
      <c r="I795" t="n">
        <v>0</v>
      </c>
      <c r="J795" t="n">
        <v>0</v>
      </c>
      <c r="K795" t="n">
        <v>0</v>
      </c>
      <c r="L795" t="n">
        <v>0</v>
      </c>
      <c r="M795" t="n">
        <v>0</v>
      </c>
      <c r="N795" t="n">
        <v>0</v>
      </c>
      <c r="O795" t="n">
        <v>0</v>
      </c>
      <c r="P795" t="n">
        <v>0</v>
      </c>
      <c r="Q795" t="n">
        <v>0</v>
      </c>
      <c r="R795" s="2" t="inlineStr"/>
    </row>
    <row r="796" ht="15" customHeight="1">
      <c r="A796" t="inlineStr">
        <is>
          <t>A 47379-2023</t>
        </is>
      </c>
      <c r="B796" s="1" t="n">
        <v>45202</v>
      </c>
      <c r="C796" s="1" t="n">
        <v>45635</v>
      </c>
      <c r="D796" t="inlineStr">
        <is>
          <t>DALARNAS LÄN</t>
        </is>
      </c>
      <c r="E796" t="inlineStr">
        <is>
          <t>MALUNG-SÄLEN</t>
        </is>
      </c>
      <c r="G796" t="n">
        <v>5.9</v>
      </c>
      <c r="H796" t="n">
        <v>0</v>
      </c>
      <c r="I796" t="n">
        <v>0</v>
      </c>
      <c r="J796" t="n">
        <v>0</v>
      </c>
      <c r="K796" t="n">
        <v>0</v>
      </c>
      <c r="L796" t="n">
        <v>0</v>
      </c>
      <c r="M796" t="n">
        <v>0</v>
      </c>
      <c r="N796" t="n">
        <v>0</v>
      </c>
      <c r="O796" t="n">
        <v>0</v>
      </c>
      <c r="P796" t="n">
        <v>0</v>
      </c>
      <c r="Q796" t="n">
        <v>0</v>
      </c>
      <c r="R796" s="2" t="inlineStr"/>
    </row>
    <row r="797" ht="15" customHeight="1">
      <c r="A797" t="inlineStr">
        <is>
          <t>A 47513-2023</t>
        </is>
      </c>
      <c r="B797" s="1" t="n">
        <v>45203</v>
      </c>
      <c r="C797" s="1" t="n">
        <v>45635</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47603-2023</t>
        </is>
      </c>
      <c r="B798" s="1" t="n">
        <v>45203</v>
      </c>
      <c r="C798" s="1" t="n">
        <v>45635</v>
      </c>
      <c r="D798" t="inlineStr">
        <is>
          <t>DALARNAS LÄN</t>
        </is>
      </c>
      <c r="E798" t="inlineStr">
        <is>
          <t>MALUNG-SÄLEN</t>
        </is>
      </c>
      <c r="G798" t="n">
        <v>1.7</v>
      </c>
      <c r="H798" t="n">
        <v>0</v>
      </c>
      <c r="I798" t="n">
        <v>0</v>
      </c>
      <c r="J798" t="n">
        <v>0</v>
      </c>
      <c r="K798" t="n">
        <v>0</v>
      </c>
      <c r="L798" t="n">
        <v>0</v>
      </c>
      <c r="M798" t="n">
        <v>0</v>
      </c>
      <c r="N798" t="n">
        <v>0</v>
      </c>
      <c r="O798" t="n">
        <v>0</v>
      </c>
      <c r="P798" t="n">
        <v>0</v>
      </c>
      <c r="Q798" t="n">
        <v>0</v>
      </c>
      <c r="R798" s="2" t="inlineStr"/>
    </row>
    <row r="799" ht="15" customHeight="1">
      <c r="A799" t="inlineStr">
        <is>
          <t>A 47957-2023</t>
        </is>
      </c>
      <c r="B799" s="1" t="n">
        <v>45204</v>
      </c>
      <c r="C799" s="1" t="n">
        <v>45635</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47963-2023</t>
        </is>
      </c>
      <c r="B800" s="1" t="n">
        <v>45204</v>
      </c>
      <c r="C800" s="1" t="n">
        <v>45635</v>
      </c>
      <c r="D800" t="inlineStr">
        <is>
          <t>DALARNAS LÄN</t>
        </is>
      </c>
      <c r="E800" t="inlineStr">
        <is>
          <t>MALUNG-SÄLEN</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47976-2023</t>
        </is>
      </c>
      <c r="B801" s="1" t="n">
        <v>45204</v>
      </c>
      <c r="C801" s="1" t="n">
        <v>45635</v>
      </c>
      <c r="D801" t="inlineStr">
        <is>
          <t>DALARNAS LÄN</t>
        </is>
      </c>
      <c r="E801" t="inlineStr">
        <is>
          <t>MALUNG-SÄLEN</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47971-2023</t>
        </is>
      </c>
      <c r="B802" s="1" t="n">
        <v>45204</v>
      </c>
      <c r="C802" s="1" t="n">
        <v>45635</v>
      </c>
      <c r="D802" t="inlineStr">
        <is>
          <t>DALARNAS LÄN</t>
        </is>
      </c>
      <c r="E802" t="inlineStr">
        <is>
          <t>MALUNG-SÄLEN</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47979-2023</t>
        </is>
      </c>
      <c r="B803" s="1" t="n">
        <v>45204</v>
      </c>
      <c r="C803" s="1" t="n">
        <v>45635</v>
      </c>
      <c r="D803" t="inlineStr">
        <is>
          <t>DALARNAS LÄN</t>
        </is>
      </c>
      <c r="E803" t="inlineStr">
        <is>
          <t>MALUNG-SÄLEN</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v>
      </c>
      <c r="C804" s="1" t="n">
        <v>45635</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48363-2023</t>
        </is>
      </c>
      <c r="B805" s="1" t="n">
        <v>45205</v>
      </c>
      <c r="C805" s="1" t="n">
        <v>45635</v>
      </c>
      <c r="D805" t="inlineStr">
        <is>
          <t>DALARNAS LÄN</t>
        </is>
      </c>
      <c r="E805" t="inlineStr">
        <is>
          <t>MALUNG-SÄLEN</t>
        </is>
      </c>
      <c r="G805" t="n">
        <v>2.4</v>
      </c>
      <c r="H805" t="n">
        <v>0</v>
      </c>
      <c r="I805" t="n">
        <v>0</v>
      </c>
      <c r="J805" t="n">
        <v>0</v>
      </c>
      <c r="K805" t="n">
        <v>0</v>
      </c>
      <c r="L805" t="n">
        <v>0</v>
      </c>
      <c r="M805" t="n">
        <v>0</v>
      </c>
      <c r="N805" t="n">
        <v>0</v>
      </c>
      <c r="O805" t="n">
        <v>0</v>
      </c>
      <c r="P805" t="n">
        <v>0</v>
      </c>
      <c r="Q805" t="n">
        <v>0</v>
      </c>
      <c r="R805" s="2" t="inlineStr"/>
    </row>
    <row r="806" ht="15" customHeight="1">
      <c r="A806" t="inlineStr">
        <is>
          <t>A 48272-2023</t>
        </is>
      </c>
      <c r="B806" s="1" t="n">
        <v>45205</v>
      </c>
      <c r="C806" s="1" t="n">
        <v>45635</v>
      </c>
      <c r="D806" t="inlineStr">
        <is>
          <t>DALARNAS LÄN</t>
        </is>
      </c>
      <c r="E806" t="inlineStr">
        <is>
          <t>MALUNG-SÄLEN</t>
        </is>
      </c>
      <c r="G806" t="n">
        <v>2.1</v>
      </c>
      <c r="H806" t="n">
        <v>0</v>
      </c>
      <c r="I806" t="n">
        <v>0</v>
      </c>
      <c r="J806" t="n">
        <v>0</v>
      </c>
      <c r="K806" t="n">
        <v>0</v>
      </c>
      <c r="L806" t="n">
        <v>0</v>
      </c>
      <c r="M806" t="n">
        <v>0</v>
      </c>
      <c r="N806" t="n">
        <v>0</v>
      </c>
      <c r="O806" t="n">
        <v>0</v>
      </c>
      <c r="P806" t="n">
        <v>0</v>
      </c>
      <c r="Q806" t="n">
        <v>0</v>
      </c>
      <c r="R806" s="2" t="inlineStr"/>
    </row>
    <row r="807" ht="15" customHeight="1">
      <c r="A807" t="inlineStr">
        <is>
          <t>A 49480-2023</t>
        </is>
      </c>
      <c r="B807" s="1" t="n">
        <v>45211</v>
      </c>
      <c r="C807" s="1" t="n">
        <v>45635</v>
      </c>
      <c r="D807" t="inlineStr">
        <is>
          <t>DALARNAS LÄN</t>
        </is>
      </c>
      <c r="E807" t="inlineStr">
        <is>
          <t>MALUNG-SÄLEN</t>
        </is>
      </c>
      <c r="G807" t="n">
        <v>3.2</v>
      </c>
      <c r="H807" t="n">
        <v>0</v>
      </c>
      <c r="I807" t="n">
        <v>0</v>
      </c>
      <c r="J807" t="n">
        <v>0</v>
      </c>
      <c r="K807" t="n">
        <v>0</v>
      </c>
      <c r="L807" t="n">
        <v>0</v>
      </c>
      <c r="M807" t="n">
        <v>0</v>
      </c>
      <c r="N807" t="n">
        <v>0</v>
      </c>
      <c r="O807" t="n">
        <v>0</v>
      </c>
      <c r="P807" t="n">
        <v>0</v>
      </c>
      <c r="Q807" t="n">
        <v>0</v>
      </c>
      <c r="R807" s="2" t="inlineStr"/>
    </row>
    <row r="808" ht="15" customHeight="1">
      <c r="A808" t="inlineStr">
        <is>
          <t>A 50039-2023</t>
        </is>
      </c>
      <c r="B808" s="1" t="n">
        <v>45215</v>
      </c>
      <c r="C808" s="1" t="n">
        <v>45635</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50029-2023</t>
        </is>
      </c>
      <c r="B809" s="1" t="n">
        <v>45215</v>
      </c>
      <c r="C809" s="1" t="n">
        <v>45635</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ht="15" customHeight="1">
      <c r="A810" t="inlineStr">
        <is>
          <t>A 52028-2023</t>
        </is>
      </c>
      <c r="B810" s="1" t="n">
        <v>45216</v>
      </c>
      <c r="C810" s="1" t="n">
        <v>45635</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51975-2023</t>
        </is>
      </c>
      <c r="B811" s="1" t="n">
        <v>45219</v>
      </c>
      <c r="C811" s="1" t="n">
        <v>45635</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51301-2023</t>
        </is>
      </c>
      <c r="B812" s="1" t="n">
        <v>45219</v>
      </c>
      <c r="C812" s="1" t="n">
        <v>45635</v>
      </c>
      <c r="D812" t="inlineStr">
        <is>
          <t>DALARNAS LÄN</t>
        </is>
      </c>
      <c r="E812" t="inlineStr">
        <is>
          <t>MALUNG-SÄLEN</t>
        </is>
      </c>
      <c r="G812" t="n">
        <v>6.2</v>
      </c>
      <c r="H812" t="n">
        <v>0</v>
      </c>
      <c r="I812" t="n">
        <v>0</v>
      </c>
      <c r="J812" t="n">
        <v>0</v>
      </c>
      <c r="K812" t="n">
        <v>0</v>
      </c>
      <c r="L812" t="n">
        <v>0</v>
      </c>
      <c r="M812" t="n">
        <v>0</v>
      </c>
      <c r="N812" t="n">
        <v>0</v>
      </c>
      <c r="O812" t="n">
        <v>0</v>
      </c>
      <c r="P812" t="n">
        <v>0</v>
      </c>
      <c r="Q812" t="n">
        <v>0</v>
      </c>
      <c r="R812" s="2" t="inlineStr"/>
    </row>
    <row r="813" ht="15" customHeight="1">
      <c r="A813" t="inlineStr">
        <is>
          <t>A 51295-2023</t>
        </is>
      </c>
      <c r="B813" s="1" t="n">
        <v>45219</v>
      </c>
      <c r="C813" s="1" t="n">
        <v>45635</v>
      </c>
      <c r="D813" t="inlineStr">
        <is>
          <t>DALARNAS LÄN</t>
        </is>
      </c>
      <c r="E813" t="inlineStr">
        <is>
          <t>MALUNG-SÄLEN</t>
        </is>
      </c>
      <c r="G813" t="n">
        <v>1.3</v>
      </c>
      <c r="H813" t="n">
        <v>0</v>
      </c>
      <c r="I813" t="n">
        <v>0</v>
      </c>
      <c r="J813" t="n">
        <v>0</v>
      </c>
      <c r="K813" t="n">
        <v>0</v>
      </c>
      <c r="L813" t="n">
        <v>0</v>
      </c>
      <c r="M813" t="n">
        <v>0</v>
      </c>
      <c r="N813" t="n">
        <v>0</v>
      </c>
      <c r="O813" t="n">
        <v>0</v>
      </c>
      <c r="P813" t="n">
        <v>0</v>
      </c>
      <c r="Q813" t="n">
        <v>0</v>
      </c>
      <c r="R813" s="2" t="inlineStr"/>
    </row>
    <row r="814" ht="15" customHeight="1">
      <c r="A814" t="inlineStr">
        <is>
          <t>A 52004-2023</t>
        </is>
      </c>
      <c r="B814" s="1" t="n">
        <v>45219</v>
      </c>
      <c r="C814" s="1" t="n">
        <v>45635</v>
      </c>
      <c r="D814" t="inlineStr">
        <is>
          <t>DALARNAS LÄN</t>
        </is>
      </c>
      <c r="E814" t="inlineStr">
        <is>
          <t>MALUNG-SÄLEN</t>
        </is>
      </c>
      <c r="G814" t="n">
        <v>1.6</v>
      </c>
      <c r="H814" t="n">
        <v>0</v>
      </c>
      <c r="I814" t="n">
        <v>0</v>
      </c>
      <c r="J814" t="n">
        <v>0</v>
      </c>
      <c r="K814" t="n">
        <v>0</v>
      </c>
      <c r="L814" t="n">
        <v>0</v>
      </c>
      <c r="M814" t="n">
        <v>0</v>
      </c>
      <c r="N814" t="n">
        <v>0</v>
      </c>
      <c r="O814" t="n">
        <v>0</v>
      </c>
      <c r="P814" t="n">
        <v>0</v>
      </c>
      <c r="Q814" t="n">
        <v>0</v>
      </c>
      <c r="R814" s="2" t="inlineStr"/>
    </row>
    <row r="815" ht="15" customHeight="1">
      <c r="A815" t="inlineStr">
        <is>
          <t>A 51452-2023</t>
        </is>
      </c>
      <c r="B815" s="1" t="n">
        <v>45220</v>
      </c>
      <c r="C815" s="1" t="n">
        <v>45635</v>
      </c>
      <c r="D815" t="inlineStr">
        <is>
          <t>DALARNAS LÄN</t>
        </is>
      </c>
      <c r="E815" t="inlineStr">
        <is>
          <t>MALUNG-SÄLEN</t>
        </is>
      </c>
      <c r="G815" t="n">
        <v>6.4</v>
      </c>
      <c r="H815" t="n">
        <v>0</v>
      </c>
      <c r="I815" t="n">
        <v>0</v>
      </c>
      <c r="J815" t="n">
        <v>0</v>
      </c>
      <c r="K815" t="n">
        <v>0</v>
      </c>
      <c r="L815" t="n">
        <v>0</v>
      </c>
      <c r="M815" t="n">
        <v>0</v>
      </c>
      <c r="N815" t="n">
        <v>0</v>
      </c>
      <c r="O815" t="n">
        <v>0</v>
      </c>
      <c r="P815" t="n">
        <v>0</v>
      </c>
      <c r="Q815" t="n">
        <v>0</v>
      </c>
      <c r="R815" s="2" t="inlineStr"/>
    </row>
    <row r="816" ht="15" customHeight="1">
      <c r="A816" t="inlineStr">
        <is>
          <t>A 51900-2023</t>
        </is>
      </c>
      <c r="B816" s="1" t="n">
        <v>45223</v>
      </c>
      <c r="C816" s="1" t="n">
        <v>45635</v>
      </c>
      <c r="D816" t="inlineStr">
        <is>
          <t>DALARNAS LÄN</t>
        </is>
      </c>
      <c r="E816" t="inlineStr">
        <is>
          <t>MALUNG-SÄLEN</t>
        </is>
      </c>
      <c r="F816" t="inlineStr">
        <is>
          <t>Allmännings- och besparingsskogar</t>
        </is>
      </c>
      <c r="G816" t="n">
        <v>12.4</v>
      </c>
      <c r="H816" t="n">
        <v>0</v>
      </c>
      <c r="I816" t="n">
        <v>0</v>
      </c>
      <c r="J816" t="n">
        <v>0</v>
      </c>
      <c r="K816" t="n">
        <v>0</v>
      </c>
      <c r="L816" t="n">
        <v>0</v>
      </c>
      <c r="M816" t="n">
        <v>0</v>
      </c>
      <c r="N816" t="n">
        <v>0</v>
      </c>
      <c r="O816" t="n">
        <v>0</v>
      </c>
      <c r="P816" t="n">
        <v>0</v>
      </c>
      <c r="Q816" t="n">
        <v>0</v>
      </c>
      <c r="R816" s="2" t="inlineStr"/>
    </row>
    <row r="817" ht="15" customHeight="1">
      <c r="A817" t="inlineStr">
        <is>
          <t>A 52085-2023</t>
        </is>
      </c>
      <c r="B817" s="1" t="n">
        <v>45223</v>
      </c>
      <c r="C817" s="1" t="n">
        <v>45635</v>
      </c>
      <c r="D817" t="inlineStr">
        <is>
          <t>DALARNAS LÄN</t>
        </is>
      </c>
      <c r="E817" t="inlineStr">
        <is>
          <t>MALUNG-SÄLEN</t>
        </is>
      </c>
      <c r="G817" t="n">
        <v>18</v>
      </c>
      <c r="H817" t="n">
        <v>0</v>
      </c>
      <c r="I817" t="n">
        <v>0</v>
      </c>
      <c r="J817" t="n">
        <v>0</v>
      </c>
      <c r="K817" t="n">
        <v>0</v>
      </c>
      <c r="L817" t="n">
        <v>0</v>
      </c>
      <c r="M817" t="n">
        <v>0</v>
      </c>
      <c r="N817" t="n">
        <v>0</v>
      </c>
      <c r="O817" t="n">
        <v>0</v>
      </c>
      <c r="P817" t="n">
        <v>0</v>
      </c>
      <c r="Q817" t="n">
        <v>0</v>
      </c>
      <c r="R817" s="2" t="inlineStr"/>
    </row>
    <row r="818" ht="15" customHeight="1">
      <c r="A818" t="inlineStr">
        <is>
          <t>A 51901-2023</t>
        </is>
      </c>
      <c r="B818" s="1" t="n">
        <v>45223</v>
      </c>
      <c r="C818" s="1" t="n">
        <v>45635</v>
      </c>
      <c r="D818" t="inlineStr">
        <is>
          <t>DALARNAS LÄN</t>
        </is>
      </c>
      <c r="E818" t="inlineStr">
        <is>
          <t>MALUNG-SÄLEN</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52065-2023</t>
        </is>
      </c>
      <c r="B819" s="1" t="n">
        <v>45223</v>
      </c>
      <c r="C819" s="1" t="n">
        <v>45635</v>
      </c>
      <c r="D819" t="inlineStr">
        <is>
          <t>DALARNAS LÄN</t>
        </is>
      </c>
      <c r="E819" t="inlineStr">
        <is>
          <t>MALUNG-SÄLEN</t>
        </is>
      </c>
      <c r="G819" t="n">
        <v>18.4</v>
      </c>
      <c r="H819" t="n">
        <v>0</v>
      </c>
      <c r="I819" t="n">
        <v>0</v>
      </c>
      <c r="J819" t="n">
        <v>0</v>
      </c>
      <c r="K819" t="n">
        <v>0</v>
      </c>
      <c r="L819" t="n">
        <v>0</v>
      </c>
      <c r="M819" t="n">
        <v>0</v>
      </c>
      <c r="N819" t="n">
        <v>0</v>
      </c>
      <c r="O819" t="n">
        <v>0</v>
      </c>
      <c r="P819" t="n">
        <v>0</v>
      </c>
      <c r="Q819" t="n">
        <v>0</v>
      </c>
      <c r="R819" s="2" t="inlineStr"/>
    </row>
    <row r="820" ht="15" customHeight="1">
      <c r="A820" t="inlineStr">
        <is>
          <t>A 52323-2023</t>
        </is>
      </c>
      <c r="B820" s="1" t="n">
        <v>45224</v>
      </c>
      <c r="C820" s="1" t="n">
        <v>45635</v>
      </c>
      <c r="D820" t="inlineStr">
        <is>
          <t>DALARNAS LÄN</t>
        </is>
      </c>
      <c r="E820" t="inlineStr">
        <is>
          <t>MALUNG-SÄLEN</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52418-2023</t>
        </is>
      </c>
      <c r="B821" s="1" t="n">
        <v>45225</v>
      </c>
      <c r="C821" s="1" t="n">
        <v>45635</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52429-2023</t>
        </is>
      </c>
      <c r="B822" s="1" t="n">
        <v>45225</v>
      </c>
      <c r="C822" s="1" t="n">
        <v>45635</v>
      </c>
      <c r="D822" t="inlineStr">
        <is>
          <t>DALARNAS LÄN</t>
        </is>
      </c>
      <c r="E822" t="inlineStr">
        <is>
          <t>MALUNG-SÄLEN</t>
        </is>
      </c>
      <c r="G822" t="n">
        <v>0.4</v>
      </c>
      <c r="H822" t="n">
        <v>0</v>
      </c>
      <c r="I822" t="n">
        <v>0</v>
      </c>
      <c r="J822" t="n">
        <v>0</v>
      </c>
      <c r="K822" t="n">
        <v>0</v>
      </c>
      <c r="L822" t="n">
        <v>0</v>
      </c>
      <c r="M822" t="n">
        <v>0</v>
      </c>
      <c r="N822" t="n">
        <v>0</v>
      </c>
      <c r="O822" t="n">
        <v>0</v>
      </c>
      <c r="P822" t="n">
        <v>0</v>
      </c>
      <c r="Q822" t="n">
        <v>0</v>
      </c>
      <c r="R822" s="2" t="inlineStr"/>
    </row>
    <row r="823" ht="15" customHeight="1">
      <c r="A823" t="inlineStr">
        <is>
          <t>A 52557-2023</t>
        </is>
      </c>
      <c r="B823" s="1" t="n">
        <v>45225</v>
      </c>
      <c r="C823" s="1" t="n">
        <v>45635</v>
      </c>
      <c r="D823" t="inlineStr">
        <is>
          <t>DALARNAS LÄN</t>
        </is>
      </c>
      <c r="E823" t="inlineStr">
        <is>
          <t>MALUNG-SÄLEN</t>
        </is>
      </c>
      <c r="F823" t="inlineStr">
        <is>
          <t>Allmännings- och besparingsskogar</t>
        </is>
      </c>
      <c r="G823" t="n">
        <v>38.6</v>
      </c>
      <c r="H823" t="n">
        <v>0</v>
      </c>
      <c r="I823" t="n">
        <v>0</v>
      </c>
      <c r="J823" t="n">
        <v>0</v>
      </c>
      <c r="K823" t="n">
        <v>0</v>
      </c>
      <c r="L823" t="n">
        <v>0</v>
      </c>
      <c r="M823" t="n">
        <v>0</v>
      </c>
      <c r="N823" t="n">
        <v>0</v>
      </c>
      <c r="O823" t="n">
        <v>0</v>
      </c>
      <c r="P823" t="n">
        <v>0</v>
      </c>
      <c r="Q823" t="n">
        <v>0</v>
      </c>
      <c r="R823" s="2" t="inlineStr"/>
    </row>
    <row r="824" ht="15" customHeight="1">
      <c r="A824" t="inlineStr">
        <is>
          <t>A 52576-2023</t>
        </is>
      </c>
      <c r="B824" s="1" t="n">
        <v>45225</v>
      </c>
      <c r="C824" s="1" t="n">
        <v>45635</v>
      </c>
      <c r="D824" t="inlineStr">
        <is>
          <t>DALARNAS LÄN</t>
        </is>
      </c>
      <c r="E824" t="inlineStr">
        <is>
          <t>MALUNG-SÄLEN</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52526-2023</t>
        </is>
      </c>
      <c r="B825" s="1" t="n">
        <v>45225</v>
      </c>
      <c r="C825" s="1" t="n">
        <v>45635</v>
      </c>
      <c r="D825" t="inlineStr">
        <is>
          <t>DALARNAS LÄN</t>
        </is>
      </c>
      <c r="E825" t="inlineStr">
        <is>
          <t>MALUNG-SÄLEN</t>
        </is>
      </c>
      <c r="F825" t="inlineStr">
        <is>
          <t>Allmännings- och besparingsskogar</t>
        </is>
      </c>
      <c r="G825" t="n">
        <v>13.7</v>
      </c>
      <c r="H825" t="n">
        <v>0</v>
      </c>
      <c r="I825" t="n">
        <v>0</v>
      </c>
      <c r="J825" t="n">
        <v>0</v>
      </c>
      <c r="K825" t="n">
        <v>0</v>
      </c>
      <c r="L825" t="n">
        <v>0</v>
      </c>
      <c r="M825" t="n">
        <v>0</v>
      </c>
      <c r="N825" t="n">
        <v>0</v>
      </c>
      <c r="O825" t="n">
        <v>0</v>
      </c>
      <c r="P825" t="n">
        <v>0</v>
      </c>
      <c r="Q825" t="n">
        <v>0</v>
      </c>
      <c r="R825" s="2" t="inlineStr"/>
    </row>
    <row r="826" ht="15" customHeight="1">
      <c r="A826" t="inlineStr">
        <is>
          <t>A 52552-2023</t>
        </is>
      </c>
      <c r="B826" s="1" t="n">
        <v>45225</v>
      </c>
      <c r="C826" s="1" t="n">
        <v>45635</v>
      </c>
      <c r="D826" t="inlineStr">
        <is>
          <t>DALARNAS LÄN</t>
        </is>
      </c>
      <c r="E826" t="inlineStr">
        <is>
          <t>MALUNG-SÄLEN</t>
        </is>
      </c>
      <c r="F826" t="inlineStr">
        <is>
          <t>Allmännings- och besparingsskogar</t>
        </is>
      </c>
      <c r="G826" t="n">
        <v>6.8</v>
      </c>
      <c r="H826" t="n">
        <v>0</v>
      </c>
      <c r="I826" t="n">
        <v>0</v>
      </c>
      <c r="J826" t="n">
        <v>0</v>
      </c>
      <c r="K826" t="n">
        <v>0</v>
      </c>
      <c r="L826" t="n">
        <v>0</v>
      </c>
      <c r="M826" t="n">
        <v>0</v>
      </c>
      <c r="N826" t="n">
        <v>0</v>
      </c>
      <c r="O826" t="n">
        <v>0</v>
      </c>
      <c r="P826" t="n">
        <v>0</v>
      </c>
      <c r="Q826" t="n">
        <v>0</v>
      </c>
      <c r="R826" s="2" t="inlineStr"/>
    </row>
    <row r="827" ht="15" customHeight="1">
      <c r="A827" t="inlineStr">
        <is>
          <t>A 52579-2023</t>
        </is>
      </c>
      <c r="B827" s="1" t="n">
        <v>45225</v>
      </c>
      <c r="C827" s="1" t="n">
        <v>45635</v>
      </c>
      <c r="D827" t="inlineStr">
        <is>
          <t>DALARNAS LÄN</t>
        </is>
      </c>
      <c r="E827" t="inlineStr">
        <is>
          <t>MALUNG-SÄLEN</t>
        </is>
      </c>
      <c r="G827" t="n">
        <v>0.5</v>
      </c>
      <c r="H827" t="n">
        <v>0</v>
      </c>
      <c r="I827" t="n">
        <v>0</v>
      </c>
      <c r="J827" t="n">
        <v>0</v>
      </c>
      <c r="K827" t="n">
        <v>0</v>
      </c>
      <c r="L827" t="n">
        <v>0</v>
      </c>
      <c r="M827" t="n">
        <v>0</v>
      </c>
      <c r="N827" t="n">
        <v>0</v>
      </c>
      <c r="O827" t="n">
        <v>0</v>
      </c>
      <c r="P827" t="n">
        <v>0</v>
      </c>
      <c r="Q827" t="n">
        <v>0</v>
      </c>
      <c r="R827" s="2" t="inlineStr"/>
    </row>
    <row r="828" ht="15" customHeight="1">
      <c r="A828" t="inlineStr">
        <is>
          <t>A 52507-2023</t>
        </is>
      </c>
      <c r="B828" s="1" t="n">
        <v>45225</v>
      </c>
      <c r="C828" s="1" t="n">
        <v>45635</v>
      </c>
      <c r="D828" t="inlineStr">
        <is>
          <t>DALARNAS LÄN</t>
        </is>
      </c>
      <c r="E828" t="inlineStr">
        <is>
          <t>MALUNG-SÄLEN</t>
        </is>
      </c>
      <c r="G828" t="n">
        <v>2.5</v>
      </c>
      <c r="H828" t="n">
        <v>0</v>
      </c>
      <c r="I828" t="n">
        <v>0</v>
      </c>
      <c r="J828" t="n">
        <v>0</v>
      </c>
      <c r="K828" t="n">
        <v>0</v>
      </c>
      <c r="L828" t="n">
        <v>0</v>
      </c>
      <c r="M828" t="n">
        <v>0</v>
      </c>
      <c r="N828" t="n">
        <v>0</v>
      </c>
      <c r="O828" t="n">
        <v>0</v>
      </c>
      <c r="P828" t="n">
        <v>0</v>
      </c>
      <c r="Q828" t="n">
        <v>0</v>
      </c>
      <c r="R828" s="2" t="inlineStr"/>
    </row>
    <row r="829" ht="15" customHeight="1">
      <c r="A829" t="inlineStr">
        <is>
          <t>A 52578-2023</t>
        </is>
      </c>
      <c r="B829" s="1" t="n">
        <v>45225</v>
      </c>
      <c r="C829" s="1" t="n">
        <v>45635</v>
      </c>
      <c r="D829" t="inlineStr">
        <is>
          <t>DALARNAS LÄN</t>
        </is>
      </c>
      <c r="E829" t="inlineStr">
        <is>
          <t>MALUNG-SÄLEN</t>
        </is>
      </c>
      <c r="F829" t="inlineStr">
        <is>
          <t>Allmännings- och besparingsskogar</t>
        </is>
      </c>
      <c r="G829" t="n">
        <v>52.2</v>
      </c>
      <c r="H829" t="n">
        <v>0</v>
      </c>
      <c r="I829" t="n">
        <v>0</v>
      </c>
      <c r="J829" t="n">
        <v>0</v>
      </c>
      <c r="K829" t="n">
        <v>0</v>
      </c>
      <c r="L829" t="n">
        <v>0</v>
      </c>
      <c r="M829" t="n">
        <v>0</v>
      </c>
      <c r="N829" t="n">
        <v>0</v>
      </c>
      <c r="O829" t="n">
        <v>0</v>
      </c>
      <c r="P829" t="n">
        <v>0</v>
      </c>
      <c r="Q829" t="n">
        <v>0</v>
      </c>
      <c r="R829" s="2" t="inlineStr"/>
    </row>
    <row r="830" ht="15" customHeight="1">
      <c r="A830" t="inlineStr">
        <is>
          <t>A 52582-2023</t>
        </is>
      </c>
      <c r="B830" s="1" t="n">
        <v>45225</v>
      </c>
      <c r="C830" s="1" t="n">
        <v>45635</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54454-2023</t>
        </is>
      </c>
      <c r="B831" s="1" t="n">
        <v>45226</v>
      </c>
      <c r="C831" s="1" t="n">
        <v>45635</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52871-2023</t>
        </is>
      </c>
      <c r="B832" s="1" t="n">
        <v>45226</v>
      </c>
      <c r="C832" s="1" t="n">
        <v>45635</v>
      </c>
      <c r="D832" t="inlineStr">
        <is>
          <t>DALARNAS LÄN</t>
        </is>
      </c>
      <c r="E832" t="inlineStr">
        <is>
          <t>MALUNG-SÄLEN</t>
        </is>
      </c>
      <c r="G832" t="n">
        <v>1</v>
      </c>
      <c r="H832" t="n">
        <v>0</v>
      </c>
      <c r="I832" t="n">
        <v>0</v>
      </c>
      <c r="J832" t="n">
        <v>0</v>
      </c>
      <c r="K832" t="n">
        <v>0</v>
      </c>
      <c r="L832" t="n">
        <v>0</v>
      </c>
      <c r="M832" t="n">
        <v>0</v>
      </c>
      <c r="N832" t="n">
        <v>0</v>
      </c>
      <c r="O832" t="n">
        <v>0</v>
      </c>
      <c r="P832" t="n">
        <v>0</v>
      </c>
      <c r="Q832" t="n">
        <v>0</v>
      </c>
      <c r="R832" s="2" t="inlineStr"/>
    </row>
    <row r="833" ht="15" customHeight="1">
      <c r="A833" t="inlineStr">
        <is>
          <t>A 52942-2023</t>
        </is>
      </c>
      <c r="B833" s="1" t="n">
        <v>45226</v>
      </c>
      <c r="C833" s="1" t="n">
        <v>45635</v>
      </c>
      <c r="D833" t="inlineStr">
        <is>
          <t>DALARNAS LÄN</t>
        </is>
      </c>
      <c r="E833" t="inlineStr">
        <is>
          <t>MALUNG-SÄLEN</t>
        </is>
      </c>
      <c r="G833" t="n">
        <v>0.7</v>
      </c>
      <c r="H833" t="n">
        <v>0</v>
      </c>
      <c r="I833" t="n">
        <v>0</v>
      </c>
      <c r="J833" t="n">
        <v>0</v>
      </c>
      <c r="K833" t="n">
        <v>0</v>
      </c>
      <c r="L833" t="n">
        <v>0</v>
      </c>
      <c r="M833" t="n">
        <v>0</v>
      </c>
      <c r="N833" t="n">
        <v>0</v>
      </c>
      <c r="O833" t="n">
        <v>0</v>
      </c>
      <c r="P833" t="n">
        <v>0</v>
      </c>
      <c r="Q833" t="n">
        <v>0</v>
      </c>
      <c r="R833" s="2" t="inlineStr"/>
    </row>
    <row r="834" ht="15" customHeight="1">
      <c r="A834" t="inlineStr">
        <is>
          <t>A 52987-2023</t>
        </is>
      </c>
      <c r="B834" s="1" t="n">
        <v>45226</v>
      </c>
      <c r="C834" s="1" t="n">
        <v>45635</v>
      </c>
      <c r="D834" t="inlineStr">
        <is>
          <t>DALARNAS LÄN</t>
        </is>
      </c>
      <c r="E834" t="inlineStr">
        <is>
          <t>MALUNG-SÄLEN</t>
        </is>
      </c>
      <c r="G834" t="n">
        <v>12</v>
      </c>
      <c r="H834" t="n">
        <v>0</v>
      </c>
      <c r="I834" t="n">
        <v>0</v>
      </c>
      <c r="J834" t="n">
        <v>0</v>
      </c>
      <c r="K834" t="n">
        <v>0</v>
      </c>
      <c r="L834" t="n">
        <v>0</v>
      </c>
      <c r="M834" t="n">
        <v>0</v>
      </c>
      <c r="N834" t="n">
        <v>0</v>
      </c>
      <c r="O834" t="n">
        <v>0</v>
      </c>
      <c r="P834" t="n">
        <v>0</v>
      </c>
      <c r="Q834" t="n">
        <v>0</v>
      </c>
      <c r="R834" s="2" t="inlineStr"/>
    </row>
    <row r="835" ht="15" customHeight="1">
      <c r="A835" t="inlineStr">
        <is>
          <t>A 52884-2023</t>
        </is>
      </c>
      <c r="B835" s="1" t="n">
        <v>45226</v>
      </c>
      <c r="C835" s="1" t="n">
        <v>45635</v>
      </c>
      <c r="D835" t="inlineStr">
        <is>
          <t>DALARNAS LÄN</t>
        </is>
      </c>
      <c r="E835" t="inlineStr">
        <is>
          <t>MALUNG-SÄLEN</t>
        </is>
      </c>
      <c r="G835" t="n">
        <v>5.6</v>
      </c>
      <c r="H835" t="n">
        <v>0</v>
      </c>
      <c r="I835" t="n">
        <v>0</v>
      </c>
      <c r="J835" t="n">
        <v>0</v>
      </c>
      <c r="K835" t="n">
        <v>0</v>
      </c>
      <c r="L835" t="n">
        <v>0</v>
      </c>
      <c r="M835" t="n">
        <v>0</v>
      </c>
      <c r="N835" t="n">
        <v>0</v>
      </c>
      <c r="O835" t="n">
        <v>0</v>
      </c>
      <c r="P835" t="n">
        <v>0</v>
      </c>
      <c r="Q835" t="n">
        <v>0</v>
      </c>
      <c r="R835" s="2" t="inlineStr"/>
    </row>
    <row r="836" ht="15" customHeight="1">
      <c r="A836" t="inlineStr">
        <is>
          <t>A 52857-2023</t>
        </is>
      </c>
      <c r="B836" s="1" t="n">
        <v>45226</v>
      </c>
      <c r="C836" s="1" t="n">
        <v>45635</v>
      </c>
      <c r="D836" t="inlineStr">
        <is>
          <t>DALARNAS LÄN</t>
        </is>
      </c>
      <c r="E836" t="inlineStr">
        <is>
          <t>MALUNG-SÄLEN</t>
        </is>
      </c>
      <c r="F836" t="inlineStr">
        <is>
          <t>Bergvik skog öst AB</t>
        </is>
      </c>
      <c r="G836" t="n">
        <v>3.6</v>
      </c>
      <c r="H836" t="n">
        <v>0</v>
      </c>
      <c r="I836" t="n">
        <v>0</v>
      </c>
      <c r="J836" t="n">
        <v>0</v>
      </c>
      <c r="K836" t="n">
        <v>0</v>
      </c>
      <c r="L836" t="n">
        <v>0</v>
      </c>
      <c r="M836" t="n">
        <v>0</v>
      </c>
      <c r="N836" t="n">
        <v>0</v>
      </c>
      <c r="O836" t="n">
        <v>0</v>
      </c>
      <c r="P836" t="n">
        <v>0</v>
      </c>
      <c r="Q836" t="n">
        <v>0</v>
      </c>
      <c r="R836" s="2" t="inlineStr"/>
    </row>
    <row r="837" ht="15" customHeight="1">
      <c r="A837" t="inlineStr">
        <is>
          <t>A 53146-2023</t>
        </is>
      </c>
      <c r="B837" s="1" t="n">
        <v>45229</v>
      </c>
      <c r="C837" s="1" t="n">
        <v>45635</v>
      </c>
      <c r="D837" t="inlineStr">
        <is>
          <t>DALARNAS LÄN</t>
        </is>
      </c>
      <c r="E837" t="inlineStr">
        <is>
          <t>MALUNG-SÄLEN</t>
        </is>
      </c>
      <c r="F837" t="inlineStr">
        <is>
          <t>Övriga statliga verk och myndigheter</t>
        </is>
      </c>
      <c r="G837" t="n">
        <v>0.3</v>
      </c>
      <c r="H837" t="n">
        <v>0</v>
      </c>
      <c r="I837" t="n">
        <v>0</v>
      </c>
      <c r="J837" t="n">
        <v>0</v>
      </c>
      <c r="K837" t="n">
        <v>0</v>
      </c>
      <c r="L837" t="n">
        <v>0</v>
      </c>
      <c r="M837" t="n">
        <v>0</v>
      </c>
      <c r="N837" t="n">
        <v>0</v>
      </c>
      <c r="O837" t="n">
        <v>0</v>
      </c>
      <c r="P837" t="n">
        <v>0</v>
      </c>
      <c r="Q837" t="n">
        <v>0</v>
      </c>
      <c r="R837" s="2" t="inlineStr"/>
    </row>
    <row r="838" ht="15" customHeight="1">
      <c r="A838" t="inlineStr">
        <is>
          <t>A 53149-2023</t>
        </is>
      </c>
      <c r="B838" s="1" t="n">
        <v>45229</v>
      </c>
      <c r="C838" s="1" t="n">
        <v>45635</v>
      </c>
      <c r="D838" t="inlineStr">
        <is>
          <t>DALARNAS LÄN</t>
        </is>
      </c>
      <c r="E838" t="inlineStr">
        <is>
          <t>MALUNG-SÄLEN</t>
        </is>
      </c>
      <c r="F838" t="inlineStr">
        <is>
          <t>Övriga statliga verk och myndigheter</t>
        </is>
      </c>
      <c r="G838" t="n">
        <v>0.9</v>
      </c>
      <c r="H838" t="n">
        <v>0</v>
      </c>
      <c r="I838" t="n">
        <v>0</v>
      </c>
      <c r="J838" t="n">
        <v>0</v>
      </c>
      <c r="K838" t="n">
        <v>0</v>
      </c>
      <c r="L838" t="n">
        <v>0</v>
      </c>
      <c r="M838" t="n">
        <v>0</v>
      </c>
      <c r="N838" t="n">
        <v>0</v>
      </c>
      <c r="O838" t="n">
        <v>0</v>
      </c>
      <c r="P838" t="n">
        <v>0</v>
      </c>
      <c r="Q838" t="n">
        <v>0</v>
      </c>
      <c r="R838" s="2" t="inlineStr"/>
    </row>
    <row r="839" ht="15" customHeight="1">
      <c r="A839" t="inlineStr">
        <is>
          <t>A 53316-2023</t>
        </is>
      </c>
      <c r="B839" s="1" t="n">
        <v>45229</v>
      </c>
      <c r="C839" s="1" t="n">
        <v>45635</v>
      </c>
      <c r="D839" t="inlineStr">
        <is>
          <t>DALARNAS LÄN</t>
        </is>
      </c>
      <c r="E839" t="inlineStr">
        <is>
          <t>MALUNG-SÄLEN</t>
        </is>
      </c>
      <c r="F839" t="inlineStr">
        <is>
          <t>Bergvik skog öst AB</t>
        </is>
      </c>
      <c r="G839" t="n">
        <v>7.4</v>
      </c>
      <c r="H839" t="n">
        <v>0</v>
      </c>
      <c r="I839" t="n">
        <v>0</v>
      </c>
      <c r="J839" t="n">
        <v>0</v>
      </c>
      <c r="K839" t="n">
        <v>0</v>
      </c>
      <c r="L839" t="n">
        <v>0</v>
      </c>
      <c r="M839" t="n">
        <v>0</v>
      </c>
      <c r="N839" t="n">
        <v>0</v>
      </c>
      <c r="O839" t="n">
        <v>0</v>
      </c>
      <c r="P839" t="n">
        <v>0</v>
      </c>
      <c r="Q839" t="n">
        <v>0</v>
      </c>
      <c r="R839" s="2" t="inlineStr"/>
    </row>
    <row r="840" ht="15" customHeight="1">
      <c r="A840" t="inlineStr">
        <is>
          <t>A 53881-2023</t>
        </is>
      </c>
      <c r="B840" s="1" t="n">
        <v>45231</v>
      </c>
      <c r="C840" s="1" t="n">
        <v>45635</v>
      </c>
      <c r="D840" t="inlineStr">
        <is>
          <t>DALARNAS LÄN</t>
        </is>
      </c>
      <c r="E840" t="inlineStr">
        <is>
          <t>MALUNG-SÄLEN</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54000-2023</t>
        </is>
      </c>
      <c r="B841" s="1" t="n">
        <v>45231</v>
      </c>
      <c r="C841" s="1" t="n">
        <v>45635</v>
      </c>
      <c r="D841" t="inlineStr">
        <is>
          <t>DALARNAS LÄN</t>
        </is>
      </c>
      <c r="E841" t="inlineStr">
        <is>
          <t>MALUNG-SÄLEN</t>
        </is>
      </c>
      <c r="G841" t="n">
        <v>1.1</v>
      </c>
      <c r="H841" t="n">
        <v>0</v>
      </c>
      <c r="I841" t="n">
        <v>0</v>
      </c>
      <c r="J841" t="n">
        <v>0</v>
      </c>
      <c r="K841" t="n">
        <v>0</v>
      </c>
      <c r="L841" t="n">
        <v>0</v>
      </c>
      <c r="M841" t="n">
        <v>0</v>
      </c>
      <c r="N841" t="n">
        <v>0</v>
      </c>
      <c r="O841" t="n">
        <v>0</v>
      </c>
      <c r="P841" t="n">
        <v>0</v>
      </c>
      <c r="Q841" t="n">
        <v>0</v>
      </c>
      <c r="R841" s="2" t="inlineStr"/>
    </row>
    <row r="842" ht="15" customHeight="1">
      <c r="A842" t="inlineStr">
        <is>
          <t>A 53918-2023</t>
        </is>
      </c>
      <c r="B842" s="1" t="n">
        <v>45231</v>
      </c>
      <c r="C842" s="1" t="n">
        <v>45635</v>
      </c>
      <c r="D842" t="inlineStr">
        <is>
          <t>DALARNAS LÄN</t>
        </is>
      </c>
      <c r="E842" t="inlineStr">
        <is>
          <t>MALUNG-SÄLEN</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53984-2023</t>
        </is>
      </c>
      <c r="B843" s="1" t="n">
        <v>45231</v>
      </c>
      <c r="C843" s="1" t="n">
        <v>45635</v>
      </c>
      <c r="D843" t="inlineStr">
        <is>
          <t>DALARNAS LÄN</t>
        </is>
      </c>
      <c r="E843" t="inlineStr">
        <is>
          <t>MALUNG-SÄLEN</t>
        </is>
      </c>
      <c r="G843" t="n">
        <v>2.4</v>
      </c>
      <c r="H843" t="n">
        <v>0</v>
      </c>
      <c r="I843" t="n">
        <v>0</v>
      </c>
      <c r="J843" t="n">
        <v>0</v>
      </c>
      <c r="K843" t="n">
        <v>0</v>
      </c>
      <c r="L843" t="n">
        <v>0</v>
      </c>
      <c r="M843" t="n">
        <v>0</v>
      </c>
      <c r="N843" t="n">
        <v>0</v>
      </c>
      <c r="O843" t="n">
        <v>0</v>
      </c>
      <c r="P843" t="n">
        <v>0</v>
      </c>
      <c r="Q843" t="n">
        <v>0</v>
      </c>
      <c r="R843" s="2" t="inlineStr"/>
    </row>
    <row r="844" ht="15" customHeight="1">
      <c r="A844" t="inlineStr">
        <is>
          <t>A 54490-2023</t>
        </is>
      </c>
      <c r="B844" s="1" t="n">
        <v>45233</v>
      </c>
      <c r="C844" s="1" t="n">
        <v>45635</v>
      </c>
      <c r="D844" t="inlineStr">
        <is>
          <t>DALARNAS LÄN</t>
        </is>
      </c>
      <c r="E844" t="inlineStr">
        <is>
          <t>MALUNG-SÄLEN</t>
        </is>
      </c>
      <c r="G844" t="n">
        <v>5.7</v>
      </c>
      <c r="H844" t="n">
        <v>0</v>
      </c>
      <c r="I844" t="n">
        <v>0</v>
      </c>
      <c r="J844" t="n">
        <v>0</v>
      </c>
      <c r="K844" t="n">
        <v>0</v>
      </c>
      <c r="L844" t="n">
        <v>0</v>
      </c>
      <c r="M844" t="n">
        <v>0</v>
      </c>
      <c r="N844" t="n">
        <v>0</v>
      </c>
      <c r="O844" t="n">
        <v>0</v>
      </c>
      <c r="P844" t="n">
        <v>0</v>
      </c>
      <c r="Q844" t="n">
        <v>0</v>
      </c>
      <c r="R844" s="2" t="inlineStr"/>
    </row>
    <row r="845" ht="15" customHeight="1">
      <c r="A845" t="inlineStr">
        <is>
          <t>A 54842-2023</t>
        </is>
      </c>
      <c r="B845" s="1" t="n">
        <v>45236</v>
      </c>
      <c r="C845" s="1" t="n">
        <v>45635</v>
      </c>
      <c r="D845" t="inlineStr">
        <is>
          <t>DALARNAS LÄN</t>
        </is>
      </c>
      <c r="E845" t="inlineStr">
        <is>
          <t>MALUNG-SÄLEN</t>
        </is>
      </c>
      <c r="G845" t="n">
        <v>2</v>
      </c>
      <c r="H845" t="n">
        <v>0</v>
      </c>
      <c r="I845" t="n">
        <v>0</v>
      </c>
      <c r="J845" t="n">
        <v>0</v>
      </c>
      <c r="K845" t="n">
        <v>0</v>
      </c>
      <c r="L845" t="n">
        <v>0</v>
      </c>
      <c r="M845" t="n">
        <v>0</v>
      </c>
      <c r="N845" t="n">
        <v>0</v>
      </c>
      <c r="O845" t="n">
        <v>0</v>
      </c>
      <c r="P845" t="n">
        <v>0</v>
      </c>
      <c r="Q845" t="n">
        <v>0</v>
      </c>
      <c r="R845" s="2" t="inlineStr"/>
    </row>
    <row r="846" ht="15" customHeight="1">
      <c r="A846" t="inlineStr">
        <is>
          <t>A 54874-2023</t>
        </is>
      </c>
      <c r="B846" s="1" t="n">
        <v>45236</v>
      </c>
      <c r="C846" s="1" t="n">
        <v>45635</v>
      </c>
      <c r="D846" t="inlineStr">
        <is>
          <t>DALARNAS LÄN</t>
        </is>
      </c>
      <c r="E846" t="inlineStr">
        <is>
          <t>MALUNG-SÄLEN</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45635</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45635</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45635</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45635</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45635</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45635</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45635</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45635</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45635</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45635</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45635</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45635</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45635</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45635</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45635</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45635</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45635</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45635</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45635</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45635</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45635</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45635</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45635</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45635</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45635</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45635</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45635</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45635</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45635</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45635</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45635</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45635</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45635</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45635</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45635</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45635</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45635</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45635</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45635</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45635</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45635</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45635</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45635</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45635</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45635</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45635</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45635</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45635</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45635</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45635</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45635</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45635</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45635</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45635</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45635</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45635</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45635</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45635</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45635</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45635</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45635</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45635</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45635</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45635</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45635</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45635</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45635</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45635</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45635</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45635</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45635</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45635</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45635</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45635</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45635</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45635</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45635</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45635</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45635</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45635</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45635</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45635</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45635</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45635</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45635</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45635</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45635</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45635</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45635</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45635</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45635</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45635</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45635</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45635</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45635</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45635</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45635</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45635</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45635</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45635</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45635</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45635</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45635</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45635</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45635</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45635</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45635</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45635</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45635</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45635</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45635</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45635</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45635</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45635</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45635</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45635</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45635</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45635</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45635</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45635</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45635</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45635</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45635</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45635</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45635</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45635</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45635</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45635</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45635</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45635</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45635</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45635</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45635</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45635</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45635</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45635</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45635</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45635</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45635</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45635</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45635</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45635</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45635</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45635</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45635</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45635</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45635</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45635</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45635</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45635</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45635</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45635</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45635</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45635</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45635</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45635</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45635</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45635</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45635</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45635</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45635</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45635</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45635</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45635</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45635</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45635</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45635</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45635</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45635</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45635</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45635</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45635</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45635</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45635</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45635</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45635</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45635</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45635</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45635</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45635</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45635</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45635</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45635</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45635</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45635</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45635</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45635</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45635</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45635</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45635</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45635</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45635</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45635</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45635</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45635</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45635</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45635</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45635</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45635</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45635</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45635</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45635</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45635</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45635</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45635</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45635</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45635</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45635</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45635</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45635</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45635</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45635</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45635</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45635</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45635</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45635</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45635</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45635</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45635</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45635</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45635</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45635</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45635</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45635</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45635</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45635</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45635</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45635</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45635</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45635</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45635</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45635</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45635</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45635</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45635</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45635</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45635</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45635</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45635</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45635</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45635</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45635</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45635</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45635</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45635</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45635</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45635</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45635</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45635</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45635</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45635</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45635</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45635</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45635</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45635</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45635</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45635</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45635</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45635</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45635</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45635</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45635</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45635</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45635</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45635</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45635</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45635</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45635</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45635</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45635</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45635</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45635</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45635</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45635</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45635</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45635</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45635</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45635</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45635</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45635</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45635</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45635</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45635</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45635</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45635</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45635</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45635</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45635</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45635</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45635</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45635</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45635</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45635</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45635</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45635</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45635</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45635</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45635</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45635</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45635</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45635</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45635</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45635</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45635</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45635</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45635</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45635</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45635</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45635</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45635</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45635</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45635</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45635</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45635</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45635</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45635</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45635</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45635</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45635</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45635</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45635</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50256-2024</t>
        </is>
      </c>
      <c r="B1168" s="1" t="n">
        <v>45600</v>
      </c>
      <c r="C1168" s="1" t="n">
        <v>45635</v>
      </c>
      <c r="D1168" t="inlineStr">
        <is>
          <t>DALARNAS LÄN</t>
        </is>
      </c>
      <c r="E1168" t="inlineStr">
        <is>
          <t>MALUNG-SÄLEN</t>
        </is>
      </c>
      <c r="F1168" t="inlineStr">
        <is>
          <t>Bergvik skog öst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50214-2024</t>
        </is>
      </c>
      <c r="B1169" s="1" t="n">
        <v>45600</v>
      </c>
      <c r="C1169" s="1" t="n">
        <v>45635</v>
      </c>
      <c r="D1169" t="inlineStr">
        <is>
          <t>DALARNAS LÄN</t>
        </is>
      </c>
      <c r="E1169" t="inlineStr">
        <is>
          <t>MALUNG-SÄLEN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45635</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45635</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45635</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45635</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45635</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45635</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51768-2024</t>
        </is>
      </c>
      <c r="B1176" s="1" t="n">
        <v>45607</v>
      </c>
      <c r="C1176" s="1" t="n">
        <v>45635</v>
      </c>
      <c r="D1176" t="inlineStr">
        <is>
          <t>DALARNAS LÄN</t>
        </is>
      </c>
      <c r="E1176" t="inlineStr">
        <is>
          <t>MALUNG-SÄLEN</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51825-2024</t>
        </is>
      </c>
      <c r="B1177" s="1" t="n">
        <v>45607</v>
      </c>
      <c r="C1177" s="1" t="n">
        <v>45635</v>
      </c>
      <c r="D1177" t="inlineStr">
        <is>
          <t>DALARNAS LÄN</t>
        </is>
      </c>
      <c r="E1177" t="inlineStr">
        <is>
          <t>MALUNG-SÄLEN</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51794-2024</t>
        </is>
      </c>
      <c r="B1178" s="1" t="n">
        <v>45607</v>
      </c>
      <c r="C1178" s="1" t="n">
        <v>45635</v>
      </c>
      <c r="D1178" t="inlineStr">
        <is>
          <t>DALARNAS LÄN</t>
        </is>
      </c>
      <c r="E1178" t="inlineStr">
        <is>
          <t>MALUNG-SÄLEN</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52141-2024</t>
        </is>
      </c>
      <c r="B1179" s="1" t="n">
        <v>45608</v>
      </c>
      <c r="C1179" s="1" t="n">
        <v>45635</v>
      </c>
      <c r="D1179" t="inlineStr">
        <is>
          <t>DALARNAS LÄN</t>
        </is>
      </c>
      <c r="E1179" t="inlineStr">
        <is>
          <t>MALUNG-SÄLEN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52238-2024</t>
        </is>
      </c>
      <c r="B1180" s="1" t="n">
        <v>45608</v>
      </c>
      <c r="C1180" s="1" t="n">
        <v>45635</v>
      </c>
      <c r="D1180" t="inlineStr">
        <is>
          <t>DALARNAS LÄN</t>
        </is>
      </c>
      <c r="E1180" t="inlineStr">
        <is>
          <t>MALUNG-SÄLEN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45635</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45635</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45635</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45635</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45635</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45635</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45635</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45635</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45635</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45635</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45635</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55058-2024</t>
        </is>
      </c>
      <c r="B1192" s="1" t="n">
        <v>45621</v>
      </c>
      <c r="C1192" s="1" t="n">
        <v>45635</v>
      </c>
      <c r="D1192" t="inlineStr">
        <is>
          <t>DALARNAS LÄN</t>
        </is>
      </c>
      <c r="E1192" t="inlineStr">
        <is>
          <t>MALUNG-SÄLEN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55075-2024</t>
        </is>
      </c>
      <c r="B1193" s="1" t="n">
        <v>45621</v>
      </c>
      <c r="C1193" s="1" t="n">
        <v>45635</v>
      </c>
      <c r="D1193" t="inlineStr">
        <is>
          <t>DALARNAS LÄN</t>
        </is>
      </c>
      <c r="E1193" t="inlineStr">
        <is>
          <t>MALUNG-SÄLEN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45635</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45635</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55579-2024</t>
        </is>
      </c>
      <c r="B1196" s="1" t="n">
        <v>45621</v>
      </c>
      <c r="C1196" s="1" t="n">
        <v>45635</v>
      </c>
      <c r="D1196" t="inlineStr">
        <is>
          <t>DALARNAS LÄN</t>
        </is>
      </c>
      <c r="E1196" t="inlineStr">
        <is>
          <t>MALUNG-SÄLEN</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45635</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45635</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45635</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55975-2024</t>
        </is>
      </c>
      <c r="B1200" s="1" t="n">
        <v>45623</v>
      </c>
      <c r="C1200" s="1" t="n">
        <v>45635</v>
      </c>
      <c r="D1200" t="inlineStr">
        <is>
          <t>DALARNAS LÄN</t>
        </is>
      </c>
      <c r="E1200" t="inlineStr">
        <is>
          <t>MALUNG-SÄLEN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55969-2024</t>
        </is>
      </c>
      <c r="B1201" s="1" t="n">
        <v>45623</v>
      </c>
      <c r="C1201" s="1" t="n">
        <v>45635</v>
      </c>
      <c r="D1201" t="inlineStr">
        <is>
          <t>DALARNAS LÄN</t>
        </is>
      </c>
      <c r="E1201" t="inlineStr">
        <is>
          <t>MALUNG-SÄLEN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56110-2024</t>
        </is>
      </c>
      <c r="B1202" s="1" t="n">
        <v>45624</v>
      </c>
      <c r="C1202" s="1" t="n">
        <v>45635</v>
      </c>
      <c r="D1202" t="inlineStr">
        <is>
          <t>DALARNAS LÄN</t>
        </is>
      </c>
      <c r="E1202" t="inlineStr">
        <is>
          <t>MALUNG-SÄLEN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56289-2024</t>
        </is>
      </c>
      <c r="B1203" s="1" t="n">
        <v>45624</v>
      </c>
      <c r="C1203" s="1" t="n">
        <v>45635</v>
      </c>
      <c r="D1203" t="inlineStr">
        <is>
          <t>DALARNAS LÄN</t>
        </is>
      </c>
      <c r="E1203" t="inlineStr">
        <is>
          <t>MALUNG-SÄLEN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45635</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56969-2024</t>
        </is>
      </c>
      <c r="B1205" s="1" t="n">
        <v>45628</v>
      </c>
      <c r="C1205" s="1" t="n">
        <v>45635</v>
      </c>
      <c r="D1205" t="inlineStr">
        <is>
          <t>DALARNAS LÄN</t>
        </is>
      </c>
      <c r="E1205" t="inlineStr">
        <is>
          <t>MALUNG-SÄLEN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56936-2024</t>
        </is>
      </c>
      <c r="B1206" s="1" t="n">
        <v>45628</v>
      </c>
      <c r="C1206" s="1" t="n">
        <v>45635</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45635</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57423-2024</t>
        </is>
      </c>
      <c r="B1208" s="1" t="n">
        <v>45629</v>
      </c>
      <c r="C1208" s="1" t="n">
        <v>45635</v>
      </c>
      <c r="D1208" t="inlineStr">
        <is>
          <t>DALARNAS LÄN</t>
        </is>
      </c>
      <c r="E1208" t="inlineStr">
        <is>
          <t>MALUNG-SÄLEN</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57425-2024</t>
        </is>
      </c>
      <c r="B1209" s="1" t="n">
        <v>45629</v>
      </c>
      <c r="C1209" s="1" t="n">
        <v>45635</v>
      </c>
      <c r="D1209" t="inlineStr">
        <is>
          <t>DALARNAS LÄN</t>
        </is>
      </c>
      <c r="E1209" t="inlineStr">
        <is>
          <t>MALUNG-SÄLEN</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45635</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57820-2024</t>
        </is>
      </c>
      <c r="B1211" s="1" t="n">
        <v>45631</v>
      </c>
      <c r="C1211" s="1" t="n">
        <v>45635</v>
      </c>
      <c r="D1211" t="inlineStr">
        <is>
          <t>DALARNAS LÄN</t>
        </is>
      </c>
      <c r="E1211" t="inlineStr">
        <is>
          <t>MALUNG-SÄLEN</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57965-2024</t>
        </is>
      </c>
      <c r="B1212" s="1" t="n">
        <v>45631</v>
      </c>
      <c r="C1212" s="1" t="n">
        <v>45635</v>
      </c>
      <c r="D1212" t="inlineStr">
        <is>
          <t>DALARNAS LÄN</t>
        </is>
      </c>
      <c r="E1212" t="inlineStr">
        <is>
          <t>MALUNG-SÄLEN</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58102-2024</t>
        </is>
      </c>
      <c r="B1213" s="1" t="n">
        <v>45632</v>
      </c>
      <c r="C1213" s="1" t="n">
        <v>45635</v>
      </c>
      <c r="D1213" t="inlineStr">
        <is>
          <t>DALARNAS LÄN</t>
        </is>
      </c>
      <c r="E1213" t="inlineStr">
        <is>
          <t>MALUNG-SÄLEN</t>
        </is>
      </c>
      <c r="G1213" t="n">
        <v>21.3</v>
      </c>
      <c r="H1213" t="n">
        <v>0</v>
      </c>
      <c r="I1213" t="n">
        <v>0</v>
      </c>
      <c r="J1213" t="n">
        <v>0</v>
      </c>
      <c r="K1213" t="n">
        <v>0</v>
      </c>
      <c r="L1213" t="n">
        <v>0</v>
      </c>
      <c r="M1213" t="n">
        <v>0</v>
      </c>
      <c r="N1213" t="n">
        <v>0</v>
      </c>
      <c r="O1213" t="n">
        <v>0</v>
      </c>
      <c r="P1213" t="n">
        <v>0</v>
      </c>
      <c r="Q1213" t="n">
        <v>0</v>
      </c>
      <c r="R1213" s="2" t="inlineStr"/>
    </row>
    <row r="1214" ht="15" customHeight="1">
      <c r="A1214" t="inlineStr">
        <is>
          <t>A 58345-2024</t>
        </is>
      </c>
      <c r="B1214" s="1" t="n">
        <v>45632</v>
      </c>
      <c r="C1214" s="1" t="n">
        <v>45635</v>
      </c>
      <c r="D1214" t="inlineStr">
        <is>
          <t>DALARNAS LÄN</t>
        </is>
      </c>
      <c r="E1214" t="inlineStr">
        <is>
          <t>MALUNG-SÄLEN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58419-2024</t>
        </is>
      </c>
      <c r="B1215" s="1" t="n">
        <v>45634</v>
      </c>
      <c r="C1215" s="1" t="n">
        <v>45635</v>
      </c>
      <c r="D1215" t="inlineStr">
        <is>
          <t>DALARNAS LÄN</t>
        </is>
      </c>
      <c r="E1215" t="inlineStr">
        <is>
          <t>MALUNG-SÄLEN</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58421-2024</t>
        </is>
      </c>
      <c r="B1216" s="1" t="n">
        <v>45634</v>
      </c>
      <c r="C1216" s="1" t="n">
        <v>45635</v>
      </c>
      <c r="D1216" t="inlineStr">
        <is>
          <t>DALARNAS LÄN</t>
        </is>
      </c>
      <c r="E1216" t="inlineStr">
        <is>
          <t>MALUNG-SÄLEN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58420-2024</t>
        </is>
      </c>
      <c r="B1217" s="1" t="n">
        <v>45634</v>
      </c>
      <c r="C1217" s="1" t="n">
        <v>45635</v>
      </c>
      <c r="D1217" t="inlineStr">
        <is>
          <t>DALARNAS LÄN</t>
        </is>
      </c>
      <c r="E1217" t="inlineStr">
        <is>
          <t>MALUNG-SÄLEN</t>
        </is>
      </c>
      <c r="G1217" t="n">
        <v>2.3</v>
      </c>
      <c r="H1217" t="n">
        <v>0</v>
      </c>
      <c r="I1217" t="n">
        <v>0</v>
      </c>
      <c r="J1217" t="n">
        <v>0</v>
      </c>
      <c r="K1217" t="n">
        <v>0</v>
      </c>
      <c r="L1217" t="n">
        <v>0</v>
      </c>
      <c r="M1217" t="n">
        <v>0</v>
      </c>
      <c r="N1217" t="n">
        <v>0</v>
      </c>
      <c r="O1217" t="n">
        <v>0</v>
      </c>
      <c r="P1217" t="n">
        <v>0</v>
      </c>
      <c r="Q1217" t="n">
        <v>0</v>
      </c>
      <c r="R1217" s="2" t="inlineStr"/>
    </row>
    <row r="1218">
      <c r="A1218" t="inlineStr">
        <is>
          <t>A 58422-2024</t>
        </is>
      </c>
      <c r="B1218" s="1" t="n">
        <v>45634</v>
      </c>
      <c r="C1218" s="1" t="n">
        <v>45635</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2024-12-09T15:04:39Z</dcterms:created>
  <dcterms:modified xmlns:dcterms="http://purl.org/dc/terms/" xmlns:xsi="http://www.w3.org/2001/XMLSchema-instance" xsi:type="dcterms:W3CDTF">2024-12-09T15:04:39Z</dcterms:modified>
</cp:coreProperties>
</file>