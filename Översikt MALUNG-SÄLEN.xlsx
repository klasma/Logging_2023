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45788</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22112-2025</t>
        </is>
      </c>
      <c r="B12" s="1" t="n">
        <v>45785</v>
      </c>
      <c r="C12" s="1" t="n">
        <v>45788</v>
      </c>
      <c r="D12" t="inlineStr">
        <is>
          <t>DALARNAS LÄN</t>
        </is>
      </c>
      <c r="E12" t="inlineStr">
        <is>
          <t>MALUNG-SÄLEN</t>
        </is>
      </c>
      <c r="F12" t="inlineStr">
        <is>
          <t>Allmännings- och besparingsskogar</t>
        </is>
      </c>
      <c r="G12" t="n">
        <v>53.9</v>
      </c>
      <c r="H12" t="n">
        <v>2</v>
      </c>
      <c r="I12" t="n">
        <v>3</v>
      </c>
      <c r="J12" t="n">
        <v>7</v>
      </c>
      <c r="K12" t="n">
        <v>0</v>
      </c>
      <c r="L12" t="n">
        <v>0</v>
      </c>
      <c r="M12" t="n">
        <v>0</v>
      </c>
      <c r="N12" t="n">
        <v>0</v>
      </c>
      <c r="O12" t="n">
        <v>7</v>
      </c>
      <c r="P12" t="n">
        <v>0</v>
      </c>
      <c r="Q12" t="n">
        <v>10</v>
      </c>
      <c r="R12" s="2" t="inlineStr">
        <is>
          <t>Dvärgbägarlav
Garnlav
Kolflarnlav
Mörk kolflarnlav
Tretåig hackspett
Vedflamlav
Vedskivlav
Dropptaggsvamp
Korallrot
Skinnlav</t>
        </is>
      </c>
      <c r="S12">
        <f>HYPERLINK("https://klasma.github.io/Logging_202023/artfynd/A 22112-2025 artfynd.xlsx", "A 22112-2025")</f>
        <v/>
      </c>
      <c r="T12">
        <f>HYPERLINK("https://klasma.github.io/Logging_202023/kartor/A 22112-2025 karta.png", "A 22112-2025")</f>
        <v/>
      </c>
      <c r="V12">
        <f>HYPERLINK("https://klasma.github.io/Logging_202023/klagomål/A 22112-2025 FSC-klagomål.docx", "A 22112-2025")</f>
        <v/>
      </c>
      <c r="W12">
        <f>HYPERLINK("https://klasma.github.io/Logging_202023/klagomålsmail/A 22112-2025 FSC-klagomål mail.docx", "A 22112-2025")</f>
        <v/>
      </c>
      <c r="X12">
        <f>HYPERLINK("https://klasma.github.io/Logging_202023/tillsyn/A 22112-2025 tillsynsbegäran.docx", "A 22112-2025")</f>
        <v/>
      </c>
      <c r="Y12">
        <f>HYPERLINK("https://klasma.github.io/Logging_202023/tillsynsmail/A 22112-2025 tillsynsbegäran mail.docx", "A 22112-2025")</f>
        <v/>
      </c>
      <c r="Z12">
        <f>HYPERLINK("https://klasma.github.io/Logging_202023/fåglar/A 22112-2025 prioriterade fågelarter.docx", "A 22112-2025")</f>
        <v/>
      </c>
    </row>
    <row r="13" ht="15" customHeight="1">
      <c r="A13" t="inlineStr">
        <is>
          <t>A 62204-2019</t>
        </is>
      </c>
      <c r="B13" s="1" t="n">
        <v>43788</v>
      </c>
      <c r="C13" s="1" t="n">
        <v>45788</v>
      </c>
      <c r="D13" t="inlineStr">
        <is>
          <t>DALARNAS LÄN</t>
        </is>
      </c>
      <c r="E13" t="inlineStr">
        <is>
          <t>MALUNG-SÄLEN</t>
        </is>
      </c>
      <c r="G13" t="n">
        <v>6.4</v>
      </c>
      <c r="H13" t="n">
        <v>1</v>
      </c>
      <c r="I13" t="n">
        <v>3</v>
      </c>
      <c r="J13" t="n">
        <v>6</v>
      </c>
      <c r="K13" t="n">
        <v>0</v>
      </c>
      <c r="L13" t="n">
        <v>0</v>
      </c>
      <c r="M13" t="n">
        <v>0</v>
      </c>
      <c r="N13" t="n">
        <v>0</v>
      </c>
      <c r="O13" t="n">
        <v>6</v>
      </c>
      <c r="P13" t="n">
        <v>0</v>
      </c>
      <c r="Q13" t="n">
        <v>9</v>
      </c>
      <c r="R13" s="2" t="inlineStr">
        <is>
          <t>Doftskinn
Gammelgransskål
Garnlav
Granticka
Lunglav
Vitgrynig nållav
Bronshjon
Korallrot
Vedticka</t>
        </is>
      </c>
      <c r="S13">
        <f>HYPERLINK("https://klasma.github.io/Logging_2023/artfynd/A 62204-2019 artfynd.xlsx", "A 62204-2019")</f>
        <v/>
      </c>
      <c r="T13">
        <f>HYPERLINK("https://klasma.github.io/Logging_2023/kartor/A 62204-2019 karta.png", "A 62204-2019")</f>
        <v/>
      </c>
      <c r="V13">
        <f>HYPERLINK("https://klasma.github.io/Logging_2023/klagomål/A 62204-2019 FSC-klagomål.docx", "A 62204-2019")</f>
        <v/>
      </c>
      <c r="W13">
        <f>HYPERLINK("https://klasma.github.io/Logging_2023/klagomålsmail/A 62204-2019 FSC-klagomål mail.docx", "A 62204-2019")</f>
        <v/>
      </c>
      <c r="X13">
        <f>HYPERLINK("https://klasma.github.io/Logging_2023/tillsyn/A 62204-2019 tillsynsbegäran.docx", "A 62204-2019")</f>
        <v/>
      </c>
      <c r="Y13">
        <f>HYPERLINK("https://klasma.github.io/Logging_2023/tillsynsmail/A 62204-2019 tillsynsbegäran mail.docx", "A 62204-2019")</f>
        <v/>
      </c>
    </row>
    <row r="14" ht="15" customHeight="1">
      <c r="A14" t="inlineStr">
        <is>
          <t>A 22001-2020</t>
        </is>
      </c>
      <c r="B14" s="1" t="n">
        <v>43959</v>
      </c>
      <c r="C14" s="1" t="n">
        <v>45788</v>
      </c>
      <c r="D14" t="inlineStr">
        <is>
          <t>DALARNAS LÄN</t>
        </is>
      </c>
      <c r="E14" t="inlineStr">
        <is>
          <t>MALUNG-SÄLEN</t>
        </is>
      </c>
      <c r="G14" t="n">
        <v>17.7</v>
      </c>
      <c r="H14" t="n">
        <v>0</v>
      </c>
      <c r="I14" t="n">
        <v>3</v>
      </c>
      <c r="J14" t="n">
        <v>6</v>
      </c>
      <c r="K14" t="n">
        <v>0</v>
      </c>
      <c r="L14" t="n">
        <v>0</v>
      </c>
      <c r="M14" t="n">
        <v>0</v>
      </c>
      <c r="N14" t="n">
        <v>0</v>
      </c>
      <c r="O14" t="n">
        <v>6</v>
      </c>
      <c r="P14" t="n">
        <v>0</v>
      </c>
      <c r="Q14" t="n">
        <v>9</v>
      </c>
      <c r="R14" s="2" t="inlineStr">
        <is>
          <t>Doftskinn
Gammelgransskål
Garnlav
Granticka
Vedskivlav
Violettgrå tagellav
Bronshjon
Gulnål
Vedticka</t>
        </is>
      </c>
      <c r="S14">
        <f>HYPERLINK("https://klasma.github.io/Logging_2023/artfynd/A 22001-2020 artfynd.xlsx", "A 22001-2020")</f>
        <v/>
      </c>
      <c r="T14">
        <f>HYPERLINK("https://klasma.github.io/Logging_2023/kartor/A 22001-2020 karta.png", "A 22001-2020")</f>
        <v/>
      </c>
      <c r="V14">
        <f>HYPERLINK("https://klasma.github.io/Logging_2023/klagomål/A 22001-2020 FSC-klagomål.docx", "A 22001-2020")</f>
        <v/>
      </c>
      <c r="W14">
        <f>HYPERLINK("https://klasma.github.io/Logging_2023/klagomålsmail/A 22001-2020 FSC-klagomål mail.docx", "A 22001-2020")</f>
        <v/>
      </c>
      <c r="X14">
        <f>HYPERLINK("https://klasma.github.io/Logging_2023/tillsyn/A 22001-2020 tillsynsbegäran.docx", "A 22001-2020")</f>
        <v/>
      </c>
      <c r="Y14">
        <f>HYPERLINK("https://klasma.github.io/Logging_2023/tillsynsmail/A 22001-2020 tillsynsbegäran mail.docx", "A 22001-2020")</f>
        <v/>
      </c>
    </row>
    <row r="15" ht="15" customHeight="1">
      <c r="A15" t="inlineStr">
        <is>
          <t>A 34950-2024</t>
        </is>
      </c>
      <c r="B15" s="1" t="n">
        <v>45527</v>
      </c>
      <c r="C15" s="1" t="n">
        <v>45788</v>
      </c>
      <c r="D15" t="inlineStr">
        <is>
          <t>DALARNAS LÄN</t>
        </is>
      </c>
      <c r="E15" t="inlineStr">
        <is>
          <t>MALUNG-SÄLEN</t>
        </is>
      </c>
      <c r="F15" t="inlineStr">
        <is>
          <t>Allmännings- och besparingsskogar</t>
        </is>
      </c>
      <c r="G15" t="n">
        <v>68.59999999999999</v>
      </c>
      <c r="H15" t="n">
        <v>0</v>
      </c>
      <c r="I15" t="n">
        <v>0</v>
      </c>
      <c r="J15" t="n">
        <v>9</v>
      </c>
      <c r="K15" t="n">
        <v>0</v>
      </c>
      <c r="L15" t="n">
        <v>0</v>
      </c>
      <c r="M15" t="n">
        <v>0</v>
      </c>
      <c r="N15" t="n">
        <v>0</v>
      </c>
      <c r="O15" t="n">
        <v>9</v>
      </c>
      <c r="P15" t="n">
        <v>0</v>
      </c>
      <c r="Q15" t="n">
        <v>9</v>
      </c>
      <c r="R15" s="2" t="inlineStr">
        <is>
          <t>Blanksvart spiklav
Dvärgbägarlav
Kolflarnlav
Kortskaftad ärgspik
Mörk kolflarnlav
Tallticka
Vedflamlav
Vedskivlav
Vitplätt</t>
        </is>
      </c>
      <c r="S15">
        <f>HYPERLINK("https://klasma.github.io/Logging_2023/artfynd/A 34950-2024 artfynd.xlsx", "A 34950-2024")</f>
        <v/>
      </c>
      <c r="T15">
        <f>HYPERLINK("https://klasma.github.io/Logging_2023/kartor/A 34950-2024 karta.png", "A 34950-2024")</f>
        <v/>
      </c>
      <c r="V15">
        <f>HYPERLINK("https://klasma.github.io/Logging_2023/klagomål/A 34950-2024 FSC-klagomål.docx", "A 34950-2024")</f>
        <v/>
      </c>
      <c r="W15">
        <f>HYPERLINK("https://klasma.github.io/Logging_2023/klagomålsmail/A 34950-2024 FSC-klagomål mail.docx", "A 34950-2024")</f>
        <v/>
      </c>
      <c r="X15">
        <f>HYPERLINK("https://klasma.github.io/Logging_2023/tillsyn/A 34950-2024 tillsynsbegäran.docx", "A 34950-2024")</f>
        <v/>
      </c>
      <c r="Y15">
        <f>HYPERLINK("https://klasma.github.io/Logging_2023/tillsynsmail/A 34950-2024 tillsynsbegäran mail.docx", "A 34950-2024")</f>
        <v/>
      </c>
    </row>
    <row r="16" ht="15" customHeight="1">
      <c r="A16" t="inlineStr">
        <is>
          <t>A 41607-2020</t>
        </is>
      </c>
      <c r="B16" s="1" t="n">
        <v>44070</v>
      </c>
      <c r="C16" s="1" t="n">
        <v>45788</v>
      </c>
      <c r="D16" t="inlineStr">
        <is>
          <t>DALARNAS LÄN</t>
        </is>
      </c>
      <c r="E16" t="inlineStr">
        <is>
          <t>MALUNG-SÄLEN</t>
        </is>
      </c>
      <c r="F16" t="inlineStr">
        <is>
          <t>Allmännings- och besparingsskogar</t>
        </is>
      </c>
      <c r="G16" t="n">
        <v>20.8</v>
      </c>
      <c r="H16" t="n">
        <v>2</v>
      </c>
      <c r="I16" t="n">
        <v>3</v>
      </c>
      <c r="J16" t="n">
        <v>3</v>
      </c>
      <c r="K16" t="n">
        <v>1</v>
      </c>
      <c r="L16" t="n">
        <v>0</v>
      </c>
      <c r="M16" t="n">
        <v>0</v>
      </c>
      <c r="N16" t="n">
        <v>0</v>
      </c>
      <c r="O16" t="n">
        <v>4</v>
      </c>
      <c r="P16" t="n">
        <v>1</v>
      </c>
      <c r="Q16" t="n">
        <v>8</v>
      </c>
      <c r="R16" s="2" t="inlineStr">
        <is>
          <t>Knärot
Garnlav
Motaggsvamp
Mörk kolflarnlav
Bronshjon
Dropptaggsvamp
Vågbandad barkbock
Fläcknycklar</t>
        </is>
      </c>
      <c r="S16">
        <f>HYPERLINK("https://klasma.github.io/Logging_2023/artfynd/A 41607-2020 artfynd.xlsx", "A 41607-2020")</f>
        <v/>
      </c>
      <c r="T16">
        <f>HYPERLINK("https://klasma.github.io/Logging_2023/kartor/A 41607-2020 karta.png", "A 41607-2020")</f>
        <v/>
      </c>
      <c r="U16">
        <f>HYPERLINK("https://klasma.github.io/Logging_2023/knärot/A 41607-2020 karta knärot.png", "A 41607-2020")</f>
        <v/>
      </c>
      <c r="V16">
        <f>HYPERLINK("https://klasma.github.io/Logging_2023/klagomål/A 41607-2020 FSC-klagomål.docx", "A 41607-2020")</f>
        <v/>
      </c>
      <c r="W16">
        <f>HYPERLINK("https://klasma.github.io/Logging_2023/klagomålsmail/A 41607-2020 FSC-klagomål mail.docx", "A 41607-2020")</f>
        <v/>
      </c>
      <c r="X16">
        <f>HYPERLINK("https://klasma.github.io/Logging_2023/tillsyn/A 41607-2020 tillsynsbegäran.docx", "A 41607-2020")</f>
        <v/>
      </c>
      <c r="Y16">
        <f>HYPERLINK("https://klasma.github.io/Logging_2023/tillsynsmail/A 41607-2020 tillsynsbegäran mail.docx", "A 41607-2020")</f>
        <v/>
      </c>
    </row>
    <row r="17" ht="15" customHeight="1">
      <c r="A17" t="inlineStr">
        <is>
          <t>A 30548-2019</t>
        </is>
      </c>
      <c r="B17" s="1" t="n">
        <v>43635</v>
      </c>
      <c r="C17" s="1" t="n">
        <v>45788</v>
      </c>
      <c r="D17" t="inlineStr">
        <is>
          <t>DALARNAS LÄN</t>
        </is>
      </c>
      <c r="E17" t="inlineStr">
        <is>
          <t>MALUNG-SÄLEN</t>
        </is>
      </c>
      <c r="G17" t="n">
        <v>11.7</v>
      </c>
      <c r="H17" t="n">
        <v>0</v>
      </c>
      <c r="I17" t="n">
        <v>2</v>
      </c>
      <c r="J17" t="n">
        <v>5</v>
      </c>
      <c r="K17" t="n">
        <v>0</v>
      </c>
      <c r="L17" t="n">
        <v>0</v>
      </c>
      <c r="M17" t="n">
        <v>0</v>
      </c>
      <c r="N17" t="n">
        <v>0</v>
      </c>
      <c r="O17" t="n">
        <v>5</v>
      </c>
      <c r="P17" t="n">
        <v>0</v>
      </c>
      <c r="Q17" t="n">
        <v>7</v>
      </c>
      <c r="R17" s="2" t="inlineStr">
        <is>
          <t>Doftskinn
Garnlav
Violmussling
Vitgrynig nållav
Vitskaftad svartspik
Kornig nållav
Vågbandad barkbock</t>
        </is>
      </c>
      <c r="S17">
        <f>HYPERLINK("https://klasma.github.io/Logging_2023/artfynd/A 30548-2019 artfynd.xlsx", "A 30548-2019")</f>
        <v/>
      </c>
      <c r="T17">
        <f>HYPERLINK("https://klasma.github.io/Logging_2023/kartor/A 30548-2019 karta.png", "A 30548-2019")</f>
        <v/>
      </c>
      <c r="V17">
        <f>HYPERLINK("https://klasma.github.io/Logging_2023/klagomål/A 30548-2019 FSC-klagomål.docx", "A 30548-2019")</f>
        <v/>
      </c>
      <c r="W17">
        <f>HYPERLINK("https://klasma.github.io/Logging_2023/klagomålsmail/A 30548-2019 FSC-klagomål mail.docx", "A 30548-2019")</f>
        <v/>
      </c>
      <c r="X17">
        <f>HYPERLINK("https://klasma.github.io/Logging_2023/tillsyn/A 30548-2019 tillsynsbegäran.docx", "A 30548-2019")</f>
        <v/>
      </c>
      <c r="Y17">
        <f>HYPERLINK("https://klasma.github.io/Logging_2023/tillsynsmail/A 30548-2019 tillsynsbegäran mail.docx", "A 30548-2019")</f>
        <v/>
      </c>
    </row>
    <row r="18" ht="15" customHeight="1">
      <c r="A18" t="inlineStr">
        <is>
          <t>A 62318-2019</t>
        </is>
      </c>
      <c r="B18" s="1" t="n">
        <v>43788</v>
      </c>
      <c r="C18" s="1" t="n">
        <v>45788</v>
      </c>
      <c r="D18" t="inlineStr">
        <is>
          <t>DALARNAS LÄN</t>
        </is>
      </c>
      <c r="E18" t="inlineStr">
        <is>
          <t>MALUNG-SÄLEN</t>
        </is>
      </c>
      <c r="G18" t="n">
        <v>2.1</v>
      </c>
      <c r="H18" t="n">
        <v>1</v>
      </c>
      <c r="I18" t="n">
        <v>1</v>
      </c>
      <c r="J18" t="n">
        <v>6</v>
      </c>
      <c r="K18" t="n">
        <v>0</v>
      </c>
      <c r="L18" t="n">
        <v>0</v>
      </c>
      <c r="M18" t="n">
        <v>0</v>
      </c>
      <c r="N18" t="n">
        <v>0</v>
      </c>
      <c r="O18" t="n">
        <v>6</v>
      </c>
      <c r="P18" t="n">
        <v>0</v>
      </c>
      <c r="Q18" t="n">
        <v>7</v>
      </c>
      <c r="R18" s="2" t="inlineStr">
        <is>
          <t>Brunpudrad nållav
Garnlav
Kolflarnlav
Lunglav
Mörk kolflarnlav
Tretåig hackspett
Dropptaggsvamp</t>
        </is>
      </c>
      <c r="S18">
        <f>HYPERLINK("https://klasma.github.io/Logging_2023/artfynd/A 62318-2019 artfynd.xlsx", "A 62318-2019")</f>
        <v/>
      </c>
      <c r="T18">
        <f>HYPERLINK("https://klasma.github.io/Logging_2023/kartor/A 62318-2019 karta.png", "A 62318-2019")</f>
        <v/>
      </c>
      <c r="V18">
        <f>HYPERLINK("https://klasma.github.io/Logging_2023/klagomål/A 62318-2019 FSC-klagomål.docx", "A 62318-2019")</f>
        <v/>
      </c>
      <c r="W18">
        <f>HYPERLINK("https://klasma.github.io/Logging_2023/klagomålsmail/A 62318-2019 FSC-klagomål mail.docx", "A 62318-2019")</f>
        <v/>
      </c>
      <c r="X18">
        <f>HYPERLINK("https://klasma.github.io/Logging_2023/tillsyn/A 62318-2019 tillsynsbegäran.docx", "A 62318-2019")</f>
        <v/>
      </c>
      <c r="Y18">
        <f>HYPERLINK("https://klasma.github.io/Logging_2023/tillsynsmail/A 62318-2019 tillsynsbegäran mail.docx", "A 62318-2019")</f>
        <v/>
      </c>
      <c r="Z18">
        <f>HYPERLINK("https://klasma.github.io/Logging_2023/fåglar/A 62318-2019 prioriterade fågelarter.docx", "A 62318-2019")</f>
        <v/>
      </c>
    </row>
    <row r="19" ht="15" customHeight="1">
      <c r="A19" t="inlineStr">
        <is>
          <t>A 6359-2021</t>
        </is>
      </c>
      <c r="B19" s="1" t="n">
        <v>44232</v>
      </c>
      <c r="C19" s="1" t="n">
        <v>45788</v>
      </c>
      <c r="D19" t="inlineStr">
        <is>
          <t>DALARNAS LÄN</t>
        </is>
      </c>
      <c r="E19" t="inlineStr">
        <is>
          <t>MALUNG-SÄLEN</t>
        </is>
      </c>
      <c r="G19" t="n">
        <v>8.699999999999999</v>
      </c>
      <c r="H19" t="n">
        <v>1</v>
      </c>
      <c r="I19" t="n">
        <v>2</v>
      </c>
      <c r="J19" t="n">
        <v>4</v>
      </c>
      <c r="K19" t="n">
        <v>1</v>
      </c>
      <c r="L19" t="n">
        <v>0</v>
      </c>
      <c r="M19" t="n">
        <v>0</v>
      </c>
      <c r="N19" t="n">
        <v>0</v>
      </c>
      <c r="O19" t="n">
        <v>5</v>
      </c>
      <c r="P19" t="n">
        <v>1</v>
      </c>
      <c r="Q19" t="n">
        <v>7</v>
      </c>
      <c r="R19" s="2" t="inlineStr">
        <is>
          <t>Liten sotlav
Garnlav
Gränsticka
Ullticka
Vedtrappmossa
Luddlav
Spindelblomster</t>
        </is>
      </c>
      <c r="S19">
        <f>HYPERLINK("https://klasma.github.io/Logging_2023/artfynd/A 6359-2021 artfynd.xlsx", "A 6359-2021")</f>
        <v/>
      </c>
      <c r="T19">
        <f>HYPERLINK("https://klasma.github.io/Logging_2023/kartor/A 6359-2021 karta.png", "A 6359-2021")</f>
        <v/>
      </c>
      <c r="V19">
        <f>HYPERLINK("https://klasma.github.io/Logging_2023/klagomål/A 6359-2021 FSC-klagomål.docx", "A 6359-2021")</f>
        <v/>
      </c>
      <c r="W19">
        <f>HYPERLINK("https://klasma.github.io/Logging_2023/klagomålsmail/A 6359-2021 FSC-klagomål mail.docx", "A 6359-2021")</f>
        <v/>
      </c>
      <c r="X19">
        <f>HYPERLINK("https://klasma.github.io/Logging_2023/tillsyn/A 6359-2021 tillsynsbegäran.docx", "A 6359-2021")</f>
        <v/>
      </c>
      <c r="Y19">
        <f>HYPERLINK("https://klasma.github.io/Logging_2023/tillsynsmail/A 6359-2021 tillsynsbegäran mail.docx", "A 6359-2021")</f>
        <v/>
      </c>
    </row>
    <row r="20" ht="15" customHeight="1">
      <c r="A20" t="inlineStr">
        <is>
          <t>A 67302-2021</t>
        </is>
      </c>
      <c r="B20" s="1" t="n">
        <v>44523</v>
      </c>
      <c r="C20" s="1" t="n">
        <v>45788</v>
      </c>
      <c r="D20" t="inlineStr">
        <is>
          <t>DALARNAS LÄN</t>
        </is>
      </c>
      <c r="E20" t="inlineStr">
        <is>
          <t>MALUNG-SÄLEN</t>
        </is>
      </c>
      <c r="G20" t="n">
        <v>6.6</v>
      </c>
      <c r="H20" t="n">
        <v>0</v>
      </c>
      <c r="I20" t="n">
        <v>2</v>
      </c>
      <c r="J20" t="n">
        <v>4</v>
      </c>
      <c r="K20" t="n">
        <v>1</v>
      </c>
      <c r="L20" t="n">
        <v>0</v>
      </c>
      <c r="M20" t="n">
        <v>0</v>
      </c>
      <c r="N20" t="n">
        <v>0</v>
      </c>
      <c r="O20" t="n">
        <v>5</v>
      </c>
      <c r="P20" t="n">
        <v>1</v>
      </c>
      <c r="Q20" t="n">
        <v>7</v>
      </c>
      <c r="R20" s="2" t="inlineStr">
        <is>
          <t>Rynkskinn
Gammelgransskål
Garnlav
Ullticka
Violettgrå tagellav
Bronshjon
Vågbandad barkbock</t>
        </is>
      </c>
      <c r="S20">
        <f>HYPERLINK("https://klasma.github.io/Logging_2023/artfynd/A 67302-2021 artfynd.xlsx", "A 67302-2021")</f>
        <v/>
      </c>
      <c r="T20">
        <f>HYPERLINK("https://klasma.github.io/Logging_2023/kartor/A 67302-2021 karta.png", "A 67302-2021")</f>
        <v/>
      </c>
      <c r="V20">
        <f>HYPERLINK("https://klasma.github.io/Logging_2023/klagomål/A 67302-2021 FSC-klagomål.docx", "A 67302-2021")</f>
        <v/>
      </c>
      <c r="W20">
        <f>HYPERLINK("https://klasma.github.io/Logging_2023/klagomålsmail/A 67302-2021 FSC-klagomål mail.docx", "A 67302-2021")</f>
        <v/>
      </c>
      <c r="X20">
        <f>HYPERLINK("https://klasma.github.io/Logging_2023/tillsyn/A 67302-2021 tillsynsbegäran.docx", "A 67302-2021")</f>
        <v/>
      </c>
      <c r="Y20">
        <f>HYPERLINK("https://klasma.github.io/Logging_2023/tillsynsmail/A 67302-2021 tillsynsbegäran mail.docx", "A 67302-2021")</f>
        <v/>
      </c>
    </row>
    <row r="21" ht="15" customHeight="1">
      <c r="A21" t="inlineStr">
        <is>
          <t>A 8305-2022</t>
        </is>
      </c>
      <c r="B21" s="1" t="n">
        <v>44610</v>
      </c>
      <c r="C21" s="1" t="n">
        <v>45788</v>
      </c>
      <c r="D21" t="inlineStr">
        <is>
          <t>DALARNAS LÄN</t>
        </is>
      </c>
      <c r="E21" t="inlineStr">
        <is>
          <t>MALUNG-SÄLEN</t>
        </is>
      </c>
      <c r="G21" t="n">
        <v>2.7</v>
      </c>
      <c r="H21" t="n">
        <v>0</v>
      </c>
      <c r="I21" t="n">
        <v>1</v>
      </c>
      <c r="J21" t="n">
        <v>6</v>
      </c>
      <c r="K21" t="n">
        <v>0</v>
      </c>
      <c r="L21" t="n">
        <v>0</v>
      </c>
      <c r="M21" t="n">
        <v>0</v>
      </c>
      <c r="N21" t="n">
        <v>0</v>
      </c>
      <c r="O21" t="n">
        <v>6</v>
      </c>
      <c r="P21" t="n">
        <v>0</v>
      </c>
      <c r="Q21" t="n">
        <v>7</v>
      </c>
      <c r="R21" s="2" t="inlineStr">
        <is>
          <t>Garnlav
Mörk kolflarnlav
Skrovlig taggsvamp
Svart taggsvamp
Vaxspindling
Vedskivlav
Mindre märgborre</t>
        </is>
      </c>
      <c r="S21">
        <f>HYPERLINK("https://klasma.github.io/Logging_2023/artfynd/A 8305-2022 artfynd.xlsx", "A 8305-2022")</f>
        <v/>
      </c>
      <c r="T21">
        <f>HYPERLINK("https://klasma.github.io/Logging_2023/kartor/A 8305-2022 karta.png", "A 8305-2022")</f>
        <v/>
      </c>
      <c r="V21">
        <f>HYPERLINK("https://klasma.github.io/Logging_2023/klagomål/A 8305-2022 FSC-klagomål.docx", "A 8305-2022")</f>
        <v/>
      </c>
      <c r="W21">
        <f>HYPERLINK("https://klasma.github.io/Logging_2023/klagomålsmail/A 8305-2022 FSC-klagomål mail.docx", "A 8305-2022")</f>
        <v/>
      </c>
      <c r="X21">
        <f>HYPERLINK("https://klasma.github.io/Logging_2023/tillsyn/A 8305-2022 tillsynsbegäran.docx", "A 8305-2022")</f>
        <v/>
      </c>
      <c r="Y21">
        <f>HYPERLINK("https://klasma.github.io/Logging_2023/tillsynsmail/A 8305-2022 tillsynsbegäran mail.docx", "A 8305-2022")</f>
        <v/>
      </c>
    </row>
    <row r="22" ht="15" customHeight="1">
      <c r="A22" t="inlineStr">
        <is>
          <t>A 26616-2024</t>
        </is>
      </c>
      <c r="B22" s="1" t="n">
        <v>45469</v>
      </c>
      <c r="C22" s="1" t="n">
        <v>45788</v>
      </c>
      <c r="D22" t="inlineStr">
        <is>
          <t>DALARNAS LÄN</t>
        </is>
      </c>
      <c r="E22" t="inlineStr">
        <is>
          <t>MALUNG-SÄLEN</t>
        </is>
      </c>
      <c r="G22" t="n">
        <v>5.4</v>
      </c>
      <c r="H22" t="n">
        <v>0</v>
      </c>
      <c r="I22" t="n">
        <v>1</v>
      </c>
      <c r="J22" t="n">
        <v>5</v>
      </c>
      <c r="K22" t="n">
        <v>1</v>
      </c>
      <c r="L22" t="n">
        <v>0</v>
      </c>
      <c r="M22" t="n">
        <v>0</v>
      </c>
      <c r="N22" t="n">
        <v>0</v>
      </c>
      <c r="O22" t="n">
        <v>6</v>
      </c>
      <c r="P22" t="n">
        <v>1</v>
      </c>
      <c r="Q22" t="n">
        <v>7</v>
      </c>
      <c r="R22" s="2" t="inlineStr">
        <is>
          <t>Rynkskinn
Garnlav
Granticka
Rosenticka
Ullticka
Vedskivlav
Bronshjon</t>
        </is>
      </c>
      <c r="S22">
        <f>HYPERLINK("https://klasma.github.io/Logging_2023/artfynd/A 26616-2024 artfynd.xlsx", "A 26616-2024")</f>
        <v/>
      </c>
      <c r="T22">
        <f>HYPERLINK("https://klasma.github.io/Logging_2023/kartor/A 26616-2024 karta.png", "A 26616-2024")</f>
        <v/>
      </c>
      <c r="V22">
        <f>HYPERLINK("https://klasma.github.io/Logging_2023/klagomål/A 26616-2024 FSC-klagomål.docx", "A 26616-2024")</f>
        <v/>
      </c>
      <c r="W22">
        <f>HYPERLINK("https://klasma.github.io/Logging_2023/klagomålsmail/A 26616-2024 FSC-klagomål mail.docx", "A 26616-2024")</f>
        <v/>
      </c>
      <c r="X22">
        <f>HYPERLINK("https://klasma.github.io/Logging_2023/tillsyn/A 26616-2024 tillsynsbegäran.docx", "A 26616-2024")</f>
        <v/>
      </c>
      <c r="Y22">
        <f>HYPERLINK("https://klasma.github.io/Logging_2023/tillsynsmail/A 26616-2024 tillsynsbegäran mail.docx", "A 26616-2024")</f>
        <v/>
      </c>
    </row>
    <row r="23" ht="15" customHeight="1">
      <c r="A23" t="inlineStr">
        <is>
          <t>A 55505-2024</t>
        </is>
      </c>
      <c r="B23" s="1" t="n">
        <v>45622</v>
      </c>
      <c r="C23" s="1" t="n">
        <v>45788</v>
      </c>
      <c r="D23" t="inlineStr">
        <is>
          <t>DALARNAS LÄN</t>
        </is>
      </c>
      <c r="E23" t="inlineStr">
        <is>
          <t>MALUNG-SÄLEN</t>
        </is>
      </c>
      <c r="F23" t="inlineStr">
        <is>
          <t>Allmännings- och besparingsskogar</t>
        </is>
      </c>
      <c r="G23" t="n">
        <v>34.5</v>
      </c>
      <c r="H23" t="n">
        <v>0</v>
      </c>
      <c r="I23" t="n">
        <v>0</v>
      </c>
      <c r="J23" t="n">
        <v>7</v>
      </c>
      <c r="K23" t="n">
        <v>0</v>
      </c>
      <c r="L23" t="n">
        <v>0</v>
      </c>
      <c r="M23" t="n">
        <v>0</v>
      </c>
      <c r="N23" t="n">
        <v>0</v>
      </c>
      <c r="O23" t="n">
        <v>7</v>
      </c>
      <c r="P23" t="n">
        <v>0</v>
      </c>
      <c r="Q23" t="n">
        <v>7</v>
      </c>
      <c r="R23" s="2" t="inlineStr">
        <is>
          <t>Dvärgbägarlav
Kolflarnlav
Kortskaftad ärgspik
Mörk kolflarnlav
Nordtagging
Vedflamlav
Vedskivlav</t>
        </is>
      </c>
      <c r="S23">
        <f>HYPERLINK("https://klasma.github.io/Logging_2023/artfynd/A 55505-2024 artfynd.xlsx", "A 55505-2024")</f>
        <v/>
      </c>
      <c r="T23">
        <f>HYPERLINK("https://klasma.github.io/Logging_2023/kartor/A 55505-2024 karta.png", "A 55505-2024")</f>
        <v/>
      </c>
      <c r="V23">
        <f>HYPERLINK("https://klasma.github.io/Logging_2023/klagomål/A 55505-2024 FSC-klagomål.docx", "A 55505-2024")</f>
        <v/>
      </c>
      <c r="W23">
        <f>HYPERLINK("https://klasma.github.io/Logging_2023/klagomålsmail/A 55505-2024 FSC-klagomål mail.docx", "A 55505-2024")</f>
        <v/>
      </c>
      <c r="X23">
        <f>HYPERLINK("https://klasma.github.io/Logging_2023/tillsyn/A 55505-2024 tillsynsbegäran.docx", "A 55505-2024")</f>
        <v/>
      </c>
      <c r="Y23">
        <f>HYPERLINK("https://klasma.github.io/Logging_2023/tillsynsmail/A 55505-2024 tillsynsbegäran mail.docx", "A 55505-2024")</f>
        <v/>
      </c>
    </row>
    <row r="24" ht="15" customHeight="1">
      <c r="A24" t="inlineStr">
        <is>
          <t>A 24094-2024</t>
        </is>
      </c>
      <c r="B24" s="1" t="n">
        <v>45456</v>
      </c>
      <c r="C24" s="1" t="n">
        <v>45788</v>
      </c>
      <c r="D24" t="inlineStr">
        <is>
          <t>DALARNAS LÄN</t>
        </is>
      </c>
      <c r="E24" t="inlineStr">
        <is>
          <t>MALUNG-SÄLEN</t>
        </is>
      </c>
      <c r="G24" t="n">
        <v>16</v>
      </c>
      <c r="H24" t="n">
        <v>0</v>
      </c>
      <c r="I24" t="n">
        <v>0</v>
      </c>
      <c r="J24" t="n">
        <v>6</v>
      </c>
      <c r="K24" t="n">
        <v>0</v>
      </c>
      <c r="L24" t="n">
        <v>0</v>
      </c>
      <c r="M24" t="n">
        <v>0</v>
      </c>
      <c r="N24" t="n">
        <v>0</v>
      </c>
      <c r="O24" t="n">
        <v>6</v>
      </c>
      <c r="P24" t="n">
        <v>0</v>
      </c>
      <c r="Q24" t="n">
        <v>6</v>
      </c>
      <c r="R24" s="2" t="inlineStr">
        <is>
          <t>Blanksvart spiklav
Garnlav
Kolflarnlav
Kortskaftad ärgspik
Mörk kolflarnlav
Vedflamlav</t>
        </is>
      </c>
      <c r="S24">
        <f>HYPERLINK("https://klasma.github.io/Logging_2023/artfynd/A 24094-2024 artfynd.xlsx", "A 24094-2024")</f>
        <v/>
      </c>
      <c r="T24">
        <f>HYPERLINK("https://klasma.github.io/Logging_2023/kartor/A 24094-2024 karta.png", "A 24094-2024")</f>
        <v/>
      </c>
      <c r="V24">
        <f>HYPERLINK("https://klasma.github.io/Logging_2023/klagomål/A 24094-2024 FSC-klagomål.docx", "A 24094-2024")</f>
        <v/>
      </c>
      <c r="W24">
        <f>HYPERLINK("https://klasma.github.io/Logging_2023/klagomålsmail/A 24094-2024 FSC-klagomål mail.docx", "A 24094-2024")</f>
        <v/>
      </c>
      <c r="X24">
        <f>HYPERLINK("https://klasma.github.io/Logging_2023/tillsyn/A 24094-2024 tillsynsbegäran.docx", "A 24094-2024")</f>
        <v/>
      </c>
      <c r="Y24">
        <f>HYPERLINK("https://klasma.github.io/Logging_2023/tillsynsmail/A 24094-2024 tillsynsbegäran mail.docx", "A 24094-2024")</f>
        <v/>
      </c>
    </row>
    <row r="25" ht="15" customHeight="1">
      <c r="A25" t="inlineStr">
        <is>
          <t>A 24950-2024</t>
        </is>
      </c>
      <c r="B25" s="1" t="n">
        <v>45461</v>
      </c>
      <c r="C25" s="1" t="n">
        <v>45788</v>
      </c>
      <c r="D25" t="inlineStr">
        <is>
          <t>DALARNAS LÄN</t>
        </is>
      </c>
      <c r="E25" t="inlineStr">
        <is>
          <t>MALUNG-SÄLEN</t>
        </is>
      </c>
      <c r="F25" t="inlineStr">
        <is>
          <t>Allmännings- och besparingsskogar</t>
        </is>
      </c>
      <c r="G25" t="n">
        <v>23.2</v>
      </c>
      <c r="H25" t="n">
        <v>1</v>
      </c>
      <c r="I25" t="n">
        <v>0</v>
      </c>
      <c r="J25" t="n">
        <v>6</v>
      </c>
      <c r="K25" t="n">
        <v>0</v>
      </c>
      <c r="L25" t="n">
        <v>0</v>
      </c>
      <c r="M25" t="n">
        <v>0</v>
      </c>
      <c r="N25" t="n">
        <v>0</v>
      </c>
      <c r="O25" t="n">
        <v>6</v>
      </c>
      <c r="P25" t="n">
        <v>0</v>
      </c>
      <c r="Q25" t="n">
        <v>6</v>
      </c>
      <c r="R25" s="2" t="inlineStr">
        <is>
          <t>Dvärgbägarlav
Kolflarnlav
Mörk kolflarnlav
Tretåig hackspett
Vedskivlav
Vitgrynig nållav</t>
        </is>
      </c>
      <c r="S25">
        <f>HYPERLINK("https://klasma.github.io/Logging_2023/artfynd/A 24950-2024 artfynd.xlsx", "A 24950-2024")</f>
        <v/>
      </c>
      <c r="T25">
        <f>HYPERLINK("https://klasma.github.io/Logging_2023/kartor/A 24950-2024 karta.png", "A 24950-2024")</f>
        <v/>
      </c>
      <c r="V25">
        <f>HYPERLINK("https://klasma.github.io/Logging_2023/klagomål/A 24950-2024 FSC-klagomål.docx", "A 24950-2024")</f>
        <v/>
      </c>
      <c r="W25">
        <f>HYPERLINK("https://klasma.github.io/Logging_2023/klagomålsmail/A 24950-2024 FSC-klagomål mail.docx", "A 24950-2024")</f>
        <v/>
      </c>
      <c r="X25">
        <f>HYPERLINK("https://klasma.github.io/Logging_2023/tillsyn/A 24950-2024 tillsynsbegäran.docx", "A 24950-2024")</f>
        <v/>
      </c>
      <c r="Y25">
        <f>HYPERLINK("https://klasma.github.io/Logging_2023/tillsynsmail/A 24950-2024 tillsynsbegäran mail.docx", "A 24950-2024")</f>
        <v/>
      </c>
      <c r="Z25">
        <f>HYPERLINK("https://klasma.github.io/Logging_2023/fåglar/A 24950-2024 prioriterade fågelarter.docx", "A 24950-2024")</f>
        <v/>
      </c>
    </row>
    <row r="26" ht="15" customHeight="1">
      <c r="A26" t="inlineStr">
        <is>
          <t>A 59000-2024</t>
        </is>
      </c>
      <c r="B26" s="1" t="n">
        <v>45636</v>
      </c>
      <c r="C26" s="1" t="n">
        <v>45788</v>
      </c>
      <c r="D26" t="inlineStr">
        <is>
          <t>DALARNAS LÄN</t>
        </is>
      </c>
      <c r="E26" t="inlineStr">
        <is>
          <t>MALUNG-SÄLEN</t>
        </is>
      </c>
      <c r="G26" t="n">
        <v>9.199999999999999</v>
      </c>
      <c r="H26" t="n">
        <v>0</v>
      </c>
      <c r="I26" t="n">
        <v>2</v>
      </c>
      <c r="J26" t="n">
        <v>4</v>
      </c>
      <c r="K26" t="n">
        <v>0</v>
      </c>
      <c r="L26" t="n">
        <v>0</v>
      </c>
      <c r="M26" t="n">
        <v>0</v>
      </c>
      <c r="N26" t="n">
        <v>0</v>
      </c>
      <c r="O26" t="n">
        <v>4</v>
      </c>
      <c r="P26" t="n">
        <v>0</v>
      </c>
      <c r="Q26" t="n">
        <v>6</v>
      </c>
      <c r="R26" s="2" t="inlineStr">
        <is>
          <t>Garnlav
Stjärntagging
Ullticka
Vedtrappmossa
Gulnål
Skuggblåslav</t>
        </is>
      </c>
      <c r="S26">
        <f>HYPERLINK("https://klasma.github.io/Logging_2023/artfynd/A 59000-2024 artfynd.xlsx", "A 59000-2024")</f>
        <v/>
      </c>
      <c r="T26">
        <f>HYPERLINK("https://klasma.github.io/Logging_2023/kartor/A 59000-2024 karta.png", "A 59000-2024")</f>
        <v/>
      </c>
      <c r="U26">
        <f>HYPERLINK("https://klasma.github.io/Logging_2023/knärot/A 59000-2024 karta knärot.png", "A 59000-2024")</f>
        <v/>
      </c>
      <c r="V26">
        <f>HYPERLINK("https://klasma.github.io/Logging_2023/klagomål/A 59000-2024 FSC-klagomål.docx", "A 59000-2024")</f>
        <v/>
      </c>
      <c r="W26">
        <f>HYPERLINK("https://klasma.github.io/Logging_2023/klagomålsmail/A 59000-2024 FSC-klagomål mail.docx", "A 59000-2024")</f>
        <v/>
      </c>
      <c r="X26">
        <f>HYPERLINK("https://klasma.github.io/Logging_2023/tillsyn/A 59000-2024 tillsynsbegäran.docx", "A 59000-2024")</f>
        <v/>
      </c>
      <c r="Y26">
        <f>HYPERLINK("https://klasma.github.io/Logging_2023/tillsynsmail/A 59000-2024 tillsynsbegäran mail.docx", "A 59000-2024")</f>
        <v/>
      </c>
    </row>
    <row r="27" ht="15" customHeight="1">
      <c r="A27" t="inlineStr">
        <is>
          <t>A 22238-2019</t>
        </is>
      </c>
      <c r="B27" s="1" t="n">
        <v>43585</v>
      </c>
      <c r="C27" s="1" t="n">
        <v>45788</v>
      </c>
      <c r="D27" t="inlineStr">
        <is>
          <t>DALARNAS LÄN</t>
        </is>
      </c>
      <c r="E27" t="inlineStr">
        <is>
          <t>MALUNG-SÄLEN</t>
        </is>
      </c>
      <c r="G27" t="n">
        <v>7.2</v>
      </c>
      <c r="H27" t="n">
        <v>0</v>
      </c>
      <c r="I27" t="n">
        <v>0</v>
      </c>
      <c r="J27" t="n">
        <v>5</v>
      </c>
      <c r="K27" t="n">
        <v>0</v>
      </c>
      <c r="L27" t="n">
        <v>0</v>
      </c>
      <c r="M27" t="n">
        <v>0</v>
      </c>
      <c r="N27" t="n">
        <v>0</v>
      </c>
      <c r="O27" t="n">
        <v>5</v>
      </c>
      <c r="P27" t="n">
        <v>0</v>
      </c>
      <c r="Q27" t="n">
        <v>5</v>
      </c>
      <c r="R27" s="2" t="inlineStr">
        <is>
          <t>Blågrå svartspik
Dvärgbägarlav
Kolflarnlav
Vedflamlav
Vedskivlav</t>
        </is>
      </c>
      <c r="S27">
        <f>HYPERLINK("https://klasma.github.io/Logging_2023/artfynd/A 22238-2019 artfynd.xlsx", "A 22238-2019")</f>
        <v/>
      </c>
      <c r="T27">
        <f>HYPERLINK("https://klasma.github.io/Logging_2023/kartor/A 22238-2019 karta.png", "A 22238-2019")</f>
        <v/>
      </c>
      <c r="V27">
        <f>HYPERLINK("https://klasma.github.io/Logging_2023/klagomål/A 22238-2019 FSC-klagomål.docx", "A 22238-2019")</f>
        <v/>
      </c>
      <c r="W27">
        <f>HYPERLINK("https://klasma.github.io/Logging_2023/klagomålsmail/A 22238-2019 FSC-klagomål mail.docx", "A 22238-2019")</f>
        <v/>
      </c>
      <c r="X27">
        <f>HYPERLINK("https://klasma.github.io/Logging_2023/tillsyn/A 22238-2019 tillsynsbegäran.docx", "A 22238-2019")</f>
        <v/>
      </c>
      <c r="Y27">
        <f>HYPERLINK("https://klasma.github.io/Logging_2023/tillsynsmail/A 22238-2019 tillsynsbegäran mail.docx", "A 22238-2019")</f>
        <v/>
      </c>
    </row>
    <row r="28" ht="15" customHeight="1">
      <c r="A28" t="inlineStr">
        <is>
          <t>A 4956-2020</t>
        </is>
      </c>
      <c r="B28" s="1" t="n">
        <v>43859</v>
      </c>
      <c r="C28" s="1" t="n">
        <v>45788</v>
      </c>
      <c r="D28" t="inlineStr">
        <is>
          <t>DALARNAS LÄN</t>
        </is>
      </c>
      <c r="E28" t="inlineStr">
        <is>
          <t>MALUNG-SÄLEN</t>
        </is>
      </c>
      <c r="G28" t="n">
        <v>8.800000000000001</v>
      </c>
      <c r="H28" t="n">
        <v>1</v>
      </c>
      <c r="I28" t="n">
        <v>1</v>
      </c>
      <c r="J28" t="n">
        <v>4</v>
      </c>
      <c r="K28" t="n">
        <v>0</v>
      </c>
      <c r="L28" t="n">
        <v>0</v>
      </c>
      <c r="M28" t="n">
        <v>0</v>
      </c>
      <c r="N28" t="n">
        <v>0</v>
      </c>
      <c r="O28" t="n">
        <v>4</v>
      </c>
      <c r="P28" t="n">
        <v>0</v>
      </c>
      <c r="Q28" t="n">
        <v>5</v>
      </c>
      <c r="R28" s="2" t="inlineStr">
        <is>
          <t>Doftskinn
Garnlav
Tretåig hackspett
Violettgrå tagellav
Bronshjon</t>
        </is>
      </c>
      <c r="S28">
        <f>HYPERLINK("https://klasma.github.io/Logging_2023/artfynd/A 4956-2020 artfynd.xlsx", "A 4956-2020")</f>
        <v/>
      </c>
      <c r="T28">
        <f>HYPERLINK("https://klasma.github.io/Logging_2023/kartor/A 4956-2020 karta.png", "A 4956-2020")</f>
        <v/>
      </c>
      <c r="V28">
        <f>HYPERLINK("https://klasma.github.io/Logging_2023/klagomål/A 4956-2020 FSC-klagomål.docx", "A 4956-2020")</f>
        <v/>
      </c>
      <c r="W28">
        <f>HYPERLINK("https://klasma.github.io/Logging_2023/klagomålsmail/A 4956-2020 FSC-klagomål mail.docx", "A 4956-2020")</f>
        <v/>
      </c>
      <c r="X28">
        <f>HYPERLINK("https://klasma.github.io/Logging_2023/tillsyn/A 4956-2020 tillsynsbegäran.docx", "A 4956-2020")</f>
        <v/>
      </c>
      <c r="Y28">
        <f>HYPERLINK("https://klasma.github.io/Logging_2023/tillsynsmail/A 4956-2020 tillsynsbegäran mail.docx", "A 4956-2020")</f>
        <v/>
      </c>
      <c r="Z28">
        <f>HYPERLINK("https://klasma.github.io/Logging_2023/fåglar/A 4956-2020 prioriterade fågelarter.docx", "A 4956-2020")</f>
        <v/>
      </c>
    </row>
    <row r="29" ht="15" customHeight="1">
      <c r="A29" t="inlineStr">
        <is>
          <t>A 63734-2020</t>
        </is>
      </c>
      <c r="B29" s="1" t="n">
        <v>44166</v>
      </c>
      <c r="C29" s="1" t="n">
        <v>45788</v>
      </c>
      <c r="D29" t="inlineStr">
        <is>
          <t>DALARNAS LÄN</t>
        </is>
      </c>
      <c r="E29" t="inlineStr">
        <is>
          <t>MALUNG-SÄLEN</t>
        </is>
      </c>
      <c r="G29" t="n">
        <v>0.8</v>
      </c>
      <c r="H29" t="n">
        <v>0</v>
      </c>
      <c r="I29" t="n">
        <v>1</v>
      </c>
      <c r="J29" t="n">
        <v>4</v>
      </c>
      <c r="K29" t="n">
        <v>0</v>
      </c>
      <c r="L29" t="n">
        <v>0</v>
      </c>
      <c r="M29" t="n">
        <v>0</v>
      </c>
      <c r="N29" t="n">
        <v>0</v>
      </c>
      <c r="O29" t="n">
        <v>4</v>
      </c>
      <c r="P29" t="n">
        <v>0</v>
      </c>
      <c r="Q29" t="n">
        <v>5</v>
      </c>
      <c r="R29" s="2" t="inlineStr">
        <is>
          <t>Garnlav
Mörk kolflarnlav
Skrovellav
Violettgrå tagellav
Björksplintborre</t>
        </is>
      </c>
      <c r="S29">
        <f>HYPERLINK("https://klasma.github.io/Logging_2023/artfynd/A 63734-2020 artfynd.xlsx", "A 63734-2020")</f>
        <v/>
      </c>
      <c r="T29">
        <f>HYPERLINK("https://klasma.github.io/Logging_2023/kartor/A 63734-2020 karta.png", "A 63734-2020")</f>
        <v/>
      </c>
      <c r="V29">
        <f>HYPERLINK("https://klasma.github.io/Logging_2023/klagomål/A 63734-2020 FSC-klagomål.docx", "A 63734-2020")</f>
        <v/>
      </c>
      <c r="W29">
        <f>HYPERLINK("https://klasma.github.io/Logging_2023/klagomålsmail/A 63734-2020 FSC-klagomål mail.docx", "A 63734-2020")</f>
        <v/>
      </c>
      <c r="X29">
        <f>HYPERLINK("https://klasma.github.io/Logging_2023/tillsyn/A 63734-2020 tillsynsbegäran.docx", "A 63734-2020")</f>
        <v/>
      </c>
      <c r="Y29">
        <f>HYPERLINK("https://klasma.github.io/Logging_2023/tillsynsmail/A 63734-2020 tillsynsbegäran mail.docx", "A 63734-2020")</f>
        <v/>
      </c>
    </row>
    <row r="30" ht="15" customHeight="1">
      <c r="A30" t="inlineStr">
        <is>
          <t>A 28070-2023</t>
        </is>
      </c>
      <c r="B30" s="1" t="n">
        <v>45099</v>
      </c>
      <c r="C30" s="1" t="n">
        <v>45788</v>
      </c>
      <c r="D30" t="inlineStr">
        <is>
          <t>DALARNAS LÄN</t>
        </is>
      </c>
      <c r="E30" t="inlineStr">
        <is>
          <t>MALUNG-SÄLEN</t>
        </is>
      </c>
      <c r="G30" t="n">
        <v>4.1</v>
      </c>
      <c r="H30" t="n">
        <v>0</v>
      </c>
      <c r="I30" t="n">
        <v>2</v>
      </c>
      <c r="J30" t="n">
        <v>3</v>
      </c>
      <c r="K30" t="n">
        <v>0</v>
      </c>
      <c r="L30" t="n">
        <v>0</v>
      </c>
      <c r="M30" t="n">
        <v>0</v>
      </c>
      <c r="N30" t="n">
        <v>0</v>
      </c>
      <c r="O30" t="n">
        <v>3</v>
      </c>
      <c r="P30" t="n">
        <v>0</v>
      </c>
      <c r="Q30" t="n">
        <v>5</v>
      </c>
      <c r="R30" s="2" t="inlineStr">
        <is>
          <t>Gammelgransskål
Garnlav
Violettgrå tagellav
Trådticka
Vedticka</t>
        </is>
      </c>
      <c r="S30">
        <f>HYPERLINK("https://klasma.github.io/Logging_2023/artfynd/A 28070-2023 artfynd.xlsx", "A 28070-2023")</f>
        <v/>
      </c>
      <c r="T30">
        <f>HYPERLINK("https://klasma.github.io/Logging_2023/kartor/A 28070-2023 karta.png", "A 28070-2023")</f>
        <v/>
      </c>
      <c r="V30">
        <f>HYPERLINK("https://klasma.github.io/Logging_2023/klagomål/A 28070-2023 FSC-klagomål.docx", "A 28070-2023")</f>
        <v/>
      </c>
      <c r="W30">
        <f>HYPERLINK("https://klasma.github.io/Logging_2023/klagomålsmail/A 28070-2023 FSC-klagomål mail.docx", "A 28070-2023")</f>
        <v/>
      </c>
      <c r="X30">
        <f>HYPERLINK("https://klasma.github.io/Logging_2023/tillsyn/A 28070-2023 tillsynsbegäran.docx", "A 28070-2023")</f>
        <v/>
      </c>
      <c r="Y30">
        <f>HYPERLINK("https://klasma.github.io/Logging_2023/tillsynsmail/A 28070-2023 tillsynsbegäran mail.docx", "A 28070-2023")</f>
        <v/>
      </c>
    </row>
    <row r="31" ht="15" customHeight="1">
      <c r="A31" t="inlineStr">
        <is>
          <t>A 62009-2023</t>
        </is>
      </c>
      <c r="B31" s="1" t="n">
        <v>45266</v>
      </c>
      <c r="C31" s="1" t="n">
        <v>45788</v>
      </c>
      <c r="D31" t="inlineStr">
        <is>
          <t>DALARNAS LÄN</t>
        </is>
      </c>
      <c r="E31" t="inlineStr">
        <is>
          <t>MALUNG-SÄLEN</t>
        </is>
      </c>
      <c r="G31" t="n">
        <v>10</v>
      </c>
      <c r="H31" t="n">
        <v>0</v>
      </c>
      <c r="I31" t="n">
        <v>0</v>
      </c>
      <c r="J31" t="n">
        <v>5</v>
      </c>
      <c r="K31" t="n">
        <v>0</v>
      </c>
      <c r="L31" t="n">
        <v>0</v>
      </c>
      <c r="M31" t="n">
        <v>0</v>
      </c>
      <c r="N31" t="n">
        <v>0</v>
      </c>
      <c r="O31" t="n">
        <v>5</v>
      </c>
      <c r="P31" t="n">
        <v>0</v>
      </c>
      <c r="Q31" t="n">
        <v>5</v>
      </c>
      <c r="R31" s="2" t="inlineStr">
        <is>
          <t>Blågrå svartspik
Garnlav
Kolflarnlav
Vedskivlav
Violettgrå tagellav</t>
        </is>
      </c>
      <c r="S31">
        <f>HYPERLINK("https://klasma.github.io/Logging_2023/artfynd/A 62009-2023 artfynd.xlsx", "A 62009-2023")</f>
        <v/>
      </c>
      <c r="T31">
        <f>HYPERLINK("https://klasma.github.io/Logging_2023/kartor/A 62009-2023 karta.png", "A 62009-2023")</f>
        <v/>
      </c>
      <c r="V31">
        <f>HYPERLINK("https://klasma.github.io/Logging_2023/klagomål/A 62009-2023 FSC-klagomål.docx", "A 62009-2023")</f>
        <v/>
      </c>
      <c r="W31">
        <f>HYPERLINK("https://klasma.github.io/Logging_2023/klagomålsmail/A 62009-2023 FSC-klagomål mail.docx", "A 62009-2023")</f>
        <v/>
      </c>
      <c r="X31">
        <f>HYPERLINK("https://klasma.github.io/Logging_2023/tillsyn/A 62009-2023 tillsynsbegäran.docx", "A 62009-2023")</f>
        <v/>
      </c>
      <c r="Y31">
        <f>HYPERLINK("https://klasma.github.io/Logging_2023/tillsynsmail/A 62009-2023 tillsynsbegäran mail.docx", "A 62009-2023")</f>
        <v/>
      </c>
    </row>
    <row r="32" ht="15" customHeight="1">
      <c r="A32" t="inlineStr">
        <is>
          <t>A 62321-2019</t>
        </is>
      </c>
      <c r="B32" s="1" t="n">
        <v>43788</v>
      </c>
      <c r="C32" s="1" t="n">
        <v>45788</v>
      </c>
      <c r="D32" t="inlineStr">
        <is>
          <t>DALARNAS LÄN</t>
        </is>
      </c>
      <c r="E32" t="inlineStr">
        <is>
          <t>MALUNG-SÄLEN</t>
        </is>
      </c>
      <c r="G32" t="n">
        <v>4.5</v>
      </c>
      <c r="H32" t="n">
        <v>0</v>
      </c>
      <c r="I32" t="n">
        <v>1</v>
      </c>
      <c r="J32" t="n">
        <v>3</v>
      </c>
      <c r="K32" t="n">
        <v>0</v>
      </c>
      <c r="L32" t="n">
        <v>0</v>
      </c>
      <c r="M32" t="n">
        <v>0</v>
      </c>
      <c r="N32" t="n">
        <v>0</v>
      </c>
      <c r="O32" t="n">
        <v>3</v>
      </c>
      <c r="P32" t="n">
        <v>0</v>
      </c>
      <c r="Q32" t="n">
        <v>4</v>
      </c>
      <c r="R32" s="2" t="inlineStr">
        <is>
          <t>Doftskinn
Garnlav
Ullticka
Vedticka</t>
        </is>
      </c>
      <c r="S32">
        <f>HYPERLINK("https://klasma.github.io/Logging_2023/artfynd/A 62321-2019 artfynd.xlsx", "A 62321-2019")</f>
        <v/>
      </c>
      <c r="T32">
        <f>HYPERLINK("https://klasma.github.io/Logging_2023/kartor/A 62321-2019 karta.png", "A 62321-2019")</f>
        <v/>
      </c>
      <c r="V32">
        <f>HYPERLINK("https://klasma.github.io/Logging_2023/klagomål/A 62321-2019 FSC-klagomål.docx", "A 62321-2019")</f>
        <v/>
      </c>
      <c r="W32">
        <f>HYPERLINK("https://klasma.github.io/Logging_2023/klagomålsmail/A 62321-2019 FSC-klagomål mail.docx", "A 62321-2019")</f>
        <v/>
      </c>
      <c r="X32">
        <f>HYPERLINK("https://klasma.github.io/Logging_2023/tillsyn/A 62321-2019 tillsynsbegäran.docx", "A 62321-2019")</f>
        <v/>
      </c>
      <c r="Y32">
        <f>HYPERLINK("https://klasma.github.io/Logging_2023/tillsynsmail/A 62321-2019 tillsynsbegäran mail.docx", "A 62321-2019")</f>
        <v/>
      </c>
    </row>
    <row r="33" ht="15" customHeight="1">
      <c r="A33" t="inlineStr">
        <is>
          <t>A 30133-2021</t>
        </is>
      </c>
      <c r="B33" s="1" t="n">
        <v>44363</v>
      </c>
      <c r="C33" s="1" t="n">
        <v>45788</v>
      </c>
      <c r="D33" t="inlineStr">
        <is>
          <t>DALARNAS LÄN</t>
        </is>
      </c>
      <c r="E33" t="inlineStr">
        <is>
          <t>MALUNG-SÄLEN</t>
        </is>
      </c>
      <c r="G33" t="n">
        <v>3.6</v>
      </c>
      <c r="H33" t="n">
        <v>0</v>
      </c>
      <c r="I33" t="n">
        <v>1</v>
      </c>
      <c r="J33" t="n">
        <v>3</v>
      </c>
      <c r="K33" t="n">
        <v>0</v>
      </c>
      <c r="L33" t="n">
        <v>0</v>
      </c>
      <c r="M33" t="n">
        <v>0</v>
      </c>
      <c r="N33" t="n">
        <v>0</v>
      </c>
      <c r="O33" t="n">
        <v>3</v>
      </c>
      <c r="P33" t="n">
        <v>0</v>
      </c>
      <c r="Q33" t="n">
        <v>4</v>
      </c>
      <c r="R33" s="2" t="inlineStr">
        <is>
          <t>Dvärgbägarlav
Garnlav
Lunglav
Dropptaggsvamp</t>
        </is>
      </c>
      <c r="S33">
        <f>HYPERLINK("https://klasma.github.io/Logging_2023/artfynd/A 30133-2021 artfynd.xlsx", "A 30133-2021")</f>
        <v/>
      </c>
      <c r="T33">
        <f>HYPERLINK("https://klasma.github.io/Logging_2023/kartor/A 30133-2021 karta.png", "A 30133-2021")</f>
        <v/>
      </c>
      <c r="V33">
        <f>HYPERLINK("https://klasma.github.io/Logging_2023/klagomål/A 30133-2021 FSC-klagomål.docx", "A 30133-2021")</f>
        <v/>
      </c>
      <c r="W33">
        <f>HYPERLINK("https://klasma.github.io/Logging_2023/klagomålsmail/A 30133-2021 FSC-klagomål mail.docx", "A 30133-2021")</f>
        <v/>
      </c>
      <c r="X33">
        <f>HYPERLINK("https://klasma.github.io/Logging_2023/tillsyn/A 30133-2021 tillsynsbegäran.docx", "A 30133-2021")</f>
        <v/>
      </c>
      <c r="Y33">
        <f>HYPERLINK("https://klasma.github.io/Logging_2023/tillsynsmail/A 30133-2021 tillsynsbegäran mail.docx", "A 30133-2021")</f>
        <v/>
      </c>
    </row>
    <row r="34" ht="15" customHeight="1">
      <c r="A34" t="inlineStr">
        <is>
          <t>A 16885-2022</t>
        </is>
      </c>
      <c r="B34" s="1" t="n">
        <v>44676</v>
      </c>
      <c r="C34" s="1" t="n">
        <v>45788</v>
      </c>
      <c r="D34" t="inlineStr">
        <is>
          <t>DALARNAS LÄN</t>
        </is>
      </c>
      <c r="E34" t="inlineStr">
        <is>
          <t>MALUNG-SÄLEN</t>
        </is>
      </c>
      <c r="G34" t="n">
        <v>7.8</v>
      </c>
      <c r="H34" t="n">
        <v>0</v>
      </c>
      <c r="I34" t="n">
        <v>0</v>
      </c>
      <c r="J34" t="n">
        <v>4</v>
      </c>
      <c r="K34" t="n">
        <v>0</v>
      </c>
      <c r="L34" t="n">
        <v>0</v>
      </c>
      <c r="M34" t="n">
        <v>0</v>
      </c>
      <c r="N34" t="n">
        <v>0</v>
      </c>
      <c r="O34" t="n">
        <v>4</v>
      </c>
      <c r="P34" t="n">
        <v>0</v>
      </c>
      <c r="Q34" t="n">
        <v>4</v>
      </c>
      <c r="R34" s="2" t="inlineStr">
        <is>
          <t>Garnlav
Kolflarnlav
Ullticka
Vedskivlav</t>
        </is>
      </c>
      <c r="S34">
        <f>HYPERLINK("https://klasma.github.io/Logging_2023/artfynd/A 16885-2022 artfynd.xlsx", "A 16885-2022")</f>
        <v/>
      </c>
      <c r="T34">
        <f>HYPERLINK("https://klasma.github.io/Logging_2023/kartor/A 16885-2022 karta.png", "A 16885-2022")</f>
        <v/>
      </c>
      <c r="V34">
        <f>HYPERLINK("https://klasma.github.io/Logging_2023/klagomål/A 16885-2022 FSC-klagomål.docx", "A 16885-2022")</f>
        <v/>
      </c>
      <c r="W34">
        <f>HYPERLINK("https://klasma.github.io/Logging_2023/klagomålsmail/A 16885-2022 FSC-klagomål mail.docx", "A 16885-2022")</f>
        <v/>
      </c>
      <c r="X34">
        <f>HYPERLINK("https://klasma.github.io/Logging_2023/tillsyn/A 16885-2022 tillsynsbegäran.docx", "A 16885-2022")</f>
        <v/>
      </c>
      <c r="Y34">
        <f>HYPERLINK("https://klasma.github.io/Logging_2023/tillsynsmail/A 16885-2022 tillsynsbegäran mail.docx", "A 16885-2022")</f>
        <v/>
      </c>
    </row>
    <row r="35" ht="15" customHeight="1">
      <c r="A35" t="inlineStr">
        <is>
          <t>A 43065-2022</t>
        </is>
      </c>
      <c r="B35" s="1" t="n">
        <v>44833</v>
      </c>
      <c r="C35" s="1" t="n">
        <v>45788</v>
      </c>
      <c r="D35" t="inlineStr">
        <is>
          <t>DALARNAS LÄN</t>
        </is>
      </c>
      <c r="E35" t="inlineStr">
        <is>
          <t>MALUNG-SÄLEN</t>
        </is>
      </c>
      <c r="F35" t="inlineStr">
        <is>
          <t>Bergvik skog väst AB</t>
        </is>
      </c>
      <c r="G35" t="n">
        <v>3.6</v>
      </c>
      <c r="H35" t="n">
        <v>1</v>
      </c>
      <c r="I35" t="n">
        <v>0</v>
      </c>
      <c r="J35" t="n">
        <v>3</v>
      </c>
      <c r="K35" t="n">
        <v>0</v>
      </c>
      <c r="L35" t="n">
        <v>0</v>
      </c>
      <c r="M35" t="n">
        <v>0</v>
      </c>
      <c r="N35" t="n">
        <v>0</v>
      </c>
      <c r="O35" t="n">
        <v>3</v>
      </c>
      <c r="P35" t="n">
        <v>0</v>
      </c>
      <c r="Q35" t="n">
        <v>4</v>
      </c>
      <c r="R35" s="2" t="inlineStr">
        <is>
          <t>Kolflarnlav
Mörk kolflarnlav
Vedskivlav
Fläcknycklar</t>
        </is>
      </c>
      <c r="S35">
        <f>HYPERLINK("https://klasma.github.io/Logging_2023/artfynd/A 43065-2022 artfynd.xlsx", "A 43065-2022")</f>
        <v/>
      </c>
      <c r="T35">
        <f>HYPERLINK("https://klasma.github.io/Logging_2023/kartor/A 43065-2022 karta.png", "A 43065-2022")</f>
        <v/>
      </c>
      <c r="V35">
        <f>HYPERLINK("https://klasma.github.io/Logging_2023/klagomål/A 43065-2022 FSC-klagomål.docx", "A 43065-2022")</f>
        <v/>
      </c>
      <c r="W35">
        <f>HYPERLINK("https://klasma.github.io/Logging_2023/klagomålsmail/A 43065-2022 FSC-klagomål mail.docx", "A 43065-2022")</f>
        <v/>
      </c>
      <c r="X35">
        <f>HYPERLINK("https://klasma.github.io/Logging_2023/tillsyn/A 43065-2022 tillsynsbegäran.docx", "A 43065-2022")</f>
        <v/>
      </c>
      <c r="Y35">
        <f>HYPERLINK("https://klasma.github.io/Logging_2023/tillsynsmail/A 43065-2022 tillsynsbegäran mail.docx", "A 43065-2022")</f>
        <v/>
      </c>
    </row>
    <row r="36" ht="15" customHeight="1">
      <c r="A36" t="inlineStr">
        <is>
          <t>A 42334-2023</t>
        </is>
      </c>
      <c r="B36" s="1" t="n">
        <v>45180</v>
      </c>
      <c r="C36" s="1" t="n">
        <v>45788</v>
      </c>
      <c r="D36" t="inlineStr">
        <is>
          <t>DALARNAS LÄN</t>
        </is>
      </c>
      <c r="E36" t="inlineStr">
        <is>
          <t>MALUNG-SÄLEN</t>
        </is>
      </c>
      <c r="G36" t="n">
        <v>2.6</v>
      </c>
      <c r="H36" t="n">
        <v>0</v>
      </c>
      <c r="I36" t="n">
        <v>0</v>
      </c>
      <c r="J36" t="n">
        <v>4</v>
      </c>
      <c r="K36" t="n">
        <v>0</v>
      </c>
      <c r="L36" t="n">
        <v>0</v>
      </c>
      <c r="M36" t="n">
        <v>0</v>
      </c>
      <c r="N36" t="n">
        <v>0</v>
      </c>
      <c r="O36" t="n">
        <v>4</v>
      </c>
      <c r="P36" t="n">
        <v>0</v>
      </c>
      <c r="Q36" t="n">
        <v>4</v>
      </c>
      <c r="R36" s="2" t="inlineStr">
        <is>
          <t>Garnlav
Kolflarnlav
Vedskivlav
Violettgrå tagellav</t>
        </is>
      </c>
      <c r="S36">
        <f>HYPERLINK("https://klasma.github.io/Logging_2023/artfynd/A 42334-2023 artfynd.xlsx", "A 42334-2023")</f>
        <v/>
      </c>
      <c r="T36">
        <f>HYPERLINK("https://klasma.github.io/Logging_2023/kartor/A 42334-2023 karta.png", "A 42334-2023")</f>
        <v/>
      </c>
      <c r="V36">
        <f>HYPERLINK("https://klasma.github.io/Logging_2023/klagomål/A 42334-2023 FSC-klagomål.docx", "A 42334-2023")</f>
        <v/>
      </c>
      <c r="W36">
        <f>HYPERLINK("https://klasma.github.io/Logging_2023/klagomålsmail/A 42334-2023 FSC-klagomål mail.docx", "A 42334-2023")</f>
        <v/>
      </c>
      <c r="X36">
        <f>HYPERLINK("https://klasma.github.io/Logging_2023/tillsyn/A 42334-2023 tillsynsbegäran.docx", "A 42334-2023")</f>
        <v/>
      </c>
      <c r="Y36">
        <f>HYPERLINK("https://klasma.github.io/Logging_2023/tillsynsmail/A 42334-2023 tillsynsbegäran mail.docx", "A 42334-2023")</f>
        <v/>
      </c>
    </row>
    <row r="37" ht="15" customHeight="1">
      <c r="A37" t="inlineStr">
        <is>
          <t>A 10449-2024</t>
        </is>
      </c>
      <c r="B37" s="1" t="n">
        <v>45366</v>
      </c>
      <c r="C37" s="1" t="n">
        <v>45788</v>
      </c>
      <c r="D37" t="inlineStr">
        <is>
          <t>DALARNAS LÄN</t>
        </is>
      </c>
      <c r="E37" t="inlineStr">
        <is>
          <t>MALUNG-SÄLEN</t>
        </is>
      </c>
      <c r="G37" t="n">
        <v>15.6</v>
      </c>
      <c r="H37" t="n">
        <v>0</v>
      </c>
      <c r="I37" t="n">
        <v>0</v>
      </c>
      <c r="J37" t="n">
        <v>4</v>
      </c>
      <c r="K37" t="n">
        <v>0</v>
      </c>
      <c r="L37" t="n">
        <v>0</v>
      </c>
      <c r="M37" t="n">
        <v>0</v>
      </c>
      <c r="N37" t="n">
        <v>0</v>
      </c>
      <c r="O37" t="n">
        <v>4</v>
      </c>
      <c r="P37" t="n">
        <v>0</v>
      </c>
      <c r="Q37" t="n">
        <v>4</v>
      </c>
      <c r="R37" s="2" t="inlineStr">
        <is>
          <t>Doftskinn
Gammelgransskål
Ullticka
Violettgrå tagellav</t>
        </is>
      </c>
      <c r="S37">
        <f>HYPERLINK("https://klasma.github.io/Logging_2023/artfynd/A 10449-2024 artfynd.xlsx", "A 10449-2024")</f>
        <v/>
      </c>
      <c r="T37">
        <f>HYPERLINK("https://klasma.github.io/Logging_2023/kartor/A 10449-2024 karta.png", "A 10449-2024")</f>
        <v/>
      </c>
      <c r="V37">
        <f>HYPERLINK("https://klasma.github.io/Logging_2023/klagomål/A 10449-2024 FSC-klagomål.docx", "A 10449-2024")</f>
        <v/>
      </c>
      <c r="W37">
        <f>HYPERLINK("https://klasma.github.io/Logging_2023/klagomålsmail/A 10449-2024 FSC-klagomål mail.docx", "A 10449-2024")</f>
        <v/>
      </c>
      <c r="X37">
        <f>HYPERLINK("https://klasma.github.io/Logging_2023/tillsyn/A 10449-2024 tillsynsbegäran.docx", "A 10449-2024")</f>
        <v/>
      </c>
      <c r="Y37">
        <f>HYPERLINK("https://klasma.github.io/Logging_2023/tillsynsmail/A 10449-2024 tillsynsbegäran mail.docx", "A 10449-2024")</f>
        <v/>
      </c>
    </row>
    <row r="38" ht="15" customHeight="1">
      <c r="A38" t="inlineStr">
        <is>
          <t>A 27523-2024</t>
        </is>
      </c>
      <c r="B38" s="1" t="n">
        <v>45474</v>
      </c>
      <c r="C38" s="1" t="n">
        <v>45788</v>
      </c>
      <c r="D38" t="inlineStr">
        <is>
          <t>DALARNAS LÄN</t>
        </is>
      </c>
      <c r="E38" t="inlineStr">
        <is>
          <t>MALUNG-SÄLEN</t>
        </is>
      </c>
      <c r="G38" t="n">
        <v>6.7</v>
      </c>
      <c r="H38" t="n">
        <v>0</v>
      </c>
      <c r="I38" t="n">
        <v>1</v>
      </c>
      <c r="J38" t="n">
        <v>3</v>
      </c>
      <c r="K38" t="n">
        <v>0</v>
      </c>
      <c r="L38" t="n">
        <v>0</v>
      </c>
      <c r="M38" t="n">
        <v>0</v>
      </c>
      <c r="N38" t="n">
        <v>0</v>
      </c>
      <c r="O38" t="n">
        <v>3</v>
      </c>
      <c r="P38" t="n">
        <v>0</v>
      </c>
      <c r="Q38" t="n">
        <v>4</v>
      </c>
      <c r="R38" s="2" t="inlineStr">
        <is>
          <t>Gränsticka
Tallticka
Violettgrå tagellav
Bronshjon</t>
        </is>
      </c>
      <c r="S38">
        <f>HYPERLINK("https://klasma.github.io/Logging_2023/artfynd/A 27523-2024 artfynd.xlsx", "A 27523-2024")</f>
        <v/>
      </c>
      <c r="T38">
        <f>HYPERLINK("https://klasma.github.io/Logging_2023/kartor/A 27523-2024 karta.png", "A 27523-2024")</f>
        <v/>
      </c>
      <c r="V38">
        <f>HYPERLINK("https://klasma.github.io/Logging_2023/klagomål/A 27523-2024 FSC-klagomål.docx", "A 27523-2024")</f>
        <v/>
      </c>
      <c r="W38">
        <f>HYPERLINK("https://klasma.github.io/Logging_2023/klagomålsmail/A 27523-2024 FSC-klagomål mail.docx", "A 27523-2024")</f>
        <v/>
      </c>
      <c r="X38">
        <f>HYPERLINK("https://klasma.github.io/Logging_2023/tillsyn/A 27523-2024 tillsynsbegäran.docx", "A 27523-2024")</f>
        <v/>
      </c>
      <c r="Y38">
        <f>HYPERLINK("https://klasma.github.io/Logging_2023/tillsynsmail/A 27523-2024 tillsynsbegäran mail.docx", "A 27523-2024")</f>
        <v/>
      </c>
    </row>
    <row r="39" ht="15" customHeight="1">
      <c r="A39" t="inlineStr">
        <is>
          <t>A 49573-2024</t>
        </is>
      </c>
      <c r="B39" s="1" t="n">
        <v>45596</v>
      </c>
      <c r="C39" s="1" t="n">
        <v>45788</v>
      </c>
      <c r="D39" t="inlineStr">
        <is>
          <t>DALARNAS LÄN</t>
        </is>
      </c>
      <c r="E39" t="inlineStr">
        <is>
          <t>MALUNG-SÄLEN</t>
        </is>
      </c>
      <c r="F39" t="inlineStr">
        <is>
          <t>Allmännings- och besparingsskogar</t>
        </is>
      </c>
      <c r="G39" t="n">
        <v>53.8</v>
      </c>
      <c r="H39" t="n">
        <v>0</v>
      </c>
      <c r="I39" t="n">
        <v>2</v>
      </c>
      <c r="J39" t="n">
        <v>2</v>
      </c>
      <c r="K39" t="n">
        <v>0</v>
      </c>
      <c r="L39" t="n">
        <v>0</v>
      </c>
      <c r="M39" t="n">
        <v>0</v>
      </c>
      <c r="N39" t="n">
        <v>0</v>
      </c>
      <c r="O39" t="n">
        <v>2</v>
      </c>
      <c r="P39" t="n">
        <v>0</v>
      </c>
      <c r="Q39" t="n">
        <v>4</v>
      </c>
      <c r="R39" s="2" t="inlineStr">
        <is>
          <t>Garnlav
Mörk kolflarnlav
Bollvitmossa
Skuggblåslav</t>
        </is>
      </c>
      <c r="S39">
        <f>HYPERLINK("https://klasma.github.io/Logging_2023/artfynd/A 49573-2024 artfynd.xlsx", "A 49573-2024")</f>
        <v/>
      </c>
      <c r="T39">
        <f>HYPERLINK("https://klasma.github.io/Logging_2023/kartor/A 49573-2024 karta.png", "A 49573-2024")</f>
        <v/>
      </c>
      <c r="V39">
        <f>HYPERLINK("https://klasma.github.io/Logging_2023/klagomål/A 49573-2024 FSC-klagomål.docx", "A 49573-2024")</f>
        <v/>
      </c>
      <c r="W39">
        <f>HYPERLINK("https://klasma.github.io/Logging_2023/klagomålsmail/A 49573-2024 FSC-klagomål mail.docx", "A 49573-2024")</f>
        <v/>
      </c>
      <c r="X39">
        <f>HYPERLINK("https://klasma.github.io/Logging_2023/tillsyn/A 49573-2024 tillsynsbegäran.docx", "A 49573-2024")</f>
        <v/>
      </c>
      <c r="Y39">
        <f>HYPERLINK("https://klasma.github.io/Logging_2023/tillsynsmail/A 49573-2024 tillsynsbegäran mail.docx", "A 49573-2024")</f>
        <v/>
      </c>
    </row>
    <row r="40" ht="15" customHeight="1">
      <c r="A40" t="inlineStr">
        <is>
          <t>A 20462-2025</t>
        </is>
      </c>
      <c r="B40" s="1" t="n">
        <v>45775</v>
      </c>
      <c r="C40" s="1" t="n">
        <v>45788</v>
      </c>
      <c r="D40" t="inlineStr">
        <is>
          <t>DALARNAS LÄN</t>
        </is>
      </c>
      <c r="E40" t="inlineStr">
        <is>
          <t>MALUNG-SÄLEN</t>
        </is>
      </c>
      <c r="G40" t="n">
        <v>5.4</v>
      </c>
      <c r="H40" t="n">
        <v>1</v>
      </c>
      <c r="I40" t="n">
        <v>3</v>
      </c>
      <c r="J40" t="n">
        <v>1</v>
      </c>
      <c r="K40" t="n">
        <v>0</v>
      </c>
      <c r="L40" t="n">
        <v>0</v>
      </c>
      <c r="M40" t="n">
        <v>0</v>
      </c>
      <c r="N40" t="n">
        <v>0</v>
      </c>
      <c r="O40" t="n">
        <v>1</v>
      </c>
      <c r="P40" t="n">
        <v>0</v>
      </c>
      <c r="Q40" t="n">
        <v>4</v>
      </c>
      <c r="R40" s="2" t="inlineStr">
        <is>
          <t>Garnlav
Spindelblomster
Trådticka
Vedticka</t>
        </is>
      </c>
      <c r="S40">
        <f>HYPERLINK("https://klasma.github.io/Logging_202023/artfynd/A 20462-2025 artfynd.xlsx", "A 20462-2025")</f>
        <v/>
      </c>
      <c r="T40">
        <f>HYPERLINK("https://klasma.github.io/Logging_202023/kartor/A 20462-2025 karta.png", "A 20462-2025")</f>
        <v/>
      </c>
      <c r="V40">
        <f>HYPERLINK("https://klasma.github.io/Logging_202023/klagomål/A 20462-2025 FSC-klagomål.docx", "A 20462-2025")</f>
        <v/>
      </c>
      <c r="W40">
        <f>HYPERLINK("https://klasma.github.io/Logging_202023/klagomålsmail/A 20462-2025 FSC-klagomål mail.docx", "A 20462-2025")</f>
        <v/>
      </c>
      <c r="X40">
        <f>HYPERLINK("https://klasma.github.io/Logging_202023/tillsyn/A 20462-2025 tillsynsbegäran.docx", "A 20462-2025")</f>
        <v/>
      </c>
      <c r="Y40">
        <f>HYPERLINK("https://klasma.github.io/Logging_202023/tillsynsmail/A 20462-2025 tillsynsbegäran mail.docx", "A 20462-2025")</f>
        <v/>
      </c>
    </row>
    <row r="41" ht="15" customHeight="1">
      <c r="A41" t="inlineStr">
        <is>
          <t>A 23141-2019</t>
        </is>
      </c>
      <c r="B41" s="1" t="n">
        <v>43591</v>
      </c>
      <c r="C41" s="1" t="n">
        <v>45788</v>
      </c>
      <c r="D41" t="inlineStr">
        <is>
          <t>DALARNAS LÄN</t>
        </is>
      </c>
      <c r="E41" t="inlineStr">
        <is>
          <t>MALUNG-SÄLEN</t>
        </is>
      </c>
      <c r="G41" t="n">
        <v>2.1</v>
      </c>
      <c r="H41" t="n">
        <v>0</v>
      </c>
      <c r="I41" t="n">
        <v>1</v>
      </c>
      <c r="J41" t="n">
        <v>2</v>
      </c>
      <c r="K41" t="n">
        <v>0</v>
      </c>
      <c r="L41" t="n">
        <v>0</v>
      </c>
      <c r="M41" t="n">
        <v>0</v>
      </c>
      <c r="N41" t="n">
        <v>0</v>
      </c>
      <c r="O41" t="n">
        <v>2</v>
      </c>
      <c r="P41" t="n">
        <v>0</v>
      </c>
      <c r="Q41" t="n">
        <v>3</v>
      </c>
      <c r="R41" s="2" t="inlineStr">
        <is>
          <t>Garnlav
Violettgrå tagellav
Kattfotslav</t>
        </is>
      </c>
      <c r="S41">
        <f>HYPERLINK("https://klasma.github.io/Logging_2023/artfynd/A 23141-2019 artfynd.xlsx", "A 23141-2019")</f>
        <v/>
      </c>
      <c r="T41">
        <f>HYPERLINK("https://klasma.github.io/Logging_2023/kartor/A 23141-2019 karta.png", "A 23141-2019")</f>
        <v/>
      </c>
      <c r="V41">
        <f>HYPERLINK("https://klasma.github.io/Logging_2023/klagomål/A 23141-2019 FSC-klagomål.docx", "A 23141-2019")</f>
        <v/>
      </c>
      <c r="W41">
        <f>HYPERLINK("https://klasma.github.io/Logging_2023/klagomålsmail/A 23141-2019 FSC-klagomål mail.docx", "A 23141-2019")</f>
        <v/>
      </c>
      <c r="X41">
        <f>HYPERLINK("https://klasma.github.io/Logging_2023/tillsyn/A 23141-2019 tillsynsbegäran.docx", "A 23141-2019")</f>
        <v/>
      </c>
      <c r="Y41">
        <f>HYPERLINK("https://klasma.github.io/Logging_2023/tillsynsmail/A 23141-2019 tillsynsbegäran mail.docx", "A 23141-2019")</f>
        <v/>
      </c>
    </row>
    <row r="42" ht="15" customHeight="1">
      <c r="A42" t="inlineStr">
        <is>
          <t>A 61997-2021</t>
        </is>
      </c>
      <c r="B42" s="1" t="n">
        <v>44501</v>
      </c>
      <c r="C42" s="1" t="n">
        <v>45788</v>
      </c>
      <c r="D42" t="inlineStr">
        <is>
          <t>DALARNAS LÄN</t>
        </is>
      </c>
      <c r="E42" t="inlineStr">
        <is>
          <t>MALUNG-SÄLEN</t>
        </is>
      </c>
      <c r="F42" t="inlineStr">
        <is>
          <t>Allmännings- och besparingsskogar</t>
        </is>
      </c>
      <c r="G42" t="n">
        <v>19</v>
      </c>
      <c r="H42" t="n">
        <v>1</v>
      </c>
      <c r="I42" t="n">
        <v>1</v>
      </c>
      <c r="J42" t="n">
        <v>2</v>
      </c>
      <c r="K42" t="n">
        <v>0</v>
      </c>
      <c r="L42" t="n">
        <v>0</v>
      </c>
      <c r="M42" t="n">
        <v>0</v>
      </c>
      <c r="N42" t="n">
        <v>0</v>
      </c>
      <c r="O42" t="n">
        <v>2</v>
      </c>
      <c r="P42" t="n">
        <v>0</v>
      </c>
      <c r="Q42" t="n">
        <v>3</v>
      </c>
      <c r="R42" s="2" t="inlineStr">
        <is>
          <t>Blågrå svartspik
Varglav
Dropptaggsvamp</t>
        </is>
      </c>
      <c r="S42">
        <f>HYPERLINK("https://klasma.github.io/Logging_2023/artfynd/A 61997-2021 artfynd.xlsx", "A 61997-2021")</f>
        <v/>
      </c>
      <c r="T42">
        <f>HYPERLINK("https://klasma.github.io/Logging_2023/kartor/A 61997-2021 karta.png", "A 61997-2021")</f>
        <v/>
      </c>
      <c r="V42">
        <f>HYPERLINK("https://klasma.github.io/Logging_2023/klagomål/A 61997-2021 FSC-klagomål.docx", "A 61997-2021")</f>
        <v/>
      </c>
      <c r="W42">
        <f>HYPERLINK("https://klasma.github.io/Logging_2023/klagomålsmail/A 61997-2021 FSC-klagomål mail.docx", "A 61997-2021")</f>
        <v/>
      </c>
      <c r="X42">
        <f>HYPERLINK("https://klasma.github.io/Logging_2023/tillsyn/A 61997-2021 tillsynsbegäran.docx", "A 61997-2021")</f>
        <v/>
      </c>
      <c r="Y42">
        <f>HYPERLINK("https://klasma.github.io/Logging_2023/tillsynsmail/A 61997-2021 tillsynsbegäran mail.docx", "A 61997-2021")</f>
        <v/>
      </c>
    </row>
    <row r="43" ht="15" customHeight="1">
      <c r="A43" t="inlineStr">
        <is>
          <t>A 27462-2022</t>
        </is>
      </c>
      <c r="B43" s="1" t="n">
        <v>44742</v>
      </c>
      <c r="C43" s="1" t="n">
        <v>45788</v>
      </c>
      <c r="D43" t="inlineStr">
        <is>
          <t>DALARNAS LÄN</t>
        </is>
      </c>
      <c r="E43" t="inlineStr">
        <is>
          <t>MALUNG-SÄLEN</t>
        </is>
      </c>
      <c r="F43" t="inlineStr">
        <is>
          <t>Bergvik skog väst AB</t>
        </is>
      </c>
      <c r="G43" t="n">
        <v>4.9</v>
      </c>
      <c r="H43" t="n">
        <v>0</v>
      </c>
      <c r="I43" t="n">
        <v>0</v>
      </c>
      <c r="J43" t="n">
        <v>3</v>
      </c>
      <c r="K43" t="n">
        <v>0</v>
      </c>
      <c r="L43" t="n">
        <v>0</v>
      </c>
      <c r="M43" t="n">
        <v>0</v>
      </c>
      <c r="N43" t="n">
        <v>0</v>
      </c>
      <c r="O43" t="n">
        <v>3</v>
      </c>
      <c r="P43" t="n">
        <v>0</v>
      </c>
      <c r="Q43" t="n">
        <v>3</v>
      </c>
      <c r="R43" s="2" t="inlineStr">
        <is>
          <t>Garnlav
Lunglav
Skrovellav</t>
        </is>
      </c>
      <c r="S43">
        <f>HYPERLINK("https://klasma.github.io/Logging_2023/artfynd/A 27462-2022 artfynd.xlsx", "A 27462-2022")</f>
        <v/>
      </c>
      <c r="T43">
        <f>HYPERLINK("https://klasma.github.io/Logging_2023/kartor/A 27462-2022 karta.png", "A 27462-2022")</f>
        <v/>
      </c>
      <c r="V43">
        <f>HYPERLINK("https://klasma.github.io/Logging_2023/klagomål/A 27462-2022 FSC-klagomål.docx", "A 27462-2022")</f>
        <v/>
      </c>
      <c r="W43">
        <f>HYPERLINK("https://klasma.github.io/Logging_2023/klagomålsmail/A 27462-2022 FSC-klagomål mail.docx", "A 27462-2022")</f>
        <v/>
      </c>
      <c r="X43">
        <f>HYPERLINK("https://klasma.github.io/Logging_2023/tillsyn/A 27462-2022 tillsynsbegäran.docx", "A 27462-2022")</f>
        <v/>
      </c>
      <c r="Y43">
        <f>HYPERLINK("https://klasma.github.io/Logging_2023/tillsynsmail/A 27462-2022 tillsynsbegäran mail.docx", "A 27462-2022")</f>
        <v/>
      </c>
    </row>
    <row r="44" ht="15" customHeight="1">
      <c r="A44" t="inlineStr">
        <is>
          <t>A 34878-2022</t>
        </is>
      </c>
      <c r="B44" s="1" t="n">
        <v>44796</v>
      </c>
      <c r="C44" s="1" t="n">
        <v>45788</v>
      </c>
      <c r="D44" t="inlineStr">
        <is>
          <t>DALARNAS LÄN</t>
        </is>
      </c>
      <c r="E44" t="inlineStr">
        <is>
          <t>MALUNG-SÄLEN</t>
        </is>
      </c>
      <c r="G44" t="n">
        <v>0.7</v>
      </c>
      <c r="H44" t="n">
        <v>0</v>
      </c>
      <c r="I44" t="n">
        <v>0</v>
      </c>
      <c r="J44" t="n">
        <v>3</v>
      </c>
      <c r="K44" t="n">
        <v>0</v>
      </c>
      <c r="L44" t="n">
        <v>0</v>
      </c>
      <c r="M44" t="n">
        <v>0</v>
      </c>
      <c r="N44" t="n">
        <v>0</v>
      </c>
      <c r="O44" t="n">
        <v>3</v>
      </c>
      <c r="P44" t="n">
        <v>0</v>
      </c>
      <c r="Q44" t="n">
        <v>3</v>
      </c>
      <c r="R44" s="2" t="inlineStr">
        <is>
          <t>Gammelgransskål
Garnlav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56419-2023</t>
        </is>
      </c>
      <c r="B45" s="1" t="n">
        <v>45236</v>
      </c>
      <c r="C45" s="1" t="n">
        <v>45788</v>
      </c>
      <c r="D45" t="inlineStr">
        <is>
          <t>DALARNAS LÄN</t>
        </is>
      </c>
      <c r="E45" t="inlineStr">
        <is>
          <t>MALUNG-SÄLEN</t>
        </is>
      </c>
      <c r="G45" t="n">
        <v>2.1</v>
      </c>
      <c r="H45" t="n">
        <v>1</v>
      </c>
      <c r="I45" t="n">
        <v>0</v>
      </c>
      <c r="J45" t="n">
        <v>2</v>
      </c>
      <c r="K45" t="n">
        <v>1</v>
      </c>
      <c r="L45" t="n">
        <v>0</v>
      </c>
      <c r="M45" t="n">
        <v>0</v>
      </c>
      <c r="N45" t="n">
        <v>0</v>
      </c>
      <c r="O45" t="n">
        <v>3</v>
      </c>
      <c r="P45" t="n">
        <v>1</v>
      </c>
      <c r="Q45" t="n">
        <v>3</v>
      </c>
      <c r="R45" s="2" t="inlineStr">
        <is>
          <t>Knärot
Garnlav
Rosenticka</t>
        </is>
      </c>
      <c r="S45">
        <f>HYPERLINK("https://klasma.github.io/Logging_2023/artfynd/A 56419-2023 artfynd.xlsx", "A 56419-2023")</f>
        <v/>
      </c>
      <c r="T45">
        <f>HYPERLINK("https://klasma.github.io/Logging_2023/kartor/A 56419-2023 karta.png", "A 56419-2023")</f>
        <v/>
      </c>
      <c r="U45">
        <f>HYPERLINK("https://klasma.github.io/Logging_2023/knärot/A 56419-2023 karta knärot.png", "A 56419-2023")</f>
        <v/>
      </c>
      <c r="V45">
        <f>HYPERLINK("https://klasma.github.io/Logging_2023/klagomål/A 56419-2023 FSC-klagomål.docx", "A 56419-2023")</f>
        <v/>
      </c>
      <c r="W45">
        <f>HYPERLINK("https://klasma.github.io/Logging_2023/klagomålsmail/A 56419-2023 FSC-klagomål mail.docx", "A 56419-2023")</f>
        <v/>
      </c>
      <c r="X45">
        <f>HYPERLINK("https://klasma.github.io/Logging_2023/tillsyn/A 56419-2023 tillsynsbegäran.docx", "A 56419-2023")</f>
        <v/>
      </c>
      <c r="Y45">
        <f>HYPERLINK("https://klasma.github.io/Logging_2023/tillsynsmail/A 56419-2023 tillsynsbegäran mail.docx", "A 56419-2023")</f>
        <v/>
      </c>
    </row>
    <row r="46" ht="15" customHeight="1">
      <c r="A46" t="inlineStr">
        <is>
          <t>A 33659-2024</t>
        </is>
      </c>
      <c r="B46" s="1" t="n">
        <v>45520</v>
      </c>
      <c r="C46" s="1" t="n">
        <v>45788</v>
      </c>
      <c r="D46" t="inlineStr">
        <is>
          <t>DALARNAS LÄN</t>
        </is>
      </c>
      <c r="E46" t="inlineStr">
        <is>
          <t>MALUNG-SÄLEN</t>
        </is>
      </c>
      <c r="G46" t="n">
        <v>8.699999999999999</v>
      </c>
      <c r="H46" t="n">
        <v>0</v>
      </c>
      <c r="I46" t="n">
        <v>1</v>
      </c>
      <c r="J46" t="n">
        <v>2</v>
      </c>
      <c r="K46" t="n">
        <v>0</v>
      </c>
      <c r="L46" t="n">
        <v>0</v>
      </c>
      <c r="M46" t="n">
        <v>0</v>
      </c>
      <c r="N46" t="n">
        <v>0</v>
      </c>
      <c r="O46" t="n">
        <v>2</v>
      </c>
      <c r="P46" t="n">
        <v>0</v>
      </c>
      <c r="Q46" t="n">
        <v>3</v>
      </c>
      <c r="R46" s="2" t="inlineStr">
        <is>
          <t>Garnlav
Kortskaftad ärgspik
Bronshjon</t>
        </is>
      </c>
      <c r="S46">
        <f>HYPERLINK("https://klasma.github.io/Logging_2023/artfynd/A 33659-2024 artfynd.xlsx", "A 33659-2024")</f>
        <v/>
      </c>
      <c r="T46">
        <f>HYPERLINK("https://klasma.github.io/Logging_2023/kartor/A 33659-2024 karta.png", "A 33659-2024")</f>
        <v/>
      </c>
      <c r="V46">
        <f>HYPERLINK("https://klasma.github.io/Logging_2023/klagomål/A 33659-2024 FSC-klagomål.docx", "A 33659-2024")</f>
        <v/>
      </c>
      <c r="W46">
        <f>HYPERLINK("https://klasma.github.io/Logging_2023/klagomålsmail/A 33659-2024 FSC-klagomål mail.docx", "A 33659-2024")</f>
        <v/>
      </c>
      <c r="X46">
        <f>HYPERLINK("https://klasma.github.io/Logging_2023/tillsyn/A 33659-2024 tillsynsbegäran.docx", "A 33659-2024")</f>
        <v/>
      </c>
      <c r="Y46">
        <f>HYPERLINK("https://klasma.github.io/Logging_2023/tillsynsmail/A 33659-2024 tillsynsbegäran mail.docx", "A 33659-2024")</f>
        <v/>
      </c>
    </row>
    <row r="47" ht="15" customHeight="1">
      <c r="A47" t="inlineStr">
        <is>
          <t>A 16774-2025</t>
        </is>
      </c>
      <c r="B47" s="1" t="n">
        <v>45754</v>
      </c>
      <c r="C47" s="1" t="n">
        <v>45788</v>
      </c>
      <c r="D47" t="inlineStr">
        <is>
          <t>DALARNAS LÄN</t>
        </is>
      </c>
      <c r="E47" t="inlineStr">
        <is>
          <t>MALUNG-SÄLEN</t>
        </is>
      </c>
      <c r="G47" t="n">
        <v>2.7</v>
      </c>
      <c r="H47" t="n">
        <v>0</v>
      </c>
      <c r="I47" t="n">
        <v>1</v>
      </c>
      <c r="J47" t="n">
        <v>2</v>
      </c>
      <c r="K47" t="n">
        <v>0</v>
      </c>
      <c r="L47" t="n">
        <v>0</v>
      </c>
      <c r="M47" t="n">
        <v>0</v>
      </c>
      <c r="N47" t="n">
        <v>0</v>
      </c>
      <c r="O47" t="n">
        <v>2</v>
      </c>
      <c r="P47" t="n">
        <v>0</v>
      </c>
      <c r="Q47" t="n">
        <v>3</v>
      </c>
      <c r="R47" s="2" t="inlineStr">
        <is>
          <t>Gammelgransskål
Garnlav
Kattfotslav</t>
        </is>
      </c>
      <c r="S47">
        <f>HYPERLINK("https://klasma.github.io/Logging_202023/artfynd/A 16774-2025 artfynd.xlsx", "A 16774-2025")</f>
        <v/>
      </c>
      <c r="T47">
        <f>HYPERLINK("https://klasma.github.io/Logging_202023/kartor/A 16774-2025 karta.png", "A 16774-2025")</f>
        <v/>
      </c>
      <c r="V47">
        <f>HYPERLINK("https://klasma.github.io/Logging_202023/klagomål/A 16774-2025 FSC-klagomål.docx", "A 16774-2025")</f>
        <v/>
      </c>
      <c r="W47">
        <f>HYPERLINK("https://klasma.github.io/Logging_202023/klagomålsmail/A 16774-2025 FSC-klagomål mail.docx", "A 16774-2025")</f>
        <v/>
      </c>
      <c r="X47">
        <f>HYPERLINK("https://klasma.github.io/Logging_202023/tillsyn/A 16774-2025 tillsynsbegäran.docx", "A 16774-2025")</f>
        <v/>
      </c>
      <c r="Y47">
        <f>HYPERLINK("https://klasma.github.io/Logging_202023/tillsynsmail/A 16774-2025 tillsynsbegäran mail.docx", "A 16774-2025")</f>
        <v/>
      </c>
    </row>
    <row r="48" ht="15" customHeight="1">
      <c r="A48" t="inlineStr">
        <is>
          <t>A 20918-2021</t>
        </is>
      </c>
      <c r="B48" s="1" t="n">
        <v>44319</v>
      </c>
      <c r="C48" s="1" t="n">
        <v>45788</v>
      </c>
      <c r="D48" t="inlineStr">
        <is>
          <t>DALARNAS LÄN</t>
        </is>
      </c>
      <c r="E48" t="inlineStr">
        <is>
          <t>MALUNG-SÄLEN</t>
        </is>
      </c>
      <c r="G48" t="n">
        <v>41.2</v>
      </c>
      <c r="H48" t="n">
        <v>0</v>
      </c>
      <c r="I48" t="n">
        <v>0</v>
      </c>
      <c r="J48" t="n">
        <v>2</v>
      </c>
      <c r="K48" t="n">
        <v>0</v>
      </c>
      <c r="L48" t="n">
        <v>0</v>
      </c>
      <c r="M48" t="n">
        <v>0</v>
      </c>
      <c r="N48" t="n">
        <v>0</v>
      </c>
      <c r="O48" t="n">
        <v>2</v>
      </c>
      <c r="P48" t="n">
        <v>0</v>
      </c>
      <c r="Q48" t="n">
        <v>2</v>
      </c>
      <c r="R48" s="2" t="inlineStr">
        <is>
          <t>Gammelgransskål
Garnlav</t>
        </is>
      </c>
      <c r="S48">
        <f>HYPERLINK("https://klasma.github.io/Logging_2023/artfynd/A 20918-2021 artfynd.xlsx", "A 20918-2021")</f>
        <v/>
      </c>
      <c r="T48">
        <f>HYPERLINK("https://klasma.github.io/Logging_2023/kartor/A 20918-2021 karta.png", "A 20918-2021")</f>
        <v/>
      </c>
      <c r="V48">
        <f>HYPERLINK("https://klasma.github.io/Logging_2023/klagomål/A 20918-2021 FSC-klagomål.docx", "A 20918-2021")</f>
        <v/>
      </c>
      <c r="W48">
        <f>HYPERLINK("https://klasma.github.io/Logging_2023/klagomålsmail/A 20918-2021 FSC-klagomål mail.docx", "A 20918-2021")</f>
        <v/>
      </c>
      <c r="X48">
        <f>HYPERLINK("https://klasma.github.io/Logging_2023/tillsyn/A 20918-2021 tillsynsbegäran.docx", "A 20918-2021")</f>
        <v/>
      </c>
      <c r="Y48">
        <f>HYPERLINK("https://klasma.github.io/Logging_2023/tillsynsmail/A 20918-2021 tillsynsbegäran mail.docx", "A 20918-2021")</f>
        <v/>
      </c>
    </row>
    <row r="49" ht="15" customHeight="1">
      <c r="A49" t="inlineStr">
        <is>
          <t>A 11710-2022</t>
        </is>
      </c>
      <c r="B49" s="1" t="n">
        <v>44634</v>
      </c>
      <c r="C49" s="1" t="n">
        <v>45788</v>
      </c>
      <c r="D49" t="inlineStr">
        <is>
          <t>DALARNAS LÄN</t>
        </is>
      </c>
      <c r="E49" t="inlineStr">
        <is>
          <t>MALUNG-SÄLEN</t>
        </is>
      </c>
      <c r="F49" t="inlineStr">
        <is>
          <t>Allmännings- och besparingsskogar</t>
        </is>
      </c>
      <c r="G49" t="n">
        <v>60</v>
      </c>
      <c r="H49" t="n">
        <v>0</v>
      </c>
      <c r="I49" t="n">
        <v>0</v>
      </c>
      <c r="J49" t="n">
        <v>1</v>
      </c>
      <c r="K49" t="n">
        <v>1</v>
      </c>
      <c r="L49" t="n">
        <v>0</v>
      </c>
      <c r="M49" t="n">
        <v>0</v>
      </c>
      <c r="N49" t="n">
        <v>0</v>
      </c>
      <c r="O49" t="n">
        <v>2</v>
      </c>
      <c r="P49" t="n">
        <v>1</v>
      </c>
      <c r="Q49" t="n">
        <v>2</v>
      </c>
      <c r="R49" s="2" t="inlineStr">
        <is>
          <t>Gräddporing
Violettgrå tagellav</t>
        </is>
      </c>
      <c r="S49">
        <f>HYPERLINK("https://klasma.github.io/Logging_2023/artfynd/A 11710-2022 artfynd.xlsx", "A 11710-2022")</f>
        <v/>
      </c>
      <c r="T49">
        <f>HYPERLINK("https://klasma.github.io/Logging_2023/kartor/A 11710-2022 karta.png", "A 11710-2022")</f>
        <v/>
      </c>
      <c r="V49">
        <f>HYPERLINK("https://klasma.github.io/Logging_2023/klagomål/A 11710-2022 FSC-klagomål.docx", "A 11710-2022")</f>
        <v/>
      </c>
      <c r="W49">
        <f>HYPERLINK("https://klasma.github.io/Logging_2023/klagomålsmail/A 11710-2022 FSC-klagomål mail.docx", "A 11710-2022")</f>
        <v/>
      </c>
      <c r="X49">
        <f>HYPERLINK("https://klasma.github.io/Logging_2023/tillsyn/A 11710-2022 tillsynsbegäran.docx", "A 11710-2022")</f>
        <v/>
      </c>
      <c r="Y49">
        <f>HYPERLINK("https://klasma.github.io/Logging_2023/tillsynsmail/A 11710-2022 tillsynsbegäran mail.docx", "A 11710-2022")</f>
        <v/>
      </c>
    </row>
    <row r="50" ht="15" customHeight="1">
      <c r="A50" t="inlineStr">
        <is>
          <t>A 12636-2022</t>
        </is>
      </c>
      <c r="B50" s="1" t="n">
        <v>44641</v>
      </c>
      <c r="C50" s="1" t="n">
        <v>45788</v>
      </c>
      <c r="D50" t="inlineStr">
        <is>
          <t>DALARNAS LÄN</t>
        </is>
      </c>
      <c r="E50" t="inlineStr">
        <is>
          <t>MALUNG-SÄLEN</t>
        </is>
      </c>
      <c r="G50" t="n">
        <v>6.6</v>
      </c>
      <c r="H50" t="n">
        <v>0</v>
      </c>
      <c r="I50" t="n">
        <v>0</v>
      </c>
      <c r="J50" t="n">
        <v>2</v>
      </c>
      <c r="K50" t="n">
        <v>0</v>
      </c>
      <c r="L50" t="n">
        <v>0</v>
      </c>
      <c r="M50" t="n">
        <v>0</v>
      </c>
      <c r="N50" t="n">
        <v>0</v>
      </c>
      <c r="O50" t="n">
        <v>2</v>
      </c>
      <c r="P50" t="n">
        <v>0</v>
      </c>
      <c r="Q50" t="n">
        <v>2</v>
      </c>
      <c r="R50" s="2" t="inlineStr">
        <is>
          <t>Garnlav
Violettgrå tagellav</t>
        </is>
      </c>
      <c r="S50">
        <f>HYPERLINK("https://klasma.github.io/Logging_2023/artfynd/A 12636-2022 artfynd.xlsx", "A 12636-2022")</f>
        <v/>
      </c>
      <c r="T50">
        <f>HYPERLINK("https://klasma.github.io/Logging_2023/kartor/A 12636-2022 karta.png", "A 12636-2022")</f>
        <v/>
      </c>
      <c r="V50">
        <f>HYPERLINK("https://klasma.github.io/Logging_2023/klagomål/A 12636-2022 FSC-klagomål.docx", "A 12636-2022")</f>
        <v/>
      </c>
      <c r="W50">
        <f>HYPERLINK("https://klasma.github.io/Logging_2023/klagomålsmail/A 12636-2022 FSC-klagomål mail.docx", "A 12636-2022")</f>
        <v/>
      </c>
      <c r="X50">
        <f>HYPERLINK("https://klasma.github.io/Logging_2023/tillsyn/A 12636-2022 tillsynsbegäran.docx", "A 12636-2022")</f>
        <v/>
      </c>
      <c r="Y50">
        <f>HYPERLINK("https://klasma.github.io/Logging_2023/tillsynsmail/A 12636-2022 tillsynsbegäran mail.docx", "A 12636-2022")</f>
        <v/>
      </c>
    </row>
    <row r="51" ht="15" customHeight="1">
      <c r="A51" t="inlineStr">
        <is>
          <t>A 27212-2022</t>
        </is>
      </c>
      <c r="B51" s="1" t="n">
        <v>44741</v>
      </c>
      <c r="C51" s="1" t="n">
        <v>45788</v>
      </c>
      <c r="D51" t="inlineStr">
        <is>
          <t>DALARNAS LÄN</t>
        </is>
      </c>
      <c r="E51" t="inlineStr">
        <is>
          <t>MALUNG-SÄLEN</t>
        </is>
      </c>
      <c r="F51" t="inlineStr">
        <is>
          <t>Bergvik skog öst AB</t>
        </is>
      </c>
      <c r="G51" t="n">
        <v>1.5</v>
      </c>
      <c r="H51" t="n">
        <v>0</v>
      </c>
      <c r="I51" t="n">
        <v>1</v>
      </c>
      <c r="J51" t="n">
        <v>0</v>
      </c>
      <c r="K51" t="n">
        <v>1</v>
      </c>
      <c r="L51" t="n">
        <v>0</v>
      </c>
      <c r="M51" t="n">
        <v>0</v>
      </c>
      <c r="N51" t="n">
        <v>0</v>
      </c>
      <c r="O51" t="n">
        <v>1</v>
      </c>
      <c r="P51" t="n">
        <v>1</v>
      </c>
      <c r="Q51" t="n">
        <v>2</v>
      </c>
      <c r="R51" s="2" t="inlineStr">
        <is>
          <t>Norsk näverlav
Skuggblåslav</t>
        </is>
      </c>
      <c r="S51">
        <f>HYPERLINK("https://klasma.github.io/Logging_2023/artfynd/A 27212-2022 artfynd.xlsx", "A 27212-2022")</f>
        <v/>
      </c>
      <c r="T51">
        <f>HYPERLINK("https://klasma.github.io/Logging_2023/kartor/A 27212-2022 karta.png", "A 27212-2022")</f>
        <v/>
      </c>
      <c r="V51">
        <f>HYPERLINK("https://klasma.github.io/Logging_2023/klagomål/A 27212-2022 FSC-klagomål.docx", "A 27212-2022")</f>
        <v/>
      </c>
      <c r="W51">
        <f>HYPERLINK("https://klasma.github.io/Logging_2023/klagomålsmail/A 27212-2022 FSC-klagomål mail.docx", "A 27212-2022")</f>
        <v/>
      </c>
      <c r="X51">
        <f>HYPERLINK("https://klasma.github.io/Logging_2023/tillsyn/A 27212-2022 tillsynsbegäran.docx", "A 27212-2022")</f>
        <v/>
      </c>
      <c r="Y51">
        <f>HYPERLINK("https://klasma.github.io/Logging_2023/tillsynsmail/A 27212-2022 tillsynsbegäran mail.docx", "A 27212-2022")</f>
        <v/>
      </c>
    </row>
    <row r="52" ht="15" customHeight="1">
      <c r="A52" t="inlineStr">
        <is>
          <t>A 55664-2022</t>
        </is>
      </c>
      <c r="B52" s="1" t="n">
        <v>44888</v>
      </c>
      <c r="C52" s="1" t="n">
        <v>45788</v>
      </c>
      <c r="D52" t="inlineStr">
        <is>
          <t>DALARNAS LÄN</t>
        </is>
      </c>
      <c r="E52" t="inlineStr">
        <is>
          <t>MALUNG-SÄLEN</t>
        </is>
      </c>
      <c r="F52" t="inlineStr">
        <is>
          <t>Allmännings- och besparingsskogar</t>
        </is>
      </c>
      <c r="G52" t="n">
        <v>12.7</v>
      </c>
      <c r="H52" t="n">
        <v>0</v>
      </c>
      <c r="I52" t="n">
        <v>0</v>
      </c>
      <c r="J52" t="n">
        <v>2</v>
      </c>
      <c r="K52" t="n">
        <v>0</v>
      </c>
      <c r="L52" t="n">
        <v>0</v>
      </c>
      <c r="M52" t="n">
        <v>0</v>
      </c>
      <c r="N52" t="n">
        <v>0</v>
      </c>
      <c r="O52" t="n">
        <v>2</v>
      </c>
      <c r="P52" t="n">
        <v>0</v>
      </c>
      <c r="Q52" t="n">
        <v>2</v>
      </c>
      <c r="R52" s="2" t="inlineStr">
        <is>
          <t>Dvärgbägarlav
Mörk kolflarnlav</t>
        </is>
      </c>
      <c r="S52">
        <f>HYPERLINK("https://klasma.github.io/Logging_2023/artfynd/A 55664-2022 artfynd.xlsx", "A 55664-2022")</f>
        <v/>
      </c>
      <c r="T52">
        <f>HYPERLINK("https://klasma.github.io/Logging_2023/kartor/A 55664-2022 karta.png", "A 55664-2022")</f>
        <v/>
      </c>
      <c r="V52">
        <f>HYPERLINK("https://klasma.github.io/Logging_2023/klagomål/A 55664-2022 FSC-klagomål.docx", "A 55664-2022")</f>
        <v/>
      </c>
      <c r="W52">
        <f>HYPERLINK("https://klasma.github.io/Logging_2023/klagomålsmail/A 55664-2022 FSC-klagomål mail.docx", "A 55664-2022")</f>
        <v/>
      </c>
      <c r="X52">
        <f>HYPERLINK("https://klasma.github.io/Logging_2023/tillsyn/A 55664-2022 tillsynsbegäran.docx", "A 55664-2022")</f>
        <v/>
      </c>
      <c r="Y52">
        <f>HYPERLINK("https://klasma.github.io/Logging_2023/tillsynsmail/A 55664-2022 tillsynsbegäran mail.docx", "A 55664-2022")</f>
        <v/>
      </c>
    </row>
    <row r="53" ht="15" customHeight="1">
      <c r="A53" t="inlineStr">
        <is>
          <t>A 35329-2023</t>
        </is>
      </c>
      <c r="B53" s="1" t="n">
        <v>45146</v>
      </c>
      <c r="C53" s="1" t="n">
        <v>45788</v>
      </c>
      <c r="D53" t="inlineStr">
        <is>
          <t>DALARNAS LÄN</t>
        </is>
      </c>
      <c r="E53" t="inlineStr">
        <is>
          <t>MALUNG-SÄLEN</t>
        </is>
      </c>
      <c r="F53" t="inlineStr">
        <is>
          <t>Allmännings- och besparingsskogar</t>
        </is>
      </c>
      <c r="G53" t="n">
        <v>3.8</v>
      </c>
      <c r="H53" t="n">
        <v>0</v>
      </c>
      <c r="I53" t="n">
        <v>0</v>
      </c>
      <c r="J53" t="n">
        <v>2</v>
      </c>
      <c r="K53" t="n">
        <v>0</v>
      </c>
      <c r="L53" t="n">
        <v>0</v>
      </c>
      <c r="M53" t="n">
        <v>0</v>
      </c>
      <c r="N53" t="n">
        <v>0</v>
      </c>
      <c r="O53" t="n">
        <v>2</v>
      </c>
      <c r="P53" t="n">
        <v>0</v>
      </c>
      <c r="Q53" t="n">
        <v>2</v>
      </c>
      <c r="R53" s="2" t="inlineStr">
        <is>
          <t>Kolflarnlav
Vedskivlav</t>
        </is>
      </c>
      <c r="S53">
        <f>HYPERLINK("https://klasma.github.io/Logging_2023/artfynd/A 35329-2023 artfynd.xlsx", "A 35329-2023")</f>
        <v/>
      </c>
      <c r="T53">
        <f>HYPERLINK("https://klasma.github.io/Logging_2023/kartor/A 35329-2023 karta.png", "A 35329-2023")</f>
        <v/>
      </c>
      <c r="V53">
        <f>HYPERLINK("https://klasma.github.io/Logging_2023/klagomål/A 35329-2023 FSC-klagomål.docx", "A 35329-2023")</f>
        <v/>
      </c>
      <c r="W53">
        <f>HYPERLINK("https://klasma.github.io/Logging_2023/klagomålsmail/A 35329-2023 FSC-klagomål mail.docx", "A 35329-2023")</f>
        <v/>
      </c>
      <c r="X53">
        <f>HYPERLINK("https://klasma.github.io/Logging_2023/tillsyn/A 35329-2023 tillsynsbegäran.docx", "A 35329-2023")</f>
        <v/>
      </c>
      <c r="Y53">
        <f>HYPERLINK("https://klasma.github.io/Logging_2023/tillsynsmail/A 35329-2023 tillsynsbegäran mail.docx", "A 35329-2023")</f>
        <v/>
      </c>
    </row>
    <row r="54" ht="15" customHeight="1">
      <c r="A54" t="inlineStr">
        <is>
          <t>A 2005-2024</t>
        </is>
      </c>
      <c r="B54" s="1" t="n">
        <v>45308</v>
      </c>
      <c r="C54" s="1" t="n">
        <v>45788</v>
      </c>
      <c r="D54" t="inlineStr">
        <is>
          <t>DALARNAS LÄN</t>
        </is>
      </c>
      <c r="E54" t="inlineStr">
        <is>
          <t>MALUNG-SÄLEN</t>
        </is>
      </c>
      <c r="G54" t="n">
        <v>5.5</v>
      </c>
      <c r="H54" t="n">
        <v>0</v>
      </c>
      <c r="I54" t="n">
        <v>0</v>
      </c>
      <c r="J54" t="n">
        <v>2</v>
      </c>
      <c r="K54" t="n">
        <v>0</v>
      </c>
      <c r="L54" t="n">
        <v>0</v>
      </c>
      <c r="M54" t="n">
        <v>0</v>
      </c>
      <c r="N54" t="n">
        <v>0</v>
      </c>
      <c r="O54" t="n">
        <v>2</v>
      </c>
      <c r="P54" t="n">
        <v>0</v>
      </c>
      <c r="Q54" t="n">
        <v>2</v>
      </c>
      <c r="R54" s="2" t="inlineStr">
        <is>
          <t>Kolflarnlav
Vedskivlav</t>
        </is>
      </c>
      <c r="S54">
        <f>HYPERLINK("https://klasma.github.io/Logging_2023/artfynd/A 2005-2024 artfynd.xlsx", "A 2005-2024")</f>
        <v/>
      </c>
      <c r="T54">
        <f>HYPERLINK("https://klasma.github.io/Logging_2023/kartor/A 2005-2024 karta.png", "A 2005-2024")</f>
        <v/>
      </c>
      <c r="V54">
        <f>HYPERLINK("https://klasma.github.io/Logging_2023/klagomål/A 2005-2024 FSC-klagomål.docx", "A 2005-2024")</f>
        <v/>
      </c>
      <c r="W54">
        <f>HYPERLINK("https://klasma.github.io/Logging_2023/klagomålsmail/A 2005-2024 FSC-klagomål mail.docx", "A 2005-2024")</f>
        <v/>
      </c>
      <c r="X54">
        <f>HYPERLINK("https://klasma.github.io/Logging_2023/tillsyn/A 2005-2024 tillsynsbegäran.docx", "A 2005-2024")</f>
        <v/>
      </c>
      <c r="Y54">
        <f>HYPERLINK("https://klasma.github.io/Logging_2023/tillsynsmail/A 2005-2024 tillsynsbegäran mail.docx", "A 2005-2024")</f>
        <v/>
      </c>
    </row>
    <row r="55" ht="15" customHeight="1">
      <c r="A55" t="inlineStr">
        <is>
          <t>A 36089-2024</t>
        </is>
      </c>
      <c r="B55" s="1" t="n">
        <v>45533</v>
      </c>
      <c r="C55" s="1" t="n">
        <v>45788</v>
      </c>
      <c r="D55" t="inlineStr">
        <is>
          <t>DALARNAS LÄN</t>
        </is>
      </c>
      <c r="E55" t="inlineStr">
        <is>
          <t>MALUNG-SÄLEN</t>
        </is>
      </c>
      <c r="G55" t="n">
        <v>6.1</v>
      </c>
      <c r="H55" t="n">
        <v>1</v>
      </c>
      <c r="I55" t="n">
        <v>1</v>
      </c>
      <c r="J55" t="n">
        <v>1</v>
      </c>
      <c r="K55" t="n">
        <v>0</v>
      </c>
      <c r="L55" t="n">
        <v>0</v>
      </c>
      <c r="M55" t="n">
        <v>0</v>
      </c>
      <c r="N55" t="n">
        <v>0</v>
      </c>
      <c r="O55" t="n">
        <v>1</v>
      </c>
      <c r="P55" t="n">
        <v>0</v>
      </c>
      <c r="Q55" t="n">
        <v>2</v>
      </c>
      <c r="R55" s="2" t="inlineStr">
        <is>
          <t>Garnlav
Spindelblomster</t>
        </is>
      </c>
      <c r="S55">
        <f>HYPERLINK("https://klasma.github.io/Logging_2023/artfynd/A 36089-2024 artfynd.xlsx", "A 36089-2024")</f>
        <v/>
      </c>
      <c r="T55">
        <f>HYPERLINK("https://klasma.github.io/Logging_2023/kartor/A 36089-2024 karta.png", "A 36089-2024")</f>
        <v/>
      </c>
      <c r="V55">
        <f>HYPERLINK("https://klasma.github.io/Logging_2023/klagomål/A 36089-2024 FSC-klagomål.docx", "A 36089-2024")</f>
        <v/>
      </c>
      <c r="W55">
        <f>HYPERLINK("https://klasma.github.io/Logging_2023/klagomålsmail/A 36089-2024 FSC-klagomål mail.docx", "A 36089-2024")</f>
        <v/>
      </c>
      <c r="X55">
        <f>HYPERLINK("https://klasma.github.io/Logging_2023/tillsyn/A 36089-2024 tillsynsbegäran.docx", "A 36089-2024")</f>
        <v/>
      </c>
      <c r="Y55">
        <f>HYPERLINK("https://klasma.github.io/Logging_2023/tillsynsmail/A 36089-2024 tillsynsbegäran mail.docx", "A 36089-2024")</f>
        <v/>
      </c>
    </row>
    <row r="56" ht="15" customHeight="1">
      <c r="A56" t="inlineStr">
        <is>
          <t>A 48143-2024</t>
        </is>
      </c>
      <c r="B56" s="1" t="n">
        <v>45589</v>
      </c>
      <c r="C56" s="1" t="n">
        <v>45788</v>
      </c>
      <c r="D56" t="inlineStr">
        <is>
          <t>DALARNAS LÄN</t>
        </is>
      </c>
      <c r="E56" t="inlineStr">
        <is>
          <t>MALUNG-SÄLEN</t>
        </is>
      </c>
      <c r="F56" t="inlineStr">
        <is>
          <t>Bergvik skog väst AB</t>
        </is>
      </c>
      <c r="G56" t="n">
        <v>4.5</v>
      </c>
      <c r="H56" t="n">
        <v>0</v>
      </c>
      <c r="I56" t="n">
        <v>1</v>
      </c>
      <c r="J56" t="n">
        <v>1</v>
      </c>
      <c r="K56" t="n">
        <v>0</v>
      </c>
      <c r="L56" t="n">
        <v>0</v>
      </c>
      <c r="M56" t="n">
        <v>0</v>
      </c>
      <c r="N56" t="n">
        <v>0</v>
      </c>
      <c r="O56" t="n">
        <v>1</v>
      </c>
      <c r="P56" t="n">
        <v>0</v>
      </c>
      <c r="Q56" t="n">
        <v>2</v>
      </c>
      <c r="R56" s="2" t="inlineStr">
        <is>
          <t>Garnlav
Mindre märgborre</t>
        </is>
      </c>
      <c r="S56">
        <f>HYPERLINK("https://klasma.github.io/Logging_2023/artfynd/A 48143-2024 artfynd.xlsx", "A 48143-2024")</f>
        <v/>
      </c>
      <c r="T56">
        <f>HYPERLINK("https://klasma.github.io/Logging_2023/kartor/A 48143-2024 karta.png", "A 48143-2024")</f>
        <v/>
      </c>
      <c r="V56">
        <f>HYPERLINK("https://klasma.github.io/Logging_2023/klagomål/A 48143-2024 FSC-klagomål.docx", "A 48143-2024")</f>
        <v/>
      </c>
      <c r="W56">
        <f>HYPERLINK("https://klasma.github.io/Logging_2023/klagomålsmail/A 48143-2024 FSC-klagomål mail.docx", "A 48143-2024")</f>
        <v/>
      </c>
      <c r="X56">
        <f>HYPERLINK("https://klasma.github.io/Logging_2023/tillsyn/A 48143-2024 tillsynsbegäran.docx", "A 48143-2024")</f>
        <v/>
      </c>
      <c r="Y56">
        <f>HYPERLINK("https://klasma.github.io/Logging_2023/tillsynsmail/A 48143-2024 tillsynsbegäran mail.docx", "A 48143-2024")</f>
        <v/>
      </c>
    </row>
    <row r="57" ht="15" customHeight="1">
      <c r="A57" t="inlineStr">
        <is>
          <t>A 49205-2024</t>
        </is>
      </c>
      <c r="B57" s="1" t="n">
        <v>45595</v>
      </c>
      <c r="C57" s="1" t="n">
        <v>45788</v>
      </c>
      <c r="D57" t="inlineStr">
        <is>
          <t>DALARNAS LÄN</t>
        </is>
      </c>
      <c r="E57" t="inlineStr">
        <is>
          <t>MALUNG-SÄLEN</t>
        </is>
      </c>
      <c r="F57" t="inlineStr">
        <is>
          <t>Allmännings- och besparingsskogar</t>
        </is>
      </c>
      <c r="G57" t="n">
        <v>22</v>
      </c>
      <c r="H57" t="n">
        <v>0</v>
      </c>
      <c r="I57" t="n">
        <v>0</v>
      </c>
      <c r="J57" t="n">
        <v>2</v>
      </c>
      <c r="K57" t="n">
        <v>0</v>
      </c>
      <c r="L57" t="n">
        <v>0</v>
      </c>
      <c r="M57" t="n">
        <v>0</v>
      </c>
      <c r="N57" t="n">
        <v>0</v>
      </c>
      <c r="O57" t="n">
        <v>2</v>
      </c>
      <c r="P57" t="n">
        <v>0</v>
      </c>
      <c r="Q57" t="n">
        <v>2</v>
      </c>
      <c r="R57" s="2" t="inlineStr">
        <is>
          <t>Motaggsvamp
Vedskivlav</t>
        </is>
      </c>
      <c r="S57">
        <f>HYPERLINK("https://klasma.github.io/Logging_2023/artfynd/A 49205-2024 artfynd.xlsx", "A 49205-2024")</f>
        <v/>
      </c>
      <c r="T57">
        <f>HYPERLINK("https://klasma.github.io/Logging_2023/kartor/A 49205-2024 karta.png", "A 49205-2024")</f>
        <v/>
      </c>
      <c r="V57">
        <f>HYPERLINK("https://klasma.github.io/Logging_2023/klagomål/A 49205-2024 FSC-klagomål.docx", "A 49205-2024")</f>
        <v/>
      </c>
      <c r="W57">
        <f>HYPERLINK("https://klasma.github.io/Logging_2023/klagomålsmail/A 49205-2024 FSC-klagomål mail.docx", "A 49205-2024")</f>
        <v/>
      </c>
      <c r="X57">
        <f>HYPERLINK("https://klasma.github.io/Logging_2023/tillsyn/A 49205-2024 tillsynsbegäran.docx", "A 49205-2024")</f>
        <v/>
      </c>
      <c r="Y57">
        <f>HYPERLINK("https://klasma.github.io/Logging_2023/tillsynsmail/A 49205-2024 tillsynsbegäran mail.docx", "A 49205-2024")</f>
        <v/>
      </c>
    </row>
    <row r="58" ht="15" customHeight="1">
      <c r="A58" t="inlineStr">
        <is>
          <t>A 58765-2024</t>
        </is>
      </c>
      <c r="B58" s="1" t="n">
        <v>45635</v>
      </c>
      <c r="C58" s="1" t="n">
        <v>45788</v>
      </c>
      <c r="D58" t="inlineStr">
        <is>
          <t>DALARNAS LÄN</t>
        </is>
      </c>
      <c r="E58" t="inlineStr">
        <is>
          <t>MALUNG-SÄLEN</t>
        </is>
      </c>
      <c r="G58" t="n">
        <v>4.8</v>
      </c>
      <c r="H58" t="n">
        <v>0</v>
      </c>
      <c r="I58" t="n">
        <v>1</v>
      </c>
      <c r="J58" t="n">
        <v>1</v>
      </c>
      <c r="K58" t="n">
        <v>0</v>
      </c>
      <c r="L58" t="n">
        <v>0</v>
      </c>
      <c r="M58" t="n">
        <v>0</v>
      </c>
      <c r="N58" t="n">
        <v>0</v>
      </c>
      <c r="O58" t="n">
        <v>1</v>
      </c>
      <c r="P58" t="n">
        <v>0</v>
      </c>
      <c r="Q58" t="n">
        <v>2</v>
      </c>
      <c r="R58" s="2" t="inlineStr">
        <is>
          <t>Garnlav
Vedticka</t>
        </is>
      </c>
      <c r="S58">
        <f>HYPERLINK("https://klasma.github.io/Logging_2023/artfynd/A 58765-2024 artfynd.xlsx", "A 58765-2024")</f>
        <v/>
      </c>
      <c r="T58">
        <f>HYPERLINK("https://klasma.github.io/Logging_2023/kartor/A 58765-2024 karta.png", "A 58765-2024")</f>
        <v/>
      </c>
      <c r="V58">
        <f>HYPERLINK("https://klasma.github.io/Logging_2023/klagomål/A 58765-2024 FSC-klagomål.docx", "A 58765-2024")</f>
        <v/>
      </c>
      <c r="W58">
        <f>HYPERLINK("https://klasma.github.io/Logging_2023/klagomålsmail/A 58765-2024 FSC-klagomål mail.docx", "A 58765-2024")</f>
        <v/>
      </c>
      <c r="X58">
        <f>HYPERLINK("https://klasma.github.io/Logging_2023/tillsyn/A 58765-2024 tillsynsbegäran.docx", "A 58765-2024")</f>
        <v/>
      </c>
      <c r="Y58">
        <f>HYPERLINK("https://klasma.github.io/Logging_2023/tillsynsmail/A 58765-2024 tillsynsbegäran mail.docx", "A 58765-2024")</f>
        <v/>
      </c>
    </row>
    <row r="59" ht="15" customHeight="1">
      <c r="A59" t="inlineStr">
        <is>
          <t>A 5851-2025</t>
        </is>
      </c>
      <c r="B59" s="1" t="n">
        <v>45695</v>
      </c>
      <c r="C59" s="1" t="n">
        <v>45788</v>
      </c>
      <c r="D59" t="inlineStr">
        <is>
          <t>DALARNAS LÄN</t>
        </is>
      </c>
      <c r="E59" t="inlineStr">
        <is>
          <t>MALUNG-SÄLEN</t>
        </is>
      </c>
      <c r="G59" t="n">
        <v>2.5</v>
      </c>
      <c r="H59" t="n">
        <v>0</v>
      </c>
      <c r="I59" t="n">
        <v>0</v>
      </c>
      <c r="J59" t="n">
        <v>2</v>
      </c>
      <c r="K59" t="n">
        <v>0</v>
      </c>
      <c r="L59" t="n">
        <v>0</v>
      </c>
      <c r="M59" t="n">
        <v>0</v>
      </c>
      <c r="N59" t="n">
        <v>0</v>
      </c>
      <c r="O59" t="n">
        <v>2</v>
      </c>
      <c r="P59" t="n">
        <v>0</v>
      </c>
      <c r="Q59" t="n">
        <v>2</v>
      </c>
      <c r="R59" s="2" t="inlineStr">
        <is>
          <t>Gammelgransskål
Garnlav</t>
        </is>
      </c>
      <c r="S59">
        <f>HYPERLINK("https://klasma.github.io/Logging_2023/artfynd/A 5851-2025 artfynd.xlsx", "A 5851-2025")</f>
        <v/>
      </c>
      <c r="T59">
        <f>HYPERLINK("https://klasma.github.io/Logging_2023/kartor/A 5851-2025 karta.png", "A 5851-2025")</f>
        <v/>
      </c>
      <c r="V59">
        <f>HYPERLINK("https://klasma.github.io/Logging_2023/klagomål/A 5851-2025 FSC-klagomål.docx", "A 5851-2025")</f>
        <v/>
      </c>
      <c r="W59">
        <f>HYPERLINK("https://klasma.github.io/Logging_2023/klagomålsmail/A 5851-2025 FSC-klagomål mail.docx", "A 5851-2025")</f>
        <v/>
      </c>
      <c r="X59">
        <f>HYPERLINK("https://klasma.github.io/Logging_2023/tillsyn/A 5851-2025 tillsynsbegäran.docx", "A 5851-2025")</f>
        <v/>
      </c>
      <c r="Y59">
        <f>HYPERLINK("https://klasma.github.io/Logging_2023/tillsynsmail/A 5851-2025 tillsynsbegäran mail.docx", "A 5851-2025")</f>
        <v/>
      </c>
    </row>
    <row r="60" ht="15" customHeight="1">
      <c r="A60" t="inlineStr">
        <is>
          <t>A 9199-2025</t>
        </is>
      </c>
      <c r="B60" s="1" t="n">
        <v>45714</v>
      </c>
      <c r="C60" s="1" t="n">
        <v>45788</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39475-2019</t>
        </is>
      </c>
      <c r="B61" s="1" t="n">
        <v>43691</v>
      </c>
      <c r="C61" s="1" t="n">
        <v>45788</v>
      </c>
      <c r="D61" t="inlineStr">
        <is>
          <t>DALARNAS LÄN</t>
        </is>
      </c>
      <c r="E61" t="inlineStr">
        <is>
          <t>MALUNG-SÄLEN</t>
        </is>
      </c>
      <c r="G61" t="n">
        <v>4.4</v>
      </c>
      <c r="H61" t="n">
        <v>1</v>
      </c>
      <c r="I61" t="n">
        <v>0</v>
      </c>
      <c r="J61" t="n">
        <v>0</v>
      </c>
      <c r="K61" t="n">
        <v>0</v>
      </c>
      <c r="L61" t="n">
        <v>0</v>
      </c>
      <c r="M61" t="n">
        <v>0</v>
      </c>
      <c r="N61" t="n">
        <v>0</v>
      </c>
      <c r="O61" t="n">
        <v>0</v>
      </c>
      <c r="P61" t="n">
        <v>0</v>
      </c>
      <c r="Q61" t="n">
        <v>1</v>
      </c>
      <c r="R61" s="2" t="inlineStr">
        <is>
          <t>Nattviol</t>
        </is>
      </c>
      <c r="S61">
        <f>HYPERLINK("https://klasma.github.io/Logging_2023/artfynd/A 39475-2019 artfynd.xlsx", "A 39475-2019")</f>
        <v/>
      </c>
      <c r="T61">
        <f>HYPERLINK("https://klasma.github.io/Logging_2023/kartor/A 39475-2019 karta.png", "A 39475-2019")</f>
        <v/>
      </c>
      <c r="V61">
        <f>HYPERLINK("https://klasma.github.io/Logging_2023/klagomål/A 39475-2019 FSC-klagomål.docx", "A 39475-2019")</f>
        <v/>
      </c>
      <c r="W61">
        <f>HYPERLINK("https://klasma.github.io/Logging_2023/klagomålsmail/A 39475-2019 FSC-klagomål mail.docx", "A 39475-2019")</f>
        <v/>
      </c>
      <c r="X61">
        <f>HYPERLINK("https://klasma.github.io/Logging_2023/tillsyn/A 39475-2019 tillsynsbegäran.docx", "A 39475-2019")</f>
        <v/>
      </c>
      <c r="Y61">
        <f>HYPERLINK("https://klasma.github.io/Logging_2023/tillsynsmail/A 39475-2019 tillsynsbegäran mail.docx", "A 39475-2019")</f>
        <v/>
      </c>
    </row>
    <row r="62" ht="15" customHeight="1">
      <c r="A62" t="inlineStr">
        <is>
          <t>A 62206-2019</t>
        </is>
      </c>
      <c r="B62" s="1" t="n">
        <v>43788</v>
      </c>
      <c r="C62" s="1" t="n">
        <v>45788</v>
      </c>
      <c r="D62" t="inlineStr">
        <is>
          <t>DALARNAS LÄN</t>
        </is>
      </c>
      <c r="E62" t="inlineStr">
        <is>
          <t>MALUNG-SÄLEN</t>
        </is>
      </c>
      <c r="G62" t="n">
        <v>0.8</v>
      </c>
      <c r="H62" t="n">
        <v>0</v>
      </c>
      <c r="I62" t="n">
        <v>0</v>
      </c>
      <c r="J62" t="n">
        <v>1</v>
      </c>
      <c r="K62" t="n">
        <v>0</v>
      </c>
      <c r="L62" t="n">
        <v>0</v>
      </c>
      <c r="M62" t="n">
        <v>0</v>
      </c>
      <c r="N62" t="n">
        <v>0</v>
      </c>
      <c r="O62" t="n">
        <v>1</v>
      </c>
      <c r="P62" t="n">
        <v>0</v>
      </c>
      <c r="Q62" t="n">
        <v>1</v>
      </c>
      <c r="R62" s="2" t="inlineStr">
        <is>
          <t>Lunglav</t>
        </is>
      </c>
      <c r="S62">
        <f>HYPERLINK("https://klasma.github.io/Logging_2023/artfynd/A 62206-2019 artfynd.xlsx", "A 62206-2019")</f>
        <v/>
      </c>
      <c r="T62">
        <f>HYPERLINK("https://klasma.github.io/Logging_2023/kartor/A 62206-2019 karta.png", "A 62206-2019")</f>
        <v/>
      </c>
      <c r="V62">
        <f>HYPERLINK("https://klasma.github.io/Logging_2023/klagomål/A 62206-2019 FSC-klagomål.docx", "A 62206-2019")</f>
        <v/>
      </c>
      <c r="W62">
        <f>HYPERLINK("https://klasma.github.io/Logging_2023/klagomålsmail/A 62206-2019 FSC-klagomål mail.docx", "A 62206-2019")</f>
        <v/>
      </c>
      <c r="X62">
        <f>HYPERLINK("https://klasma.github.io/Logging_2023/tillsyn/A 62206-2019 tillsynsbegäran.docx", "A 62206-2019")</f>
        <v/>
      </c>
      <c r="Y62">
        <f>HYPERLINK("https://klasma.github.io/Logging_2023/tillsynsmail/A 62206-2019 tillsynsbegäran mail.docx", "A 62206-2019")</f>
        <v/>
      </c>
    </row>
    <row r="63" ht="15" customHeight="1">
      <c r="A63" t="inlineStr">
        <is>
          <t>A 12761-2020</t>
        </is>
      </c>
      <c r="B63" s="1" t="n">
        <v>43899</v>
      </c>
      <c r="C63" s="1" t="n">
        <v>45788</v>
      </c>
      <c r="D63" t="inlineStr">
        <is>
          <t>DALARNAS LÄN</t>
        </is>
      </c>
      <c r="E63" t="inlineStr">
        <is>
          <t>MALUNG-SÄLEN</t>
        </is>
      </c>
      <c r="G63" t="n">
        <v>1.4</v>
      </c>
      <c r="H63" t="n">
        <v>0</v>
      </c>
      <c r="I63" t="n">
        <v>0</v>
      </c>
      <c r="J63" t="n">
        <v>1</v>
      </c>
      <c r="K63" t="n">
        <v>0</v>
      </c>
      <c r="L63" t="n">
        <v>0</v>
      </c>
      <c r="M63" t="n">
        <v>0</v>
      </c>
      <c r="N63" t="n">
        <v>0</v>
      </c>
      <c r="O63" t="n">
        <v>1</v>
      </c>
      <c r="P63" t="n">
        <v>0</v>
      </c>
      <c r="Q63" t="n">
        <v>1</v>
      </c>
      <c r="R63" s="2" t="inlineStr">
        <is>
          <t>Motaggsvamp</t>
        </is>
      </c>
      <c r="S63">
        <f>HYPERLINK("https://klasma.github.io/Logging_2023/artfynd/A 12761-2020 artfynd.xlsx", "A 12761-2020")</f>
        <v/>
      </c>
      <c r="T63">
        <f>HYPERLINK("https://klasma.github.io/Logging_2023/kartor/A 12761-2020 karta.png", "A 12761-2020")</f>
        <v/>
      </c>
      <c r="V63">
        <f>HYPERLINK("https://klasma.github.io/Logging_2023/klagomål/A 12761-2020 FSC-klagomål.docx", "A 12761-2020")</f>
        <v/>
      </c>
      <c r="W63">
        <f>HYPERLINK("https://klasma.github.io/Logging_2023/klagomålsmail/A 12761-2020 FSC-klagomål mail.docx", "A 12761-2020")</f>
        <v/>
      </c>
      <c r="X63">
        <f>HYPERLINK("https://klasma.github.io/Logging_2023/tillsyn/A 12761-2020 tillsynsbegäran.docx", "A 12761-2020")</f>
        <v/>
      </c>
      <c r="Y63">
        <f>HYPERLINK("https://klasma.github.io/Logging_2023/tillsynsmail/A 12761-2020 tillsynsbegäran mail.docx", "A 12761-2020")</f>
        <v/>
      </c>
    </row>
    <row r="64" ht="15" customHeight="1">
      <c r="A64" t="inlineStr">
        <is>
          <t>A 19759-2020</t>
        </is>
      </c>
      <c r="B64" s="1" t="n">
        <v>43942</v>
      </c>
      <c r="C64" s="1" t="n">
        <v>45788</v>
      </c>
      <c r="D64" t="inlineStr">
        <is>
          <t>DALARNAS LÄN</t>
        </is>
      </c>
      <c r="E64" t="inlineStr">
        <is>
          <t>MALUNG-SÄLEN</t>
        </is>
      </c>
      <c r="G64" t="n">
        <v>3.8</v>
      </c>
      <c r="H64" t="n">
        <v>1</v>
      </c>
      <c r="I64" t="n">
        <v>0</v>
      </c>
      <c r="J64" t="n">
        <v>0</v>
      </c>
      <c r="K64" t="n">
        <v>0</v>
      </c>
      <c r="L64" t="n">
        <v>1</v>
      </c>
      <c r="M64" t="n">
        <v>0</v>
      </c>
      <c r="N64" t="n">
        <v>0</v>
      </c>
      <c r="O64" t="n">
        <v>1</v>
      </c>
      <c r="P64" t="n">
        <v>1</v>
      </c>
      <c r="Q64" t="n">
        <v>1</v>
      </c>
      <c r="R64" s="2" t="inlineStr">
        <is>
          <t>Mosippa</t>
        </is>
      </c>
      <c r="S64">
        <f>HYPERLINK("https://klasma.github.io/Logging_2023/artfynd/A 19759-2020 artfynd.xlsx", "A 19759-2020")</f>
        <v/>
      </c>
      <c r="T64">
        <f>HYPERLINK("https://klasma.github.io/Logging_2023/kartor/A 19759-2020 karta.png", "A 19759-2020")</f>
        <v/>
      </c>
      <c r="V64">
        <f>HYPERLINK("https://klasma.github.io/Logging_2023/klagomål/A 19759-2020 FSC-klagomål.docx", "A 19759-2020")</f>
        <v/>
      </c>
      <c r="W64">
        <f>HYPERLINK("https://klasma.github.io/Logging_2023/klagomålsmail/A 19759-2020 FSC-klagomål mail.docx", "A 19759-2020")</f>
        <v/>
      </c>
      <c r="X64">
        <f>HYPERLINK("https://klasma.github.io/Logging_2023/tillsyn/A 19759-2020 tillsynsbegäran.docx", "A 19759-2020")</f>
        <v/>
      </c>
      <c r="Y64">
        <f>HYPERLINK("https://klasma.github.io/Logging_2023/tillsynsmail/A 19759-2020 tillsynsbegäran mail.docx", "A 19759-2020")</f>
        <v/>
      </c>
    </row>
    <row r="65" ht="15" customHeight="1">
      <c r="A65" t="inlineStr">
        <is>
          <t>A 25590-2020</t>
        </is>
      </c>
      <c r="B65" s="1" t="n">
        <v>43983</v>
      </c>
      <c r="C65" s="1" t="n">
        <v>45788</v>
      </c>
      <c r="D65" t="inlineStr">
        <is>
          <t>DALARNAS LÄN</t>
        </is>
      </c>
      <c r="E65" t="inlineStr">
        <is>
          <t>MALUNG-SÄLEN</t>
        </is>
      </c>
      <c r="F65" t="inlineStr">
        <is>
          <t>Allmännings- och besparingsskogar</t>
        </is>
      </c>
      <c r="G65" t="n">
        <v>2.2</v>
      </c>
      <c r="H65" t="n">
        <v>1</v>
      </c>
      <c r="I65" t="n">
        <v>0</v>
      </c>
      <c r="J65" t="n">
        <v>1</v>
      </c>
      <c r="K65" t="n">
        <v>0</v>
      </c>
      <c r="L65" t="n">
        <v>0</v>
      </c>
      <c r="M65" t="n">
        <v>0</v>
      </c>
      <c r="N65" t="n">
        <v>0</v>
      </c>
      <c r="O65" t="n">
        <v>1</v>
      </c>
      <c r="P65" t="n">
        <v>0</v>
      </c>
      <c r="Q65" t="n">
        <v>1</v>
      </c>
      <c r="R65" s="2" t="inlineStr">
        <is>
          <t>Tretåig hackspett</t>
        </is>
      </c>
      <c r="S65">
        <f>HYPERLINK("https://klasma.github.io/Logging_2023/artfynd/A 25590-2020 artfynd.xlsx", "A 25590-2020")</f>
        <v/>
      </c>
      <c r="T65">
        <f>HYPERLINK("https://klasma.github.io/Logging_2023/kartor/A 25590-2020 karta.png", "A 25590-2020")</f>
        <v/>
      </c>
      <c r="V65">
        <f>HYPERLINK("https://klasma.github.io/Logging_2023/klagomål/A 25590-2020 FSC-klagomål.docx", "A 25590-2020")</f>
        <v/>
      </c>
      <c r="W65">
        <f>HYPERLINK("https://klasma.github.io/Logging_2023/klagomålsmail/A 25590-2020 FSC-klagomål mail.docx", "A 25590-2020")</f>
        <v/>
      </c>
      <c r="X65">
        <f>HYPERLINK("https://klasma.github.io/Logging_2023/tillsyn/A 25590-2020 tillsynsbegäran.docx", "A 25590-2020")</f>
        <v/>
      </c>
      <c r="Y65">
        <f>HYPERLINK("https://klasma.github.io/Logging_2023/tillsynsmail/A 25590-2020 tillsynsbegäran mail.docx", "A 25590-2020")</f>
        <v/>
      </c>
      <c r="Z65">
        <f>HYPERLINK("https://klasma.github.io/Logging_2023/fåglar/A 25590-2020 prioriterade fågelarter.docx", "A 25590-2020")</f>
        <v/>
      </c>
    </row>
    <row r="66" ht="15" customHeight="1">
      <c r="A66" t="inlineStr">
        <is>
          <t>A 26557-2020</t>
        </is>
      </c>
      <c r="B66" s="1" t="n">
        <v>43987</v>
      </c>
      <c r="C66" s="1" t="n">
        <v>45788</v>
      </c>
      <c r="D66" t="inlineStr">
        <is>
          <t>DALARNAS LÄN</t>
        </is>
      </c>
      <c r="E66" t="inlineStr">
        <is>
          <t>MALUNG-SÄLEN</t>
        </is>
      </c>
      <c r="F66" t="inlineStr">
        <is>
          <t>Allmännings- och besparingsskogar</t>
        </is>
      </c>
      <c r="G66" t="n">
        <v>30.5</v>
      </c>
      <c r="H66" t="n">
        <v>1</v>
      </c>
      <c r="I66" t="n">
        <v>0</v>
      </c>
      <c r="J66" t="n">
        <v>0</v>
      </c>
      <c r="K66" t="n">
        <v>0</v>
      </c>
      <c r="L66" t="n">
        <v>0</v>
      </c>
      <c r="M66" t="n">
        <v>0</v>
      </c>
      <c r="N66" t="n">
        <v>0</v>
      </c>
      <c r="O66" t="n">
        <v>0</v>
      </c>
      <c r="P66" t="n">
        <v>0</v>
      </c>
      <c r="Q66" t="n">
        <v>1</v>
      </c>
      <c r="R66" s="2" t="inlineStr">
        <is>
          <t>Fläcknycklar</t>
        </is>
      </c>
      <c r="S66">
        <f>HYPERLINK("https://klasma.github.io/Logging_2023/artfynd/A 26557-2020 artfynd.xlsx", "A 26557-2020")</f>
        <v/>
      </c>
      <c r="T66">
        <f>HYPERLINK("https://klasma.github.io/Logging_2023/kartor/A 26557-2020 karta.png", "A 26557-2020")</f>
        <v/>
      </c>
      <c r="V66">
        <f>HYPERLINK("https://klasma.github.io/Logging_2023/klagomål/A 26557-2020 FSC-klagomål.docx", "A 26557-2020")</f>
        <v/>
      </c>
      <c r="W66">
        <f>HYPERLINK("https://klasma.github.io/Logging_2023/klagomålsmail/A 26557-2020 FSC-klagomål mail.docx", "A 26557-2020")</f>
        <v/>
      </c>
      <c r="X66">
        <f>HYPERLINK("https://klasma.github.io/Logging_2023/tillsyn/A 26557-2020 tillsynsbegäran.docx", "A 26557-2020")</f>
        <v/>
      </c>
      <c r="Y66">
        <f>HYPERLINK("https://klasma.github.io/Logging_2023/tillsynsmail/A 26557-2020 tillsynsbegäran mail.docx", "A 26557-2020")</f>
        <v/>
      </c>
    </row>
    <row r="67" ht="15" customHeight="1">
      <c r="A67" t="inlineStr">
        <is>
          <t>A 20921-2021</t>
        </is>
      </c>
      <c r="B67" s="1" t="n">
        <v>44319</v>
      </c>
      <c r="C67" s="1" t="n">
        <v>45788</v>
      </c>
      <c r="D67" t="inlineStr">
        <is>
          <t>DALARNAS LÄN</t>
        </is>
      </c>
      <c r="E67" t="inlineStr">
        <is>
          <t>MALUNG-SÄLEN</t>
        </is>
      </c>
      <c r="G67" t="n">
        <v>1.8</v>
      </c>
      <c r="H67" t="n">
        <v>0</v>
      </c>
      <c r="I67" t="n">
        <v>0</v>
      </c>
      <c r="J67" t="n">
        <v>1</v>
      </c>
      <c r="K67" t="n">
        <v>0</v>
      </c>
      <c r="L67" t="n">
        <v>0</v>
      </c>
      <c r="M67" t="n">
        <v>0</v>
      </c>
      <c r="N67" t="n">
        <v>0</v>
      </c>
      <c r="O67" t="n">
        <v>1</v>
      </c>
      <c r="P67" t="n">
        <v>0</v>
      </c>
      <c r="Q67" t="n">
        <v>1</v>
      </c>
      <c r="R67" s="2" t="inlineStr">
        <is>
          <t>Garnlav</t>
        </is>
      </c>
      <c r="S67">
        <f>HYPERLINK("https://klasma.github.io/Logging_2023/artfynd/A 20921-2021 artfynd.xlsx", "A 20921-2021")</f>
        <v/>
      </c>
      <c r="T67">
        <f>HYPERLINK("https://klasma.github.io/Logging_2023/kartor/A 20921-2021 karta.png", "A 20921-2021")</f>
        <v/>
      </c>
      <c r="V67">
        <f>HYPERLINK("https://klasma.github.io/Logging_2023/klagomål/A 20921-2021 FSC-klagomål.docx", "A 20921-2021")</f>
        <v/>
      </c>
      <c r="W67">
        <f>HYPERLINK("https://klasma.github.io/Logging_2023/klagomålsmail/A 20921-2021 FSC-klagomål mail.docx", "A 20921-2021")</f>
        <v/>
      </c>
      <c r="X67">
        <f>HYPERLINK("https://klasma.github.io/Logging_2023/tillsyn/A 20921-2021 tillsynsbegäran.docx", "A 20921-2021")</f>
        <v/>
      </c>
      <c r="Y67">
        <f>HYPERLINK("https://klasma.github.io/Logging_2023/tillsynsmail/A 20921-2021 tillsynsbegäran mail.docx", "A 20921-2021")</f>
        <v/>
      </c>
    </row>
    <row r="68" ht="15" customHeight="1">
      <c r="A68" t="inlineStr">
        <is>
          <t>A 42981-2021</t>
        </is>
      </c>
      <c r="B68" s="1" t="n">
        <v>44427</v>
      </c>
      <c r="C68" s="1" t="n">
        <v>45788</v>
      </c>
      <c r="D68" t="inlineStr">
        <is>
          <t>DALARNAS LÄN</t>
        </is>
      </c>
      <c r="E68" t="inlineStr">
        <is>
          <t>MALUNG-SÄLEN</t>
        </is>
      </c>
      <c r="G68" t="n">
        <v>3.4</v>
      </c>
      <c r="H68" t="n">
        <v>0</v>
      </c>
      <c r="I68" t="n">
        <v>0</v>
      </c>
      <c r="J68" t="n">
        <v>1</v>
      </c>
      <c r="K68" t="n">
        <v>0</v>
      </c>
      <c r="L68" t="n">
        <v>0</v>
      </c>
      <c r="M68" t="n">
        <v>0</v>
      </c>
      <c r="N68" t="n">
        <v>0</v>
      </c>
      <c r="O68" t="n">
        <v>1</v>
      </c>
      <c r="P68" t="n">
        <v>0</v>
      </c>
      <c r="Q68" t="n">
        <v>1</v>
      </c>
      <c r="R68" s="2" t="inlineStr">
        <is>
          <t>Lunglav</t>
        </is>
      </c>
      <c r="S68">
        <f>HYPERLINK("https://klasma.github.io/Logging_2023/artfynd/A 42981-2021 artfynd.xlsx", "A 42981-2021")</f>
        <v/>
      </c>
      <c r="T68">
        <f>HYPERLINK("https://klasma.github.io/Logging_2023/kartor/A 42981-2021 karta.png", "A 42981-2021")</f>
        <v/>
      </c>
      <c r="V68">
        <f>HYPERLINK("https://klasma.github.io/Logging_2023/klagomål/A 42981-2021 FSC-klagomål.docx", "A 42981-2021")</f>
        <v/>
      </c>
      <c r="W68">
        <f>HYPERLINK("https://klasma.github.io/Logging_2023/klagomålsmail/A 42981-2021 FSC-klagomål mail.docx", "A 42981-2021")</f>
        <v/>
      </c>
      <c r="X68">
        <f>HYPERLINK("https://klasma.github.io/Logging_2023/tillsyn/A 42981-2021 tillsynsbegäran.docx", "A 42981-2021")</f>
        <v/>
      </c>
      <c r="Y68">
        <f>HYPERLINK("https://klasma.github.io/Logging_2023/tillsynsmail/A 42981-2021 tillsynsbegäran mail.docx", "A 42981-2021")</f>
        <v/>
      </c>
    </row>
    <row r="69" ht="15" customHeight="1">
      <c r="A69" t="inlineStr">
        <is>
          <t>A 52669-2021</t>
        </is>
      </c>
      <c r="B69" s="1" t="n">
        <v>44464</v>
      </c>
      <c r="C69" s="1" t="n">
        <v>45788</v>
      </c>
      <c r="D69" t="inlineStr">
        <is>
          <t>DALARNAS LÄN</t>
        </is>
      </c>
      <c r="E69" t="inlineStr">
        <is>
          <t>MALUNG-SÄLEN</t>
        </is>
      </c>
      <c r="G69" t="n">
        <v>0.2</v>
      </c>
      <c r="H69" t="n">
        <v>0</v>
      </c>
      <c r="I69" t="n">
        <v>0</v>
      </c>
      <c r="J69" t="n">
        <v>1</v>
      </c>
      <c r="K69" t="n">
        <v>0</v>
      </c>
      <c r="L69" t="n">
        <v>0</v>
      </c>
      <c r="M69" t="n">
        <v>0</v>
      </c>
      <c r="N69" t="n">
        <v>0</v>
      </c>
      <c r="O69" t="n">
        <v>1</v>
      </c>
      <c r="P69" t="n">
        <v>0</v>
      </c>
      <c r="Q69" t="n">
        <v>1</v>
      </c>
      <c r="R69" s="2" t="inlineStr">
        <is>
          <t>Garnlav</t>
        </is>
      </c>
      <c r="S69">
        <f>HYPERLINK("https://klasma.github.io/Logging_2023/artfynd/A 52669-2021 artfynd.xlsx", "A 52669-2021")</f>
        <v/>
      </c>
      <c r="T69">
        <f>HYPERLINK("https://klasma.github.io/Logging_2023/kartor/A 52669-2021 karta.png", "A 52669-2021")</f>
        <v/>
      </c>
      <c r="V69">
        <f>HYPERLINK("https://klasma.github.io/Logging_2023/klagomål/A 52669-2021 FSC-klagomål.docx", "A 52669-2021")</f>
        <v/>
      </c>
      <c r="W69">
        <f>HYPERLINK("https://klasma.github.io/Logging_2023/klagomålsmail/A 52669-2021 FSC-klagomål mail.docx", "A 52669-2021")</f>
        <v/>
      </c>
      <c r="X69">
        <f>HYPERLINK("https://klasma.github.io/Logging_2023/tillsyn/A 52669-2021 tillsynsbegäran.docx", "A 52669-2021")</f>
        <v/>
      </c>
      <c r="Y69">
        <f>HYPERLINK("https://klasma.github.io/Logging_2023/tillsynsmail/A 52669-2021 tillsynsbegäran mail.docx", "A 52669-2021")</f>
        <v/>
      </c>
    </row>
    <row r="70" ht="15" customHeight="1">
      <c r="A70" t="inlineStr">
        <is>
          <t>A 11560-2022</t>
        </is>
      </c>
      <c r="B70" s="1" t="n">
        <v>44631</v>
      </c>
      <c r="C70" s="1" t="n">
        <v>45788</v>
      </c>
      <c r="D70" t="inlineStr">
        <is>
          <t>DALARNAS LÄN</t>
        </is>
      </c>
      <c r="E70" t="inlineStr">
        <is>
          <t>MALUNG-SÄLEN</t>
        </is>
      </c>
      <c r="G70" t="n">
        <v>7.4</v>
      </c>
      <c r="H70" t="n">
        <v>0</v>
      </c>
      <c r="I70" t="n">
        <v>0</v>
      </c>
      <c r="J70" t="n">
        <v>1</v>
      </c>
      <c r="K70" t="n">
        <v>0</v>
      </c>
      <c r="L70" t="n">
        <v>0</v>
      </c>
      <c r="M70" t="n">
        <v>0</v>
      </c>
      <c r="N70" t="n">
        <v>0</v>
      </c>
      <c r="O70" t="n">
        <v>1</v>
      </c>
      <c r="P70" t="n">
        <v>0</v>
      </c>
      <c r="Q70" t="n">
        <v>1</v>
      </c>
      <c r="R70" s="2" t="inlineStr">
        <is>
          <t>Blå taggsvamp</t>
        </is>
      </c>
      <c r="S70">
        <f>HYPERLINK("https://klasma.github.io/Logging_2023/artfynd/A 11560-2022 artfynd.xlsx", "A 11560-2022")</f>
        <v/>
      </c>
      <c r="T70">
        <f>HYPERLINK("https://klasma.github.io/Logging_2023/kartor/A 11560-2022 karta.png", "A 11560-2022")</f>
        <v/>
      </c>
      <c r="V70">
        <f>HYPERLINK("https://klasma.github.io/Logging_2023/klagomål/A 11560-2022 FSC-klagomål.docx", "A 11560-2022")</f>
        <v/>
      </c>
      <c r="W70">
        <f>HYPERLINK("https://klasma.github.io/Logging_2023/klagomålsmail/A 11560-2022 FSC-klagomål mail.docx", "A 11560-2022")</f>
        <v/>
      </c>
      <c r="X70">
        <f>HYPERLINK("https://klasma.github.io/Logging_2023/tillsyn/A 11560-2022 tillsynsbegäran.docx", "A 11560-2022")</f>
        <v/>
      </c>
      <c r="Y70">
        <f>HYPERLINK("https://klasma.github.io/Logging_2023/tillsynsmail/A 11560-2022 tillsynsbegäran mail.docx", "A 11560-2022")</f>
        <v/>
      </c>
    </row>
    <row r="71" ht="15" customHeight="1">
      <c r="A71" t="inlineStr">
        <is>
          <t>A 23476-2022</t>
        </is>
      </c>
      <c r="B71" s="1" t="n">
        <v>44721</v>
      </c>
      <c r="C71" s="1" t="n">
        <v>45788</v>
      </c>
      <c r="D71" t="inlineStr">
        <is>
          <t>DALARNAS LÄN</t>
        </is>
      </c>
      <c r="E71" t="inlineStr">
        <is>
          <t>MALUNG-SÄLEN</t>
        </is>
      </c>
      <c r="F71" t="inlineStr">
        <is>
          <t>Övriga statliga verk och myndigheter</t>
        </is>
      </c>
      <c r="G71" t="n">
        <v>1.2</v>
      </c>
      <c r="H71" t="n">
        <v>0</v>
      </c>
      <c r="I71" t="n">
        <v>1</v>
      </c>
      <c r="J71" t="n">
        <v>0</v>
      </c>
      <c r="K71" t="n">
        <v>0</v>
      </c>
      <c r="L71" t="n">
        <v>0</v>
      </c>
      <c r="M71" t="n">
        <v>0</v>
      </c>
      <c r="N71" t="n">
        <v>0</v>
      </c>
      <c r="O71" t="n">
        <v>0</v>
      </c>
      <c r="P71" t="n">
        <v>0</v>
      </c>
      <c r="Q71" t="n">
        <v>1</v>
      </c>
      <c r="R71" s="2" t="inlineStr">
        <is>
          <t>Sotlav</t>
        </is>
      </c>
      <c r="S71">
        <f>HYPERLINK("https://klasma.github.io/Logging_2023/artfynd/A 23476-2022 artfynd.xlsx", "A 23476-2022")</f>
        <v/>
      </c>
      <c r="T71">
        <f>HYPERLINK("https://klasma.github.io/Logging_2023/kartor/A 23476-2022 karta.png", "A 23476-2022")</f>
        <v/>
      </c>
      <c r="V71">
        <f>HYPERLINK("https://klasma.github.io/Logging_2023/klagomål/A 23476-2022 FSC-klagomål.docx", "A 23476-2022")</f>
        <v/>
      </c>
      <c r="W71">
        <f>HYPERLINK("https://klasma.github.io/Logging_2023/klagomålsmail/A 23476-2022 FSC-klagomål mail.docx", "A 23476-2022")</f>
        <v/>
      </c>
      <c r="X71">
        <f>HYPERLINK("https://klasma.github.io/Logging_2023/tillsyn/A 23476-2022 tillsynsbegäran.docx", "A 23476-2022")</f>
        <v/>
      </c>
      <c r="Y71">
        <f>HYPERLINK("https://klasma.github.io/Logging_2023/tillsynsmail/A 23476-2022 tillsynsbegäran mail.docx", "A 23476-2022")</f>
        <v/>
      </c>
    </row>
    <row r="72" ht="15" customHeight="1">
      <c r="A72" t="inlineStr">
        <is>
          <t>A 33859-2022</t>
        </is>
      </c>
      <c r="B72" s="1" t="n">
        <v>44790</v>
      </c>
      <c r="C72" s="1" t="n">
        <v>45788</v>
      </c>
      <c r="D72" t="inlineStr">
        <is>
          <t>DALARNAS LÄN</t>
        </is>
      </c>
      <c r="E72" t="inlineStr">
        <is>
          <t>MALUNG-SÄLEN</t>
        </is>
      </c>
      <c r="G72" t="n">
        <v>18.8</v>
      </c>
      <c r="H72" t="n">
        <v>1</v>
      </c>
      <c r="I72" t="n">
        <v>0</v>
      </c>
      <c r="J72" t="n">
        <v>1</v>
      </c>
      <c r="K72" t="n">
        <v>0</v>
      </c>
      <c r="L72" t="n">
        <v>0</v>
      </c>
      <c r="M72" t="n">
        <v>0</v>
      </c>
      <c r="N72" t="n">
        <v>0</v>
      </c>
      <c r="O72" t="n">
        <v>1</v>
      </c>
      <c r="P72" t="n">
        <v>0</v>
      </c>
      <c r="Q72" t="n">
        <v>1</v>
      </c>
      <c r="R72" s="2" t="inlineStr">
        <is>
          <t>Nordfladdermus</t>
        </is>
      </c>
      <c r="S72">
        <f>HYPERLINK("https://klasma.github.io/Logging_2023/artfynd/A 33859-2022 artfynd.xlsx", "A 33859-2022")</f>
        <v/>
      </c>
      <c r="T72">
        <f>HYPERLINK("https://klasma.github.io/Logging_2023/kartor/A 33859-2022 karta.png", "A 33859-2022")</f>
        <v/>
      </c>
      <c r="V72">
        <f>HYPERLINK("https://klasma.github.io/Logging_2023/klagomål/A 33859-2022 FSC-klagomål.docx", "A 33859-2022")</f>
        <v/>
      </c>
      <c r="W72">
        <f>HYPERLINK("https://klasma.github.io/Logging_2023/klagomålsmail/A 33859-2022 FSC-klagomål mail.docx", "A 33859-2022")</f>
        <v/>
      </c>
      <c r="X72">
        <f>HYPERLINK("https://klasma.github.io/Logging_2023/tillsyn/A 33859-2022 tillsynsbegäran.docx", "A 33859-2022")</f>
        <v/>
      </c>
      <c r="Y72">
        <f>HYPERLINK("https://klasma.github.io/Logging_2023/tillsynsmail/A 33859-2022 tillsynsbegäran mail.docx", "A 33859-2022")</f>
        <v/>
      </c>
    </row>
    <row r="73" ht="15" customHeight="1">
      <c r="A73" t="inlineStr">
        <is>
          <t>A 48842-2022</t>
        </is>
      </c>
      <c r="B73" s="1" t="n">
        <v>44859</v>
      </c>
      <c r="C73" s="1" t="n">
        <v>45788</v>
      </c>
      <c r="D73" t="inlineStr">
        <is>
          <t>DALARNAS LÄN</t>
        </is>
      </c>
      <c r="E73" t="inlineStr">
        <is>
          <t>MALUNG-SÄLEN</t>
        </is>
      </c>
      <c r="G73" t="n">
        <v>4.8</v>
      </c>
      <c r="H73" t="n">
        <v>0</v>
      </c>
      <c r="I73" t="n">
        <v>0</v>
      </c>
      <c r="J73" t="n">
        <v>1</v>
      </c>
      <c r="K73" t="n">
        <v>0</v>
      </c>
      <c r="L73" t="n">
        <v>0</v>
      </c>
      <c r="M73" t="n">
        <v>0</v>
      </c>
      <c r="N73" t="n">
        <v>0</v>
      </c>
      <c r="O73" t="n">
        <v>1</v>
      </c>
      <c r="P73" t="n">
        <v>0</v>
      </c>
      <c r="Q73" t="n">
        <v>1</v>
      </c>
      <c r="R73" s="2" t="inlineStr">
        <is>
          <t>Gränsticka</t>
        </is>
      </c>
      <c r="S73">
        <f>HYPERLINK("https://klasma.github.io/Logging_2023/artfynd/A 48842-2022 artfynd.xlsx", "A 48842-2022")</f>
        <v/>
      </c>
      <c r="T73">
        <f>HYPERLINK("https://klasma.github.io/Logging_2023/kartor/A 48842-2022 karta.png", "A 48842-2022")</f>
        <v/>
      </c>
      <c r="V73">
        <f>HYPERLINK("https://klasma.github.io/Logging_2023/klagomål/A 48842-2022 FSC-klagomål.docx", "A 48842-2022")</f>
        <v/>
      </c>
      <c r="W73">
        <f>HYPERLINK("https://klasma.github.io/Logging_2023/klagomålsmail/A 48842-2022 FSC-klagomål mail.docx", "A 48842-2022")</f>
        <v/>
      </c>
      <c r="X73">
        <f>HYPERLINK("https://klasma.github.io/Logging_2023/tillsyn/A 48842-2022 tillsynsbegäran.docx", "A 48842-2022")</f>
        <v/>
      </c>
      <c r="Y73">
        <f>HYPERLINK("https://klasma.github.io/Logging_2023/tillsynsmail/A 48842-2022 tillsynsbegäran mail.docx", "A 48842-2022")</f>
        <v/>
      </c>
    </row>
    <row r="74" ht="15" customHeight="1">
      <c r="A74" t="inlineStr">
        <is>
          <t>A 32068-2023</t>
        </is>
      </c>
      <c r="B74" s="1" t="n">
        <v>45119</v>
      </c>
      <c r="C74" s="1" t="n">
        <v>45788</v>
      </c>
      <c r="D74" t="inlineStr">
        <is>
          <t>DALARNAS LÄN</t>
        </is>
      </c>
      <c r="E74" t="inlineStr">
        <is>
          <t>MALUNG-SÄLEN</t>
        </is>
      </c>
      <c r="F74" t="inlineStr">
        <is>
          <t>Bergvik skog öst AB</t>
        </is>
      </c>
      <c r="G74" t="n">
        <v>1.6</v>
      </c>
      <c r="H74" t="n">
        <v>1</v>
      </c>
      <c r="I74" t="n">
        <v>0</v>
      </c>
      <c r="J74" t="n">
        <v>1</v>
      </c>
      <c r="K74" t="n">
        <v>0</v>
      </c>
      <c r="L74" t="n">
        <v>0</v>
      </c>
      <c r="M74" t="n">
        <v>0</v>
      </c>
      <c r="N74" t="n">
        <v>0</v>
      </c>
      <c r="O74" t="n">
        <v>1</v>
      </c>
      <c r="P74" t="n">
        <v>0</v>
      </c>
      <c r="Q74" t="n">
        <v>1</v>
      </c>
      <c r="R74" s="2" t="inlineStr">
        <is>
          <t>Kungsörn</t>
        </is>
      </c>
      <c r="S74">
        <f>HYPERLINK("https://klasma.github.io/Logging_2023/artfynd/A 32068-2023 artfynd.xlsx", "A 32068-2023")</f>
        <v/>
      </c>
      <c r="T74">
        <f>HYPERLINK("https://klasma.github.io/Logging_2023/kartor/A 32068-2023 karta.png", "A 32068-2023")</f>
        <v/>
      </c>
      <c r="V74">
        <f>HYPERLINK("https://klasma.github.io/Logging_2023/klagomål/A 32068-2023 FSC-klagomål.docx", "A 32068-2023")</f>
        <v/>
      </c>
      <c r="W74">
        <f>HYPERLINK("https://klasma.github.io/Logging_2023/klagomålsmail/A 32068-2023 FSC-klagomål mail.docx", "A 32068-2023")</f>
        <v/>
      </c>
      <c r="X74">
        <f>HYPERLINK("https://klasma.github.io/Logging_2023/tillsyn/A 32068-2023 tillsynsbegäran.docx", "A 32068-2023")</f>
        <v/>
      </c>
      <c r="Y74">
        <f>HYPERLINK("https://klasma.github.io/Logging_2023/tillsynsmail/A 32068-2023 tillsynsbegäran mail.docx", "A 32068-2023")</f>
        <v/>
      </c>
      <c r="Z74">
        <f>HYPERLINK("https://klasma.github.io/Logging_2023/fåglar/A 32068-2023 prioriterade fågelarter.docx", "A 32068-2023")</f>
        <v/>
      </c>
    </row>
    <row r="75" ht="15" customHeight="1">
      <c r="A75" t="inlineStr">
        <is>
          <t>A 57333-2023</t>
        </is>
      </c>
      <c r="B75" s="1" t="n">
        <v>45245</v>
      </c>
      <c r="C75" s="1" t="n">
        <v>45788</v>
      </c>
      <c r="D75" t="inlineStr">
        <is>
          <t>DALARNAS LÄN</t>
        </is>
      </c>
      <c r="E75" t="inlineStr">
        <is>
          <t>MALUNG-SÄLEN</t>
        </is>
      </c>
      <c r="G75" t="n">
        <v>6.7</v>
      </c>
      <c r="H75" t="n">
        <v>0</v>
      </c>
      <c r="I75" t="n">
        <v>0</v>
      </c>
      <c r="J75" t="n">
        <v>0</v>
      </c>
      <c r="K75" t="n">
        <v>1</v>
      </c>
      <c r="L75" t="n">
        <v>0</v>
      </c>
      <c r="M75" t="n">
        <v>0</v>
      </c>
      <c r="N75" t="n">
        <v>0</v>
      </c>
      <c r="O75" t="n">
        <v>1</v>
      </c>
      <c r="P75" t="n">
        <v>1</v>
      </c>
      <c r="Q75" t="n">
        <v>1</v>
      </c>
      <c r="R75" s="2" t="inlineStr">
        <is>
          <t>Gräddporing</t>
        </is>
      </c>
      <c r="S75">
        <f>HYPERLINK("https://klasma.github.io/Logging_2023/artfynd/A 57333-2023 artfynd.xlsx", "A 57333-2023")</f>
        <v/>
      </c>
      <c r="T75">
        <f>HYPERLINK("https://klasma.github.io/Logging_2023/kartor/A 57333-2023 karta.png", "A 57333-2023")</f>
        <v/>
      </c>
      <c r="V75">
        <f>HYPERLINK("https://klasma.github.io/Logging_2023/klagomål/A 57333-2023 FSC-klagomål.docx", "A 57333-2023")</f>
        <v/>
      </c>
      <c r="W75">
        <f>HYPERLINK("https://klasma.github.io/Logging_2023/klagomålsmail/A 57333-2023 FSC-klagomål mail.docx", "A 57333-2023")</f>
        <v/>
      </c>
      <c r="X75">
        <f>HYPERLINK("https://klasma.github.io/Logging_2023/tillsyn/A 57333-2023 tillsynsbegäran.docx", "A 57333-2023")</f>
        <v/>
      </c>
      <c r="Y75">
        <f>HYPERLINK("https://klasma.github.io/Logging_2023/tillsynsmail/A 57333-2023 tillsynsbegäran mail.docx", "A 57333-2023")</f>
        <v/>
      </c>
    </row>
    <row r="76" ht="15" customHeight="1">
      <c r="A76" t="inlineStr">
        <is>
          <t>A 57702-2023</t>
        </is>
      </c>
      <c r="B76" s="1" t="n">
        <v>45246</v>
      </c>
      <c r="C76" s="1" t="n">
        <v>45788</v>
      </c>
      <c r="D76" t="inlineStr">
        <is>
          <t>DALARNAS LÄN</t>
        </is>
      </c>
      <c r="E76" t="inlineStr">
        <is>
          <t>MALUNG-SÄLEN</t>
        </is>
      </c>
      <c r="G76" t="n">
        <v>1.5</v>
      </c>
      <c r="H76" t="n">
        <v>0</v>
      </c>
      <c r="I76" t="n">
        <v>1</v>
      </c>
      <c r="J76" t="n">
        <v>0</v>
      </c>
      <c r="K76" t="n">
        <v>0</v>
      </c>
      <c r="L76" t="n">
        <v>0</v>
      </c>
      <c r="M76" t="n">
        <v>0</v>
      </c>
      <c r="N76" t="n">
        <v>0</v>
      </c>
      <c r="O76" t="n">
        <v>0</v>
      </c>
      <c r="P76" t="n">
        <v>0</v>
      </c>
      <c r="Q76" t="n">
        <v>1</v>
      </c>
      <c r="R76" s="2" t="inlineStr">
        <is>
          <t>Brun nållav</t>
        </is>
      </c>
      <c r="S76">
        <f>HYPERLINK("https://klasma.github.io/Logging_2023/artfynd/A 57702-2023 artfynd.xlsx", "A 57702-2023")</f>
        <v/>
      </c>
      <c r="T76">
        <f>HYPERLINK("https://klasma.github.io/Logging_2023/kartor/A 57702-2023 karta.png", "A 57702-2023")</f>
        <v/>
      </c>
      <c r="V76">
        <f>HYPERLINK("https://klasma.github.io/Logging_2023/klagomål/A 57702-2023 FSC-klagomål.docx", "A 57702-2023")</f>
        <v/>
      </c>
      <c r="W76">
        <f>HYPERLINK("https://klasma.github.io/Logging_2023/klagomålsmail/A 57702-2023 FSC-klagomål mail.docx", "A 57702-2023")</f>
        <v/>
      </c>
      <c r="X76">
        <f>HYPERLINK("https://klasma.github.io/Logging_2023/tillsyn/A 57702-2023 tillsynsbegäran.docx", "A 57702-2023")</f>
        <v/>
      </c>
      <c r="Y76">
        <f>HYPERLINK("https://klasma.github.io/Logging_2023/tillsynsmail/A 57702-2023 tillsynsbegäran mail.docx", "A 57702-2023")</f>
        <v/>
      </c>
    </row>
    <row r="77" ht="15" customHeight="1">
      <c r="A77" t="inlineStr">
        <is>
          <t>A 6807-2024</t>
        </is>
      </c>
      <c r="B77" s="1" t="n">
        <v>45342</v>
      </c>
      <c r="C77" s="1" t="n">
        <v>45788</v>
      </c>
      <c r="D77" t="inlineStr">
        <is>
          <t>DALARNAS LÄN</t>
        </is>
      </c>
      <c r="E77" t="inlineStr">
        <is>
          <t>MALUNG-SÄLEN</t>
        </is>
      </c>
      <c r="G77" t="n">
        <v>10.7</v>
      </c>
      <c r="H77" t="n">
        <v>0</v>
      </c>
      <c r="I77" t="n">
        <v>0</v>
      </c>
      <c r="J77" t="n">
        <v>1</v>
      </c>
      <c r="K77" t="n">
        <v>0</v>
      </c>
      <c r="L77" t="n">
        <v>0</v>
      </c>
      <c r="M77" t="n">
        <v>0</v>
      </c>
      <c r="N77" t="n">
        <v>0</v>
      </c>
      <c r="O77" t="n">
        <v>1</v>
      </c>
      <c r="P77" t="n">
        <v>0</v>
      </c>
      <c r="Q77" t="n">
        <v>1</v>
      </c>
      <c r="R77" s="2" t="inlineStr">
        <is>
          <t>Motaggsvamp</t>
        </is>
      </c>
      <c r="S77">
        <f>HYPERLINK("https://klasma.github.io/Logging_2023/artfynd/A 6807-2024 artfynd.xlsx", "A 6807-2024")</f>
        <v/>
      </c>
      <c r="T77">
        <f>HYPERLINK("https://klasma.github.io/Logging_2023/kartor/A 6807-2024 karta.png", "A 6807-2024")</f>
        <v/>
      </c>
      <c r="V77">
        <f>HYPERLINK("https://klasma.github.io/Logging_2023/klagomål/A 6807-2024 FSC-klagomål.docx", "A 6807-2024")</f>
        <v/>
      </c>
      <c r="W77">
        <f>HYPERLINK("https://klasma.github.io/Logging_2023/klagomålsmail/A 6807-2024 FSC-klagomål mail.docx", "A 6807-2024")</f>
        <v/>
      </c>
      <c r="X77">
        <f>HYPERLINK("https://klasma.github.io/Logging_2023/tillsyn/A 6807-2024 tillsynsbegäran.docx", "A 6807-2024")</f>
        <v/>
      </c>
      <c r="Y77">
        <f>HYPERLINK("https://klasma.github.io/Logging_2023/tillsynsmail/A 6807-2024 tillsynsbegäran mail.docx", "A 6807-2024")</f>
        <v/>
      </c>
    </row>
    <row r="78" ht="15" customHeight="1">
      <c r="A78" t="inlineStr">
        <is>
          <t>A 8326-2024</t>
        </is>
      </c>
      <c r="B78" s="1" t="n">
        <v>45352</v>
      </c>
      <c r="C78" s="1" t="n">
        <v>45788</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Doftskinn</t>
        </is>
      </c>
      <c r="S78">
        <f>HYPERLINK("https://klasma.github.io/Logging_2023/artfynd/A 8326-2024 artfynd.xlsx", "A 8326-2024")</f>
        <v/>
      </c>
      <c r="T78">
        <f>HYPERLINK("https://klasma.github.io/Logging_2023/kartor/A 8326-2024 karta.png", "A 8326-2024")</f>
        <v/>
      </c>
      <c r="V78">
        <f>HYPERLINK("https://klasma.github.io/Logging_2023/klagomål/A 8326-2024 FSC-klagomål.docx", "A 8326-2024")</f>
        <v/>
      </c>
      <c r="W78">
        <f>HYPERLINK("https://klasma.github.io/Logging_2023/klagomålsmail/A 8326-2024 FSC-klagomål mail.docx", "A 8326-2024")</f>
        <v/>
      </c>
      <c r="X78">
        <f>HYPERLINK("https://klasma.github.io/Logging_2023/tillsyn/A 8326-2024 tillsynsbegäran.docx", "A 8326-2024")</f>
        <v/>
      </c>
      <c r="Y78">
        <f>HYPERLINK("https://klasma.github.io/Logging_2023/tillsynsmail/A 8326-2024 tillsynsbegäran mail.docx", "A 8326-2024")</f>
        <v/>
      </c>
    </row>
    <row r="79" ht="15" customHeight="1">
      <c r="A79" t="inlineStr">
        <is>
          <t>A 19374-2024</t>
        </is>
      </c>
      <c r="B79" s="1" t="n">
        <v>45429</v>
      </c>
      <c r="C79" s="1" t="n">
        <v>45788</v>
      </c>
      <c r="D79" t="inlineStr">
        <is>
          <t>DALARNAS LÄN</t>
        </is>
      </c>
      <c r="E79" t="inlineStr">
        <is>
          <t>MALUNG-SÄLEN</t>
        </is>
      </c>
      <c r="F79" t="inlineStr">
        <is>
          <t>Bergvik skog öst AB</t>
        </is>
      </c>
      <c r="G79" t="n">
        <v>1.1</v>
      </c>
      <c r="H79" t="n">
        <v>0</v>
      </c>
      <c r="I79" t="n">
        <v>1</v>
      </c>
      <c r="J79" t="n">
        <v>0</v>
      </c>
      <c r="K79" t="n">
        <v>0</v>
      </c>
      <c r="L79" t="n">
        <v>0</v>
      </c>
      <c r="M79" t="n">
        <v>0</v>
      </c>
      <c r="N79" t="n">
        <v>0</v>
      </c>
      <c r="O79" t="n">
        <v>0</v>
      </c>
      <c r="P79" t="n">
        <v>0</v>
      </c>
      <c r="Q79" t="n">
        <v>1</v>
      </c>
      <c r="R79" s="2" t="inlineStr">
        <is>
          <t>Skarp dropptaggsvamp</t>
        </is>
      </c>
      <c r="S79">
        <f>HYPERLINK("https://klasma.github.io/Logging_2023/artfynd/A 19374-2024 artfynd.xlsx", "A 19374-2024")</f>
        <v/>
      </c>
      <c r="T79">
        <f>HYPERLINK("https://klasma.github.io/Logging_2023/kartor/A 19374-2024 karta.png", "A 19374-2024")</f>
        <v/>
      </c>
      <c r="V79">
        <f>HYPERLINK("https://klasma.github.io/Logging_2023/klagomål/A 19374-2024 FSC-klagomål.docx", "A 19374-2024")</f>
        <v/>
      </c>
      <c r="W79">
        <f>HYPERLINK("https://klasma.github.io/Logging_2023/klagomålsmail/A 19374-2024 FSC-klagomål mail.docx", "A 19374-2024")</f>
        <v/>
      </c>
      <c r="X79">
        <f>HYPERLINK("https://klasma.github.io/Logging_2023/tillsyn/A 19374-2024 tillsynsbegäran.docx", "A 19374-2024")</f>
        <v/>
      </c>
      <c r="Y79">
        <f>HYPERLINK("https://klasma.github.io/Logging_2023/tillsynsmail/A 19374-2024 tillsynsbegäran mail.docx", "A 19374-2024")</f>
        <v/>
      </c>
    </row>
    <row r="80" ht="15" customHeight="1">
      <c r="A80" t="inlineStr">
        <is>
          <t>A 22186-2024</t>
        </is>
      </c>
      <c r="B80" s="1" t="n">
        <v>45446</v>
      </c>
      <c r="C80" s="1" t="n">
        <v>45788</v>
      </c>
      <c r="D80" t="inlineStr">
        <is>
          <t>DALARNAS LÄN</t>
        </is>
      </c>
      <c r="E80" t="inlineStr">
        <is>
          <t>MALUNG-SÄLEN</t>
        </is>
      </c>
      <c r="F80" t="inlineStr">
        <is>
          <t>Allmännings- och besparingsskogar</t>
        </is>
      </c>
      <c r="G80" t="n">
        <v>36</v>
      </c>
      <c r="H80" t="n">
        <v>1</v>
      </c>
      <c r="I80" t="n">
        <v>0</v>
      </c>
      <c r="J80" t="n">
        <v>1</v>
      </c>
      <c r="K80" t="n">
        <v>0</v>
      </c>
      <c r="L80" t="n">
        <v>0</v>
      </c>
      <c r="M80" t="n">
        <v>0</v>
      </c>
      <c r="N80" t="n">
        <v>0</v>
      </c>
      <c r="O80" t="n">
        <v>1</v>
      </c>
      <c r="P80" t="n">
        <v>0</v>
      </c>
      <c r="Q80" t="n">
        <v>1</v>
      </c>
      <c r="R80" s="2" t="inlineStr">
        <is>
          <t>Varglav</t>
        </is>
      </c>
      <c r="S80">
        <f>HYPERLINK("https://klasma.github.io/Logging_2023/artfynd/A 22186-2024 artfynd.xlsx", "A 22186-2024")</f>
        <v/>
      </c>
      <c r="T80">
        <f>HYPERLINK("https://klasma.github.io/Logging_2023/kartor/A 22186-2024 karta.png", "A 22186-2024")</f>
        <v/>
      </c>
      <c r="V80">
        <f>HYPERLINK("https://klasma.github.io/Logging_2023/klagomål/A 22186-2024 FSC-klagomål.docx", "A 22186-2024")</f>
        <v/>
      </c>
      <c r="W80">
        <f>HYPERLINK("https://klasma.github.io/Logging_2023/klagomålsmail/A 22186-2024 FSC-klagomål mail.docx", "A 22186-2024")</f>
        <v/>
      </c>
      <c r="X80">
        <f>HYPERLINK("https://klasma.github.io/Logging_2023/tillsyn/A 22186-2024 tillsynsbegäran.docx", "A 22186-2024")</f>
        <v/>
      </c>
      <c r="Y80">
        <f>HYPERLINK("https://klasma.github.io/Logging_2023/tillsynsmail/A 22186-2024 tillsynsbegäran mail.docx", "A 22186-2024")</f>
        <v/>
      </c>
    </row>
    <row r="81" ht="15" customHeight="1">
      <c r="A81" t="inlineStr">
        <is>
          <t>A 24907-2024</t>
        </is>
      </c>
      <c r="B81" s="1" t="n">
        <v>45461</v>
      </c>
      <c r="C81" s="1" t="n">
        <v>45788</v>
      </c>
      <c r="D81" t="inlineStr">
        <is>
          <t>DALARNAS LÄN</t>
        </is>
      </c>
      <c r="E81" t="inlineStr">
        <is>
          <t>MALUNG-SÄLEN</t>
        </is>
      </c>
      <c r="F81" t="inlineStr">
        <is>
          <t>Allmännings- och besparingsskogar</t>
        </is>
      </c>
      <c r="G81" t="n">
        <v>1.4</v>
      </c>
      <c r="H81" t="n">
        <v>1</v>
      </c>
      <c r="I81" t="n">
        <v>0</v>
      </c>
      <c r="J81" t="n">
        <v>1</v>
      </c>
      <c r="K81" t="n">
        <v>0</v>
      </c>
      <c r="L81" t="n">
        <v>0</v>
      </c>
      <c r="M81" t="n">
        <v>0</v>
      </c>
      <c r="N81" t="n">
        <v>0</v>
      </c>
      <c r="O81" t="n">
        <v>1</v>
      </c>
      <c r="P81" t="n">
        <v>0</v>
      </c>
      <c r="Q81" t="n">
        <v>1</v>
      </c>
      <c r="R81" s="2" t="inlineStr">
        <is>
          <t>Tretåig hackspett</t>
        </is>
      </c>
      <c r="S81">
        <f>HYPERLINK("https://klasma.github.io/Logging_2023/artfynd/A 24907-2024 artfynd.xlsx", "A 24907-2024")</f>
        <v/>
      </c>
      <c r="T81">
        <f>HYPERLINK("https://klasma.github.io/Logging_2023/kartor/A 24907-2024 karta.png", "A 24907-2024")</f>
        <v/>
      </c>
      <c r="V81">
        <f>HYPERLINK("https://klasma.github.io/Logging_2023/klagomål/A 24907-2024 FSC-klagomål.docx", "A 24907-2024")</f>
        <v/>
      </c>
      <c r="W81">
        <f>HYPERLINK("https://klasma.github.io/Logging_2023/klagomålsmail/A 24907-2024 FSC-klagomål mail.docx", "A 24907-2024")</f>
        <v/>
      </c>
      <c r="X81">
        <f>HYPERLINK("https://klasma.github.io/Logging_2023/tillsyn/A 24907-2024 tillsynsbegäran.docx", "A 24907-2024")</f>
        <v/>
      </c>
      <c r="Y81">
        <f>HYPERLINK("https://klasma.github.io/Logging_2023/tillsynsmail/A 24907-2024 tillsynsbegäran mail.docx", "A 24907-2024")</f>
        <v/>
      </c>
      <c r="Z81">
        <f>HYPERLINK("https://klasma.github.io/Logging_2023/fåglar/A 24907-2024 prioriterade fågelarter.docx", "A 24907-2024")</f>
        <v/>
      </c>
    </row>
    <row r="82" ht="15" customHeight="1">
      <c r="A82" t="inlineStr">
        <is>
          <t>A 29045-2024</t>
        </is>
      </c>
      <c r="B82" s="1" t="n">
        <v>45481</v>
      </c>
      <c r="C82" s="1" t="n">
        <v>45788</v>
      </c>
      <c r="D82" t="inlineStr">
        <is>
          <t>DALARNAS LÄN</t>
        </is>
      </c>
      <c r="E82" t="inlineStr">
        <is>
          <t>MALUNG-SÄLEN</t>
        </is>
      </c>
      <c r="G82" t="n">
        <v>5.7</v>
      </c>
      <c r="H82" t="n">
        <v>1</v>
      </c>
      <c r="I82" t="n">
        <v>0</v>
      </c>
      <c r="J82" t="n">
        <v>0</v>
      </c>
      <c r="K82" t="n">
        <v>1</v>
      </c>
      <c r="L82" t="n">
        <v>0</v>
      </c>
      <c r="M82" t="n">
        <v>0</v>
      </c>
      <c r="N82" t="n">
        <v>0</v>
      </c>
      <c r="O82" t="n">
        <v>1</v>
      </c>
      <c r="P82" t="n">
        <v>1</v>
      </c>
      <c r="Q82" t="n">
        <v>1</v>
      </c>
      <c r="R82" s="2" t="inlineStr">
        <is>
          <t>Knärot</t>
        </is>
      </c>
      <c r="S82">
        <f>HYPERLINK("https://klasma.github.io/Logging_2023/artfynd/A 29045-2024 artfynd.xlsx", "A 29045-2024")</f>
        <v/>
      </c>
      <c r="T82">
        <f>HYPERLINK("https://klasma.github.io/Logging_2023/kartor/A 29045-2024 karta.png", "A 29045-2024")</f>
        <v/>
      </c>
      <c r="U82">
        <f>HYPERLINK("https://klasma.github.io/Logging_2023/knärot/A 29045-2024 karta knärot.png", "A 29045-2024")</f>
        <v/>
      </c>
      <c r="V82">
        <f>HYPERLINK("https://klasma.github.io/Logging_2023/klagomål/A 29045-2024 FSC-klagomål.docx", "A 29045-2024")</f>
        <v/>
      </c>
      <c r="W82">
        <f>HYPERLINK("https://klasma.github.io/Logging_2023/klagomålsmail/A 29045-2024 FSC-klagomål mail.docx", "A 29045-2024")</f>
        <v/>
      </c>
      <c r="X82">
        <f>HYPERLINK("https://klasma.github.io/Logging_2023/tillsyn/A 29045-2024 tillsynsbegäran.docx", "A 29045-2024")</f>
        <v/>
      </c>
      <c r="Y82">
        <f>HYPERLINK("https://klasma.github.io/Logging_2023/tillsynsmail/A 29045-2024 tillsynsbegäran mail.docx", "A 29045-2024")</f>
        <v/>
      </c>
    </row>
    <row r="83" ht="15" customHeight="1">
      <c r="A83" t="inlineStr">
        <is>
          <t>A 55914-2024</t>
        </is>
      </c>
      <c r="B83" s="1" t="n">
        <v>45623</v>
      </c>
      <c r="C83" s="1" t="n">
        <v>45788</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Lunglav</t>
        </is>
      </c>
      <c r="S83">
        <f>HYPERLINK("https://klasma.github.io/Logging_2023/artfynd/A 55914-2024 artfynd.xlsx", "A 55914-2024")</f>
        <v/>
      </c>
      <c r="T83">
        <f>HYPERLINK("https://klasma.github.io/Logging_2023/kartor/A 55914-2024 karta.png", "A 55914-2024")</f>
        <v/>
      </c>
      <c r="V83">
        <f>HYPERLINK("https://klasma.github.io/Logging_2023/klagomål/A 55914-2024 FSC-klagomål.docx", "A 55914-2024")</f>
        <v/>
      </c>
      <c r="W83">
        <f>HYPERLINK("https://klasma.github.io/Logging_2023/klagomålsmail/A 55914-2024 FSC-klagomål mail.docx", "A 55914-2024")</f>
        <v/>
      </c>
      <c r="X83">
        <f>HYPERLINK("https://klasma.github.io/Logging_2023/tillsyn/A 55914-2024 tillsynsbegäran.docx", "A 55914-2024")</f>
        <v/>
      </c>
      <c r="Y83">
        <f>HYPERLINK("https://klasma.github.io/Logging_2023/tillsynsmail/A 55914-2024 tillsynsbegäran mail.docx", "A 55914-2024")</f>
        <v/>
      </c>
    </row>
    <row r="84" ht="15" customHeight="1">
      <c r="A84" t="inlineStr">
        <is>
          <t>A 2940-2025</t>
        </is>
      </c>
      <c r="B84" s="1" t="n">
        <v>45678</v>
      </c>
      <c r="C84" s="1" t="n">
        <v>45788</v>
      </c>
      <c r="D84" t="inlineStr">
        <is>
          <t>DALARNAS LÄN</t>
        </is>
      </c>
      <c r="E84" t="inlineStr">
        <is>
          <t>MALUNG-SÄLEN</t>
        </is>
      </c>
      <c r="G84" t="n">
        <v>3.8</v>
      </c>
      <c r="H84" t="n">
        <v>0</v>
      </c>
      <c r="I84" t="n">
        <v>0</v>
      </c>
      <c r="J84" t="n">
        <v>1</v>
      </c>
      <c r="K84" t="n">
        <v>0</v>
      </c>
      <c r="L84" t="n">
        <v>0</v>
      </c>
      <c r="M84" t="n">
        <v>0</v>
      </c>
      <c r="N84" t="n">
        <v>0</v>
      </c>
      <c r="O84" t="n">
        <v>1</v>
      </c>
      <c r="P84" t="n">
        <v>0</v>
      </c>
      <c r="Q84" t="n">
        <v>1</v>
      </c>
      <c r="R84" s="2" t="inlineStr">
        <is>
          <t>Garnlav</t>
        </is>
      </c>
      <c r="S84">
        <f>HYPERLINK("https://klasma.github.io/Logging_2023/artfynd/A 2940-2025 artfynd.xlsx", "A 2940-2025")</f>
        <v/>
      </c>
      <c r="T84">
        <f>HYPERLINK("https://klasma.github.io/Logging_2023/kartor/A 2940-2025 karta.png", "A 2940-2025")</f>
        <v/>
      </c>
      <c r="V84">
        <f>HYPERLINK("https://klasma.github.io/Logging_2023/klagomål/A 2940-2025 FSC-klagomål.docx", "A 2940-2025")</f>
        <v/>
      </c>
      <c r="W84">
        <f>HYPERLINK("https://klasma.github.io/Logging_2023/klagomålsmail/A 2940-2025 FSC-klagomål mail.docx", "A 2940-2025")</f>
        <v/>
      </c>
      <c r="X84">
        <f>HYPERLINK("https://klasma.github.io/Logging_2023/tillsyn/A 2940-2025 tillsynsbegäran.docx", "A 2940-2025")</f>
        <v/>
      </c>
      <c r="Y84">
        <f>HYPERLINK("https://klasma.github.io/Logging_2023/tillsynsmail/A 2940-2025 tillsynsbegäran mail.docx", "A 2940-2025")</f>
        <v/>
      </c>
    </row>
    <row r="85" ht="15" customHeight="1">
      <c r="A85" t="inlineStr">
        <is>
          <t>A 8696-2025</t>
        </is>
      </c>
      <c r="B85" s="1" t="n">
        <v>45712</v>
      </c>
      <c r="C85" s="1" t="n">
        <v>45788</v>
      </c>
      <c r="D85" t="inlineStr">
        <is>
          <t>DALARNAS LÄN</t>
        </is>
      </c>
      <c r="E85" t="inlineStr">
        <is>
          <t>MALUNG-SÄLEN</t>
        </is>
      </c>
      <c r="G85" t="n">
        <v>6.5</v>
      </c>
      <c r="H85" t="n">
        <v>0</v>
      </c>
      <c r="I85" t="n">
        <v>0</v>
      </c>
      <c r="J85" t="n">
        <v>1</v>
      </c>
      <c r="K85" t="n">
        <v>0</v>
      </c>
      <c r="L85" t="n">
        <v>0</v>
      </c>
      <c r="M85" t="n">
        <v>0</v>
      </c>
      <c r="N85" t="n">
        <v>0</v>
      </c>
      <c r="O85" t="n">
        <v>1</v>
      </c>
      <c r="P85" t="n">
        <v>0</v>
      </c>
      <c r="Q85" t="n">
        <v>1</v>
      </c>
      <c r="R85" s="2" t="inlineStr">
        <is>
          <t>Garnlav</t>
        </is>
      </c>
      <c r="S85">
        <f>HYPERLINK("https://klasma.github.io/Logging_2023/artfynd/A 8696-2025 artfynd.xlsx", "A 8696-2025")</f>
        <v/>
      </c>
      <c r="T85">
        <f>HYPERLINK("https://klasma.github.io/Logging_2023/kartor/A 8696-2025 karta.png", "A 8696-2025")</f>
        <v/>
      </c>
      <c r="V85">
        <f>HYPERLINK("https://klasma.github.io/Logging_2023/klagomål/A 8696-2025 FSC-klagomål.docx", "A 8696-2025")</f>
        <v/>
      </c>
      <c r="W85">
        <f>HYPERLINK("https://klasma.github.io/Logging_2023/klagomålsmail/A 8696-2025 FSC-klagomål mail.docx", "A 8696-2025")</f>
        <v/>
      </c>
      <c r="X85">
        <f>HYPERLINK("https://klasma.github.io/Logging_2023/tillsyn/A 8696-2025 tillsynsbegäran.docx", "A 8696-2025")</f>
        <v/>
      </c>
      <c r="Y85">
        <f>HYPERLINK("https://klasma.github.io/Logging_2023/tillsynsmail/A 8696-2025 tillsynsbegäran mail.docx", "A 8696-2025")</f>
        <v/>
      </c>
    </row>
    <row r="86" ht="15" customHeight="1">
      <c r="A86" t="inlineStr">
        <is>
          <t>A 12426-2025</t>
        </is>
      </c>
      <c r="B86" s="1" t="n">
        <v>45730</v>
      </c>
      <c r="C86" s="1" t="n">
        <v>45788</v>
      </c>
      <c r="D86" t="inlineStr">
        <is>
          <t>DALARNAS LÄN</t>
        </is>
      </c>
      <c r="E86" t="inlineStr">
        <is>
          <t>MALUNG-SÄLEN</t>
        </is>
      </c>
      <c r="G86" t="n">
        <v>71.59999999999999</v>
      </c>
      <c r="H86" t="n">
        <v>0</v>
      </c>
      <c r="I86" t="n">
        <v>0</v>
      </c>
      <c r="J86" t="n">
        <v>1</v>
      </c>
      <c r="K86" t="n">
        <v>0</v>
      </c>
      <c r="L86" t="n">
        <v>0</v>
      </c>
      <c r="M86" t="n">
        <v>0</v>
      </c>
      <c r="N86" t="n">
        <v>0</v>
      </c>
      <c r="O86" t="n">
        <v>1</v>
      </c>
      <c r="P86" t="n">
        <v>0</v>
      </c>
      <c r="Q86" t="n">
        <v>1</v>
      </c>
      <c r="R86" s="2" t="inlineStr">
        <is>
          <t>Skrovellav</t>
        </is>
      </c>
      <c r="S86">
        <f>HYPERLINK("https://klasma.github.io/Logging_202023/artfynd/A 12426-2025 artfynd.xlsx", "A 12426-2025")</f>
        <v/>
      </c>
      <c r="T86">
        <f>HYPERLINK("https://klasma.github.io/Logging_202023/kartor/A 12426-2025 karta.png", "A 12426-2025")</f>
        <v/>
      </c>
      <c r="V86">
        <f>HYPERLINK("https://klasma.github.io/Logging_202023/klagomål/A 12426-2025 FSC-klagomål.docx", "A 12426-2025")</f>
        <v/>
      </c>
      <c r="W86">
        <f>HYPERLINK("https://klasma.github.io/Logging_202023/klagomålsmail/A 12426-2025 FSC-klagomål mail.docx", "A 12426-2025")</f>
        <v/>
      </c>
      <c r="X86">
        <f>HYPERLINK("https://klasma.github.io/Logging_202023/tillsyn/A 12426-2025 tillsynsbegäran.docx", "A 12426-2025")</f>
        <v/>
      </c>
      <c r="Y86">
        <f>HYPERLINK("https://klasma.github.io/Logging_202023/tillsynsmail/A 12426-2025 tillsynsbegäran mail.docx", "A 12426-2025")</f>
        <v/>
      </c>
    </row>
    <row r="87" ht="15" customHeight="1">
      <c r="A87" t="inlineStr">
        <is>
          <t>A 18265-2019</t>
        </is>
      </c>
      <c r="B87" s="1" t="n">
        <v>43558</v>
      </c>
      <c r="C87" s="1" t="n">
        <v>45788</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45788</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45788</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45788</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45788</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45788</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45788</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45788</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45788</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45788</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45788</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45788</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45788</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45788</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45788</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45788</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45788</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45788</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45788</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45788</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45788</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45788</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45788</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45788</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45788</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45788</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45788</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45788</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45788</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45788</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45788</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45788</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45788</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45788</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45788</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45788</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45788</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45788</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45788</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45788</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45788</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45788</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45788</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45788</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45788</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45788</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45788</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45788</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45788</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45788</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45788</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45788</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45788</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45788</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45788</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45788</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45788</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45788</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45788</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45788</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45788</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45788</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45788</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45788</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45788</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45788</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45788</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45788</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45788</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45788</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45788</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45788</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45788</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45788</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45788</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45788</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45788</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45788</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45788</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45788</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45788</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45788</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45788</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45788</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45788</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45788</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45788</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45788</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45788</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45788</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45788</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45788</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45788</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45788</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45788</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45788</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45788</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45788</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45788</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45788</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45788</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45788</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45788</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45788</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45788</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45788</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45788</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45788</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45788</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45788</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45788</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45788</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45788</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45788</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45788</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45788</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45788</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45788</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45788</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45788</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45788</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45788</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45788</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45788</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45788</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45788</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45788</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45788</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45788</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45788</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45788</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45788</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45788</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45788</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45788</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45788</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45788</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45788</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45788</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45788</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45788</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45788</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45788</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45788</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45788</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45788</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45788</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45788</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45788</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45788</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45788</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45788</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45788</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45788</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45788</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45788</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45788</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45788</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45788</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45788</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45788</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45788</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45788</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45788</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45788</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45788</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45788</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45788</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45788</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45788</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45788</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45788</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45788</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45788</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45788</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45788</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45788</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45788</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45788</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45788</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45788</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45788</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45788</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45788</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45788</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45788</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45788</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45788</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45788</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45788</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45788</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45788</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45788</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45788</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45788</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45788</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45788</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45788</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45788</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45788</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45788</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45788</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45788</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45788</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45788</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45788</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45788</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45788</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45788</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45788</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45788</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45788</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45788</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45788</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45788</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45788</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45788</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45788</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45788</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45788</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45788</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45788</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45788</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45788</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45788</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45788</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45788</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45788</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45788</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45788</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45788</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45788</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45788</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45788</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45788</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45788</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45788</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45788</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45788</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45788</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45788</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45788</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45788</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45788</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45788</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45788</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45788</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45788</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45788</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45788</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45788</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45788</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45788</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45788</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45788</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45788</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45788</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45788</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45788</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45788</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45788</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45788</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45788</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45788</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45788</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45788</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45788</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45788</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45788</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45788</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45788</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45788</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45788</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45788</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45788</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45788</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45788</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45788</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45788</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45788</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45788</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45788</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45788</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45788</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45788</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45788</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45788</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45788</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45788</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45788</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45788</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45788</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45788</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45788</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45788</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45788</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45788</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45788</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45788</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45788</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45788</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45788</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45788</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45788</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45788</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45788</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45788</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45788</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45788</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45788</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45788</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45788</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45788</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45788</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45788</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45788</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45788</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45788</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45788</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45788</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45788</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45788</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45788</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45788</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45788</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45788</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45788</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45788</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45788</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45788</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45788</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45788</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45788</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45788</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45788</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45788</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45788</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45788</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45788</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45788</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45788</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45788</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45788</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45788</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45788</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45788</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45788</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45788</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45788</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45788</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45788</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45788</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45788</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45788</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45788</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45788</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45788</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45788</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45788</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45788</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45788</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45788</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45788</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45788</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45788</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45788</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45788</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45788</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45788</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45788</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45788</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45788</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45788</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45788</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45788</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45788</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45788</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45788</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45788</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45788</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45788</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45788</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45788</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45788</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45788</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45788</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45788</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45788</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45788</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45788</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45788</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45788</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45788</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45788</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45788</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45788</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45788</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45788</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45788</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45788</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45788</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45788</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45788</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45788</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45788</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45788</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45788</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45788</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45788</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45788</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45788</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45788</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45788</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45788</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45788</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45788</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45788</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45788</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45788</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45788</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45788</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45788</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45788</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45788</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45788</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45788</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45788</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45788</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45788</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45788</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45788</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45788</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45788</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45788</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45788</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45788</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45788</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45788</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45788</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45788</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45788</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45788</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45788</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45788</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45788</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45788</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45788</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45788</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45788</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45788</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45788</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45788</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45788</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45788</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45788</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45788</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45788</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45788</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45788</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45788</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45788</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45788</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45788</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45788</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45788</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45788</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45788</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45788</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45788</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45788</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45788</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45788</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45788</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45788</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45788</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45788</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45788</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45788</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45788</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45788</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45788</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45788</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45788</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45788</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45788</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45788</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45788</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45788</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45788</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45788</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45788</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45788</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45788</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45788</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45788</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45788</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45788</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45788</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45788</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45788</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45788</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45788</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45788</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45788</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45788</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45788</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45788</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45788</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45788</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45788</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45788</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45788</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45788</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45788</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45788</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45788</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45788</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45788</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45788</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45788</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45788</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45788</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45788</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45788</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45788</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45788</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45788</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45788</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45788</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45788</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45788</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45788</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45788</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45788</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45788</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45788</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45788</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45788</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45788</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45788</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45788</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45788</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45788</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45788</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45788</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45788</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45788</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45788</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45788</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45788</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45788</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45788</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45788</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45788</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45788</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45788</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45788</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45788</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45788</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45788</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45788</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45788</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45788</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45788</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45788</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45788</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45788</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45788</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45788</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45788</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45788</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45788</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45788</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45788</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45788</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45788</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45788</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45788</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45788</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45788</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45788</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45788</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45788</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45788</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45788</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45788</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45788</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45788</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45788</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45788</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45788</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45788</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45788</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45788</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45788</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45788</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45788</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45788</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45788</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45788</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45788</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45788</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45788</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45788</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45788</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45788</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45788</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45788</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45788</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45788</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45788</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45788</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45788</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45788</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45788</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45788</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45788</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45788</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45788</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45788</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45788</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45788</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45788</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45788</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45788</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45788</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45788</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45788</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45788</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45788</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45788</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45788</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45788</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45788</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45788</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45788</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45788</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45788</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45788</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45788</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45788</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45788</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45788</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45788</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45788</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45788</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45788</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45788</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45788</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45788</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45788</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45788</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45788</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45788</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45788</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45788</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45788</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45788</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45788</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45788</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45788</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45788</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45788</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45788</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45788</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45788</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45788</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45788</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45788</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45788</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45788</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45788</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45788</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45788</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45788</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45788</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45788</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45788</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45788</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45788</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45788</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45788</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45788</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45788</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45788</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45788</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45788</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45788</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45788</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45788</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45788</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45788</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45788</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45788</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45788</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45788</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45788</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45788</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45788</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45788</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45788</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45788</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45788</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45788</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45788</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45788</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45788</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45788</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45788</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45788</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45788</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45788</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45788</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45788</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45788</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45788</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45788</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45788</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45788</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45788</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45788</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45788</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45788</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45788</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45788</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45788</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45788</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45788</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45788</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45788</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45788</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45788</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45788</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45788</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45788</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45788</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45788</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45788</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45788</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45788</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45788</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45788</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45788</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45788</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45788</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45788</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45788</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45788</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45788</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45788</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45788</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45788</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45788</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45788</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45788</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45788</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45788</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45788</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45788</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45788</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45788</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45788</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45788</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45788</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45788</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45788</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45788</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45788</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45788</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45788</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45788</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45788</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45788</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45788</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45788</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45788</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45788</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45788</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45788</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45788</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45788</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45788</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45788</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45788</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45788</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45788</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45788</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45788</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45788</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45788</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45788</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45788</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45788</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45788</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45788</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45788</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45788</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45788</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45788</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45788</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45788</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45788</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45788</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45788</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45788</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45788</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45788</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45788</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45788</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45788</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45788</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45788</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45788</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45788</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45788</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45788</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45788</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45788</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45788</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45788</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45788</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45788</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45788</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45788</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45788</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45788</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45788</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45788</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45788</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45788</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45788</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45788</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45788</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45788</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45788</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45788</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45788</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45788</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45788</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45788</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45788</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45788</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45788</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45788</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45788</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45788</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45788</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45788</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45788</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45788</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45788</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45788</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45788</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45788</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45788</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45788</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45788</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45788</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45788</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45788</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45788</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45788</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45788</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45788</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45788</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45788</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45788</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45788</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45788</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45788</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45788</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45788</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45788</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45788</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45788</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45788</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45788</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45788</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45788</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45788</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45788</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45788</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45788</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45788</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45788</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45788</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45788</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45788</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45788</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45788</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45788</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45788</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45788</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45788</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45788</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45788</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45788</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45788</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45788</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45788</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45788</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45788</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45788</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45788</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45788</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45788</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45788</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45788</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45788</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45788</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45788</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45788</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45788</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45788</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45788</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45788</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45788</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45788</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45788</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45788</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45788</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45788</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45788</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45788</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45788</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45788</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45788</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45788</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45788</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45788</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45788</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45788</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45788</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45788</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45788</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45788</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45788</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45788</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45788</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45788</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45788</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45788</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45788</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45788</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45788</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45788</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45788</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45788</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45788</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45788</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45788</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45788</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45788</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45788</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45788</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45788</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45788</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45788</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45788</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45788</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45788</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45788</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45788</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45788</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45788</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45788</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45788</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45788</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45788</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45788</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45788</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45788</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45788</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45788</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45788</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45788</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45788</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45788</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45788</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45788</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45788</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45788</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45788</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45788</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45788</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45788</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45788</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45788</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45788</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45788</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45788</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45788</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45788</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45788</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45788</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45788</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45788</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45788</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45788</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45788</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45788</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45788</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45788</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45788</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45788</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45788</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45788</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45788</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45788</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45788</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45788</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45788</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45788</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45788</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45788</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45788</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45788</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45788</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45788</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45788</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45788</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45788</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45788</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45788</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45788</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45788</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45788</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45788</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45788</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45788</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45788</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45788</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45788</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45788</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45788</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45788</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45788</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45788</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45788</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45788</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45788</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45788</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45788</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45788</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45788</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45788</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45788</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45788</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45788</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45788</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45788</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45788</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45788</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45788</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45788</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45788</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45788</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45788</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45788</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45788</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45788</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45788</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45788</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45788</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45788</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45788</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45788</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45788</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45788</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45788</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45788</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45788</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45788</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45788</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45788</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45788</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45788</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45788</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45788</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45788</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45788</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45788</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45788</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45788</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45788</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45788</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45788</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45788</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45788</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45788</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45788</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45788</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45788</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45788</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45788</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45788</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45788</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45788</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45788</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45788</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45788</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45788</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45788</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45788</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45788</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45788</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45788</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45788</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45788</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45788</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45788</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45788</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45788</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45788</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45788</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45788</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45788</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45788</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45788</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45788</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45788</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45788</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45788</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45788</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45788</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45788</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45788</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45788</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45788</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45788</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45788</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45788</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45788</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45788</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45788</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45788</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45788</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45788</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45788</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45788</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45788</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45788</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45788</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45788</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45788</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45788</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45788</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45788</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45788</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45788</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45788</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45788</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45788</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45788</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45788</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45788</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45788</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45788</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45788</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45788</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45788</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45788</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45788</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45788</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45788</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45788</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45788</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45788</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45788</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45788</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45788</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45788</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45788</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45788</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45788</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45788</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45788</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45788</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45788</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45788</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45788</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45788</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45788</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45788</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45788</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45788</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45788</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45788</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45788</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45788</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45788</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45788</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45788</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45788</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45788</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45788</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45788</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45788</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45788</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45788</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45788</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45788</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45788</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45788</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45788</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45788</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45788</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45788</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45788</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45788</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45788</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45788</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45788</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45788</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45788</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45788</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45788</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45788</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45788</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45788</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45788</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45788</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45788</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45788</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45788</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45788</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45788</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45788</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45788</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45788</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45788</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45788</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45788</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45788</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45788</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45788</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45788</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45788</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45788</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45788</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45788</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45788</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45788</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45788</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18260-2025</t>
        </is>
      </c>
      <c r="B1331" s="1" t="n">
        <v>45762</v>
      </c>
      <c r="C1331" s="1" t="n">
        <v>45788</v>
      </c>
      <c r="D1331" t="inlineStr">
        <is>
          <t>DALARNAS LÄN</t>
        </is>
      </c>
      <c r="E1331" t="inlineStr">
        <is>
          <t>MALUNG-SÄLEN</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45788</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45788</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45788</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45788</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45788</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45788</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19312-2025</t>
        </is>
      </c>
      <c r="B1338" s="1" t="n">
        <v>45769</v>
      </c>
      <c r="C1338" s="1" t="n">
        <v>45788</v>
      </c>
      <c r="D1338" t="inlineStr">
        <is>
          <t>DALARNAS LÄN</t>
        </is>
      </c>
      <c r="E1338" t="inlineStr">
        <is>
          <t>MALUNG-SÄLEN</t>
        </is>
      </c>
      <c r="F1338" t="inlineStr">
        <is>
          <t>Bergvik skog öst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45788</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45788</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19299-2025</t>
        </is>
      </c>
      <c r="B1341" s="1" t="n">
        <v>45769</v>
      </c>
      <c r="C1341" s="1" t="n">
        <v>45788</v>
      </c>
      <c r="D1341" t="inlineStr">
        <is>
          <t>DALARNAS LÄN</t>
        </is>
      </c>
      <c r="E1341" t="inlineStr">
        <is>
          <t>MALUNG-SÄLEN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20514-2025</t>
        </is>
      </c>
      <c r="B1342" s="1" t="n">
        <v>45775</v>
      </c>
      <c r="C1342" s="1" t="n">
        <v>45788</v>
      </c>
      <c r="D1342" t="inlineStr">
        <is>
          <t>DALARNAS LÄN</t>
        </is>
      </c>
      <c r="E1342" t="inlineStr">
        <is>
          <t>MALUNG-SÄLEN</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45788</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45788</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20545-2025</t>
        </is>
      </c>
      <c r="B1345" s="1" t="n">
        <v>45775</v>
      </c>
      <c r="C1345" s="1" t="n">
        <v>45788</v>
      </c>
      <c r="D1345" t="inlineStr">
        <is>
          <t>DALARNAS LÄN</t>
        </is>
      </c>
      <c r="E1345" t="inlineStr">
        <is>
          <t>MALUNG-SÄLEN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20328-2025</t>
        </is>
      </c>
      <c r="B1346" s="1" t="n">
        <v>45775</v>
      </c>
      <c r="C1346" s="1" t="n">
        <v>45788</v>
      </c>
      <c r="D1346" t="inlineStr">
        <is>
          <t>DALARNAS LÄN</t>
        </is>
      </c>
      <c r="E1346" t="inlineStr">
        <is>
          <t>MALUNG-SÄLEN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20330-2025</t>
        </is>
      </c>
      <c r="B1347" s="1" t="n">
        <v>45775</v>
      </c>
      <c r="C1347" s="1" t="n">
        <v>45788</v>
      </c>
      <c r="D1347" t="inlineStr">
        <is>
          <t>DALARNAS LÄN</t>
        </is>
      </c>
      <c r="E1347" t="inlineStr">
        <is>
          <t>MALUNG-SÄLEN</t>
        </is>
      </c>
      <c r="G1347" t="n">
        <v>2.1</v>
      </c>
      <c r="H1347" t="n">
        <v>0</v>
      </c>
      <c r="I1347" t="n">
        <v>0</v>
      </c>
      <c r="J1347" t="n">
        <v>0</v>
      </c>
      <c r="K1347" t="n">
        <v>0</v>
      </c>
      <c r="L1347" t="n">
        <v>0</v>
      </c>
      <c r="M1347" t="n">
        <v>0</v>
      </c>
      <c r="N1347" t="n">
        <v>0</v>
      </c>
      <c r="O1347" t="n">
        <v>0</v>
      </c>
      <c r="P1347" t="n">
        <v>0</v>
      </c>
      <c r="Q1347" t="n">
        <v>0</v>
      </c>
      <c r="R1347" s="2" t="inlineStr"/>
    </row>
    <row r="1348">
      <c r="A1348" t="inlineStr">
        <is>
          <t>A 21323-2025</t>
        </is>
      </c>
      <c r="B1348" s="1" t="n">
        <v>45782</v>
      </c>
      <c r="C1348" s="1" t="n">
        <v>45788</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2025-05-11T17:29:02Z</dcterms:created>
  <dcterms:modified xmlns:dcterms="http://purl.org/dc/terms/" xmlns:xsi="http://www.w3.org/2001/XMLSchema-instance" xsi:type="dcterms:W3CDTF">2025-05-11T17:29:04Z</dcterms:modified>
</cp:coreProperties>
</file>