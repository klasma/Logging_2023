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6979-2026</t>
        </is>
      </c>
      <c r="B2" t="inlineStr">
        <is>
          <t>avverkningsanmälan</t>
        </is>
      </c>
      <c r="C2" t="inlineStr">
        <is>
          <t>Föryngringsavverkning</t>
        </is>
      </c>
      <c r="D2" s="1" t="n">
        <v>46057</v>
      </c>
      <c r="E2" s="1" t="n">
        <v>46223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X2">
        <f>HYPERLINK("https://klasma.github.io/Logging_2023/kartor_geotiff/A 6979-2026 georefererad karta.tif", "A 6979-2026")</f>
        <v/>
      </c>
      <c r="Z2">
        <f>HYPERLINK("https://klasma.github.io/Logging_2023/klagomål/A 6979-2026 FSC-klagomål.docx", "A 6979-2026")</f>
        <v/>
      </c>
      <c r="AA2">
        <f>HYPERLINK("https://klasma.github.io/Logging_2023/klagomålsmail/A 6979-2026 FSC-klagomål mail.docx", "A 6979-2026")</f>
        <v/>
      </c>
      <c r="AB2">
        <f>HYPERLINK("https://klasma.github.io/Logging_2023/tillsyn/A 6979-2026 tillsynsbegäran.docx", "A 6979-2026")</f>
        <v/>
      </c>
      <c r="AC2">
        <f>HYPERLINK("https://klasma.github.io/Logging_2023/tillsynsmail/A 6979-2026 tillsynsbegäran mail.docx", "A 6979-2026")</f>
        <v/>
      </c>
      <c r="AD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46223</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X3">
        <f>HYPERLINK("https://klasma.github.io/Logging_2023/kartor_geotiff/A 9154-2026 georefererad karta.tif", "A 9154-2026")</f>
        <v/>
      </c>
      <c r="Z3">
        <f>HYPERLINK("https://klasma.github.io/Logging_2023/klagomål/A 9154-2026 FSC-klagomål.docx", "A 9154-2026")</f>
        <v/>
      </c>
      <c r="AA3">
        <f>HYPERLINK("https://klasma.github.io/Logging_2023/klagomålsmail/A 9154-2026 FSC-klagomål mail.docx", "A 9154-2026")</f>
        <v/>
      </c>
      <c r="AB3">
        <f>HYPERLINK("https://klasma.github.io/Logging_2023/tillsyn/A 9154-2026 tillsynsbegäran.docx", "A 9154-2026")</f>
        <v/>
      </c>
      <c r="AC3">
        <f>HYPERLINK("https://klasma.github.io/Logging_2023/tillsynsmail/A 9154-2026 tillsynsbegäran mail.docx", "A 9154-2026")</f>
        <v/>
      </c>
      <c r="AD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X4">
        <f>HYPERLINK("https://klasma.github.io/Logging_2023/kartor_geotiff/S 3190-2022 georefererad karta.tif", "S 3190-2022")</f>
        <v/>
      </c>
      <c r="Z4">
        <f>HYPERLINK("https://klasma.github.io/Logging_2023/klagomål/S 3190-2022 FSC-klagomål.docx", "S 3190-2022")</f>
        <v/>
      </c>
      <c r="AA4">
        <f>HYPERLINK("https://klasma.github.io/Logging_2023/klagomålsmail/S 3190-2022 FSC-klagomål mail.docx", "S 3190-2022")</f>
        <v/>
      </c>
      <c r="AB4">
        <f>HYPERLINK("https://klasma.github.io/Logging_2023/tillsyn/S 3190-2022 tillsynsbegäran.docx", "S 3190-2022")</f>
        <v/>
      </c>
      <c r="AC4">
        <f>HYPERLINK("https://klasma.github.io/Logging_2023/tillsynsmail/S 3190-2022 tillsynsbegäran mail.docx", "S 3190-2022")</f>
        <v/>
      </c>
      <c r="AD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HYPERLINK("https://klasma.github.io/Logging_2023/kartor_geotiff/A 30678-2026 georefererad karta.tif", "A 30678-2026")</f>
        <v/>
      </c>
      <c r="Y5">
        <f>HYPERLINK("https://klasma.github.io/Logging_2023/knärot/A 30678-2026 karta knärot.png", "A 30678-2026")</f>
        <v/>
      </c>
      <c r="Z5">
        <f>HYPERLINK("https://klasma.github.io/Logging_2023/klagomål/A 30678-2026 FSC-klagomål.docx", "A 30678-2026")</f>
        <v/>
      </c>
      <c r="AA5">
        <f>HYPERLINK("https://klasma.github.io/Logging_2023/klagomålsmail/A 30678-2026 FSC-klagomål mail.docx", "A 30678-2026")</f>
        <v/>
      </c>
      <c r="AB5">
        <f>HYPERLINK("https://klasma.github.io/Logging_2023/tillsyn/A 30678-2026 tillsynsbegäran.docx", "A 30678-2026")</f>
        <v/>
      </c>
      <c r="AC5">
        <f>HYPERLINK("https://klasma.github.io/Logging_2023/tillsynsmail/A 30678-2026 tillsynsbegäran mail.docx", "A 30678-2026")</f>
        <v/>
      </c>
      <c r="AD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X6">
        <f>HYPERLINK("https://klasma.github.io/Logging_2023/kartor_geotiff/A 21683-2026 georefererad karta.tif", "A 21683-2026")</f>
        <v/>
      </c>
      <c r="Z6">
        <f>HYPERLINK("https://klasma.github.io/Logging_2023/klagomål/A 21683-2026 FSC-klagomål.docx", "A 21683-2026")</f>
        <v/>
      </c>
      <c r="AA6">
        <f>HYPERLINK("https://klasma.github.io/Logging_2023/klagomålsmail/A 21683-2026 FSC-klagomål mail.docx", "A 21683-2026")</f>
        <v/>
      </c>
      <c r="AB6">
        <f>HYPERLINK("https://klasma.github.io/Logging_2023/tillsyn/A 21683-2026 tillsynsbegäran.docx", "A 21683-2026")</f>
        <v/>
      </c>
      <c r="AC6">
        <f>HYPERLINK("https://klasma.github.io/Logging_2023/tillsynsmail/A 21683-2026 tillsynsbegäran mail.docx", "A 21683-2026")</f>
        <v/>
      </c>
      <c r="AD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HYPERLINK("https://klasma.github.io/Logging_2023/kartor_geotiff/A 25030-2026 georefererad karta.tif", "A 25030-2026")</f>
        <v/>
      </c>
      <c r="Y7">
        <f>HYPERLINK("https://klasma.github.io/Logging_2023/knärot/A 25030-2026 karta knärot.png", "A 25030-2026")</f>
        <v/>
      </c>
      <c r="Z7">
        <f>HYPERLINK("https://klasma.github.io/Logging_2023/klagomål/A 25030-2026 FSC-klagomål.docx", "A 25030-2026")</f>
        <v/>
      </c>
      <c r="AA7">
        <f>HYPERLINK("https://klasma.github.io/Logging_2023/klagomålsmail/A 25030-2026 FSC-klagomål mail.docx", "A 25030-2026")</f>
        <v/>
      </c>
      <c r="AB7">
        <f>HYPERLINK("https://klasma.github.io/Logging_2023/tillsyn/A 25030-2026 tillsynsbegäran.docx", "A 25030-2026")</f>
        <v/>
      </c>
      <c r="AC7">
        <f>HYPERLINK("https://klasma.github.io/Logging_2023/tillsynsmail/A 25030-2026 tillsynsbegäran mail.docx", "A 25030-2026")</f>
        <v/>
      </c>
      <c r="AD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46223</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X8">
        <f>HYPERLINK("https://klasma.github.io/Logging_2023/kartor_geotiff/A 1481-2026 georefererad karta.tif", "A 1481-2026")</f>
        <v/>
      </c>
      <c r="Z8">
        <f>HYPERLINK("https://klasma.github.io/Logging_2023/klagomål/A 1481-2026 FSC-klagomål.docx", "A 1481-2026")</f>
        <v/>
      </c>
      <c r="AA8">
        <f>HYPERLINK("https://klasma.github.io/Logging_2023/klagomålsmail/A 1481-2026 FSC-klagomål mail.docx", "A 1481-2026")</f>
        <v/>
      </c>
      <c r="AB8">
        <f>HYPERLINK("https://klasma.github.io/Logging_2023/tillsyn/A 1481-2026 tillsynsbegäran.docx", "A 1481-2026")</f>
        <v/>
      </c>
      <c r="AC8">
        <f>HYPERLINK("https://klasma.github.io/Logging_2023/tillsynsmail/A 1481-2026 tillsynsbegäran mail.docx", "A 1481-2026")</f>
        <v/>
      </c>
      <c r="AD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46223</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X9">
        <f>HYPERLINK("https://klasma.github.io/Logging_2023/kartor_geotiff/A 26767-2026 georefererad karta.tif", "A 26767-2026")</f>
        <v/>
      </c>
      <c r="Z9">
        <f>HYPERLINK("https://klasma.github.io/Logging_2023/klagomål/A 26767-2026 FSC-klagomål.docx", "A 26767-2026")</f>
        <v/>
      </c>
      <c r="AA9">
        <f>HYPERLINK("https://klasma.github.io/Logging_2023/klagomålsmail/A 26767-2026 FSC-klagomål mail.docx", "A 26767-2026")</f>
        <v/>
      </c>
      <c r="AB9">
        <f>HYPERLINK("https://klasma.github.io/Logging_2023/tillsyn/A 26767-2026 tillsynsbegäran.docx", "A 26767-2026")</f>
        <v/>
      </c>
      <c r="AC9">
        <f>HYPERLINK("https://klasma.github.io/Logging_2023/tillsynsmail/A 26767-2026 tillsynsbegäran mail.docx", "A 26767-2026")</f>
        <v/>
      </c>
      <c r="AD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X10">
        <f>HYPERLINK("https://klasma.github.io/Logging_2023/kartor_geotiff/S 2065-2023 georefererad karta.tif", "S 2065-2023")</f>
        <v/>
      </c>
      <c r="Z10">
        <f>HYPERLINK("https://klasma.github.io/Logging_2023/klagomål/S 2065-2023 FSC-klagomål.docx", "S 2065-2023")</f>
        <v/>
      </c>
      <c r="AA10">
        <f>HYPERLINK("https://klasma.github.io/Logging_2023/klagomålsmail/S 2065-2023 FSC-klagomål mail.docx", "S 2065-2023")</f>
        <v/>
      </c>
      <c r="AB10">
        <f>HYPERLINK("https://klasma.github.io/Logging_2023/tillsyn/S 2065-2023 tillsynsbegäran.docx", "S 2065-2023")</f>
        <v/>
      </c>
      <c r="AC10">
        <f>HYPERLINK("https://klasma.github.io/Logging_2023/tillsynsmail/S 2065-2023 tillsynsbegäran mail.docx", "S 2065-2023")</f>
        <v/>
      </c>
      <c r="AD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HYPERLINK("https://klasma.github.io/Logging_2023/kartor_geotiff/A 26133-2026 georefererad karta.tif", "A 26133-2026")</f>
        <v/>
      </c>
      <c r="Y11">
        <f>HYPERLINK("https://klasma.github.io/Logging_2023/knärot/A 26133-2026 karta knärot.png", "A 26133-2026")</f>
        <v/>
      </c>
      <c r="Z11">
        <f>HYPERLINK("https://klasma.github.io/Logging_2023/klagomål/A 26133-2026 FSC-klagomål.docx", "A 26133-2026")</f>
        <v/>
      </c>
      <c r="AA11">
        <f>HYPERLINK("https://klasma.github.io/Logging_2023/klagomålsmail/A 26133-2026 FSC-klagomål mail.docx", "A 26133-2026")</f>
        <v/>
      </c>
      <c r="AB11">
        <f>HYPERLINK("https://klasma.github.io/Logging_2023/tillsyn/A 26133-2026 tillsynsbegäran.docx", "A 26133-2026")</f>
        <v/>
      </c>
      <c r="AC11">
        <f>HYPERLINK("https://klasma.github.io/Logging_2023/tillsynsmail/A 26133-2026 tillsynsbegäran mail.docx", "A 26133-2026")</f>
        <v/>
      </c>
      <c r="AD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X12">
        <f>HYPERLINK("https://klasma.github.io/Logging_2023/kartor_geotiff/A 1480-2026 georefererad karta.tif", "A 1480-2026")</f>
        <v/>
      </c>
      <c r="Z12">
        <f>HYPERLINK("https://klasma.github.io/Logging_2023/klagomål/A 1480-2026 FSC-klagomål.docx", "A 1480-2026")</f>
        <v/>
      </c>
      <c r="AA12">
        <f>HYPERLINK("https://klasma.github.io/Logging_2023/klagomålsmail/A 1480-2026 FSC-klagomål mail.docx", "A 1480-2026")</f>
        <v/>
      </c>
      <c r="AB12">
        <f>HYPERLINK("https://klasma.github.io/Logging_2023/tillsyn/A 1480-2026 tillsynsbegäran.docx", "A 1480-2026")</f>
        <v/>
      </c>
      <c r="AC12">
        <f>HYPERLINK("https://klasma.github.io/Logging_2023/tillsynsmail/A 1480-2026 tillsynsbegäran mail.docx", "A 1480-2026")</f>
        <v/>
      </c>
      <c r="AD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X13">
        <f>HYPERLINK("https://klasma.github.io/Logging_2023/kartor_geotiff/S 1127-2023 georefererad karta.tif", "S 1127-2023")</f>
        <v/>
      </c>
      <c r="Z13">
        <f>HYPERLINK("https://klasma.github.io/Logging_2023/klagomål/S 1127-2023 FSC-klagomål.docx", "S 1127-2023")</f>
        <v/>
      </c>
      <c r="AA13">
        <f>HYPERLINK("https://klasma.github.io/Logging_2023/klagomålsmail/S 1127-2023 FSC-klagomål mail.docx", "S 1127-2023")</f>
        <v/>
      </c>
      <c r="AB13">
        <f>HYPERLINK("https://klasma.github.io/Logging_2023/tillsyn/S 1127-2023 tillsynsbegäran.docx", "S 1127-2023")</f>
        <v/>
      </c>
      <c r="AC13">
        <f>HYPERLINK("https://klasma.github.io/Logging_2023/tillsynsmail/S 1127-2023 tillsynsbegäran mail.docx", "S 1127-2023")</f>
        <v/>
      </c>
      <c r="AD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X14">
        <f>HYPERLINK("https://klasma.github.io/Logging_2023/kartor_geotiff/A 12291-2022 georefererad karta.tif", "A 12291-2022")</f>
        <v/>
      </c>
      <c r="Z14">
        <f>HYPERLINK("https://klasma.github.io/Logging_2023/klagomål/A 12291-2022 FSC-klagomål.docx", "A 12291-2022")</f>
        <v/>
      </c>
      <c r="AA14">
        <f>HYPERLINK("https://klasma.github.io/Logging_2023/klagomålsmail/A 12291-2022 FSC-klagomål mail.docx", "A 12291-2022")</f>
        <v/>
      </c>
      <c r="AB14">
        <f>HYPERLINK("https://klasma.github.io/Logging_2023/tillsyn/A 12291-2022 tillsynsbegäran.docx", "A 12291-2022")</f>
        <v/>
      </c>
      <c r="AC14">
        <f>HYPERLINK("https://klasma.github.io/Logging_2023/tillsynsmail/A 12291-2022 tillsynsbegäran mail.docx", "A 12291-2022")</f>
        <v/>
      </c>
      <c r="AD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46223</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X15">
        <f>HYPERLINK("https://klasma.github.io/Logging_2023/kartor_geotiff/A 22153-2026 georefererad karta.tif", "A 22153-2026")</f>
        <v/>
      </c>
      <c r="Z15">
        <f>HYPERLINK("https://klasma.github.io/Logging_2023/klagomål/A 22153-2026 FSC-klagomål.docx", "A 22153-2026")</f>
        <v/>
      </c>
      <c r="AA15">
        <f>HYPERLINK("https://klasma.github.io/Logging_2023/klagomålsmail/A 22153-2026 FSC-klagomål mail.docx", "A 22153-2026")</f>
        <v/>
      </c>
      <c r="AB15">
        <f>HYPERLINK("https://klasma.github.io/Logging_2023/tillsyn/A 22153-2026 tillsynsbegäran.docx", "A 22153-2026")</f>
        <v/>
      </c>
      <c r="AC15">
        <f>HYPERLINK("https://klasma.github.io/Logging_2023/tillsynsmail/A 22153-2026 tillsynsbegäran mail.docx", "A 22153-2026")</f>
        <v/>
      </c>
      <c r="AD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46223</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HYPERLINK("https://klasma.github.io/Logging_2023/kartor_geotiff/S 1757-2025 georefererad karta.tif", "S 1757-2025")</f>
        <v/>
      </c>
      <c r="Y16">
        <f>HYPERLINK("https://klasma.github.io/Logging_2023/knärot/S 1757-2025 karta knärot.png", "S 1757-2025")</f>
        <v/>
      </c>
      <c r="Z16">
        <f>HYPERLINK("https://klasma.github.io/Logging_2023/klagomål/S 1757-2025 FSC-klagomål.docx", "S 1757-2025")</f>
        <v/>
      </c>
      <c r="AA16">
        <f>HYPERLINK("https://klasma.github.io/Logging_2023/klagomålsmail/S 1757-2025 FSC-klagomål mail.docx", "S 1757-2025")</f>
        <v/>
      </c>
      <c r="AB16">
        <f>HYPERLINK("https://klasma.github.io/Logging_2023/tillsyn/S 1757-2025 tillsynsbegäran.docx", "S 1757-2025")</f>
        <v/>
      </c>
      <c r="AC16">
        <f>HYPERLINK("https://klasma.github.io/Logging_2023/tillsynsmail/S 1757-2025 tillsynsbegäran mail.docx", "S 1757-2025")</f>
        <v/>
      </c>
      <c r="AD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46223</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X17">
        <f>HYPERLINK("https://klasma.github.io/Logging_2023/kartor_geotiff/A 20433-2026 georefererad karta.tif", "A 20433-2026")</f>
        <v/>
      </c>
      <c r="Z17">
        <f>HYPERLINK("https://klasma.github.io/Logging_2023/klagomål/A 20433-2026 FSC-klagomål.docx", "A 20433-2026")</f>
        <v/>
      </c>
      <c r="AA17">
        <f>HYPERLINK("https://klasma.github.io/Logging_2023/klagomålsmail/A 20433-2026 FSC-klagomål mail.docx", "A 20433-2026")</f>
        <v/>
      </c>
      <c r="AB17">
        <f>HYPERLINK("https://klasma.github.io/Logging_2023/tillsyn/A 20433-2026 tillsynsbegäran.docx", "A 20433-2026")</f>
        <v/>
      </c>
      <c r="AC17">
        <f>HYPERLINK("https://klasma.github.io/Logging_2023/tillsynsmail/A 20433-2026 tillsynsbegäran mail.docx", "A 20433-2026")</f>
        <v/>
      </c>
      <c r="AD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46223</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X18">
        <f>HYPERLINK("https://klasma.github.io/Logging_2023/kartor_geotiff/A 25692-2026 georefererad karta.tif", "A 25692-2026")</f>
        <v/>
      </c>
      <c r="Z18">
        <f>HYPERLINK("https://klasma.github.io/Logging_2023/klagomål/A 25692-2026 FSC-klagomål.docx", "A 25692-2026")</f>
        <v/>
      </c>
      <c r="AA18">
        <f>HYPERLINK("https://klasma.github.io/Logging_2023/klagomålsmail/A 25692-2026 FSC-klagomål mail.docx", "A 25692-2026")</f>
        <v/>
      </c>
      <c r="AB18">
        <f>HYPERLINK("https://klasma.github.io/Logging_2023/tillsyn/A 25692-2026 tillsynsbegäran.docx", "A 25692-2026")</f>
        <v/>
      </c>
      <c r="AC18">
        <f>HYPERLINK("https://klasma.github.io/Logging_2023/tillsynsmail/A 25692-2026 tillsynsbegäran mail.docx", "A 25692-2026")</f>
        <v/>
      </c>
      <c r="AD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X19">
        <f>HYPERLINK("https://klasma.github.io/Logging_2023/kartor_geotiff/A 29855-2026 georefererad karta.tif", "A 29855-2026")</f>
        <v/>
      </c>
      <c r="Z19">
        <f>HYPERLINK("https://klasma.github.io/Logging_2023/klagomål/A 29855-2026 FSC-klagomål.docx", "A 29855-2026")</f>
        <v/>
      </c>
      <c r="AA19">
        <f>HYPERLINK("https://klasma.github.io/Logging_2023/klagomålsmail/A 29855-2026 FSC-klagomål mail.docx", "A 29855-2026")</f>
        <v/>
      </c>
      <c r="AB19">
        <f>HYPERLINK("https://klasma.github.io/Logging_2023/tillsyn/A 29855-2026 tillsynsbegäran.docx", "A 29855-2026")</f>
        <v/>
      </c>
      <c r="AC19">
        <f>HYPERLINK("https://klasma.github.io/Logging_2023/tillsynsmail/A 29855-2026 tillsynsbegäran mail.docx", "A 29855-2026")</f>
        <v/>
      </c>
      <c r="AD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46223</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X20">
        <f>HYPERLINK("https://klasma.github.io/Logging_2023/kartor_geotiff/A 22112-2025 georefererad karta.tif", "A 22112-2025")</f>
        <v/>
      </c>
      <c r="Z20">
        <f>HYPERLINK("https://klasma.github.io/Logging_2023/klagomål/A 22112-2025 FSC-klagomål.docx", "A 22112-2025")</f>
        <v/>
      </c>
      <c r="AA20">
        <f>HYPERLINK("https://klasma.github.io/Logging_2023/klagomålsmail/A 22112-2025 FSC-klagomål mail.docx", "A 22112-2025")</f>
        <v/>
      </c>
      <c r="AB20">
        <f>HYPERLINK("https://klasma.github.io/Logging_2023/tillsyn/A 22112-2025 tillsynsbegäran.docx", "A 22112-2025")</f>
        <v/>
      </c>
      <c r="AC20">
        <f>HYPERLINK("https://klasma.github.io/Logging_2023/tillsynsmail/A 22112-2025 tillsynsbegäran mail.docx", "A 22112-2025")</f>
        <v/>
      </c>
      <c r="AD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46223</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s="2" t="inlineStr">
        <is>
          <t>Pärluggla
Garnlav
Blågrå svartspik
Dvärgbägarlav
Kortskaftad ärgspik
Mörk kolflarnlav
Skuggblåslav
Vedflamlav
Vedskivlav
Violettgrå tagellav
Norrlandslav
Nästlav
Spillkråka
Tjäder
Orre</t>
        </is>
      </c>
      <c r="V21">
        <f>HYPERLINK("https://klasma.github.io/Logging_2023/artfynd/A 22782-2026 artfynd.xlsx", "A 22782-2026")</f>
        <v/>
      </c>
      <c r="W21">
        <f>HYPERLINK("https://klasma.github.io/Logging_2023/kartor/A 22782-2026 karta.png", "A 22782-2026")</f>
        <v/>
      </c>
      <c r="X21">
        <f>HYPERLINK("https://klasma.github.io/Logging_2023/kartor_geotiff/A 22782-2026 georefererad karta.tif", "A 22782-2026")</f>
        <v/>
      </c>
      <c r="Z21">
        <f>HYPERLINK("https://klasma.github.io/Logging_2023/klagomål/A 22782-2026 FSC-klagomål.docx", "A 22782-2026")</f>
        <v/>
      </c>
      <c r="AA21">
        <f>HYPERLINK("https://klasma.github.io/Logging_2023/klagomålsmail/A 22782-2026 FSC-klagomål mail.docx", "A 22782-2026")</f>
        <v/>
      </c>
      <c r="AB21">
        <f>HYPERLINK("https://klasma.github.io/Logging_2023/tillsyn/A 22782-2026 tillsynsbegäran.docx", "A 22782-2026")</f>
        <v/>
      </c>
      <c r="AC21">
        <f>HYPERLINK("https://klasma.github.io/Logging_2023/tillsynsmail/A 22782-2026 tillsynsbegäran mail.docx", "A 22782-2026")</f>
        <v/>
      </c>
      <c r="AD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46223</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s="2" t="inlineStr">
        <is>
          <t>Garnlav
Björktrast
Rosenticka
Rynkskinn
Rödvingetrast
Sädesärla
Tretåig hackspett
Ullticka
Vedtrappmossa
Violettgrå tagellav
Bronshjon
Spindelblomster
Stuplav
Gråsiska
Revlummer</t>
        </is>
      </c>
      <c r="V22">
        <f>HYPERLINK("https://klasma.github.io/Logging_2023/artfynd/A 15749-2026 artfynd.xlsx", "A 15749-2026")</f>
        <v/>
      </c>
      <c r="W22">
        <f>HYPERLINK("https://klasma.github.io/Logging_2023/kartor/A 15749-2026 karta.png", "A 15749-2026")</f>
        <v/>
      </c>
      <c r="X22">
        <f>HYPERLINK("https://klasma.github.io/Logging_2023/kartor_geotiff/A 15749-2026 georefererad karta.tif", "A 15749-2026")</f>
        <v/>
      </c>
      <c r="Z22">
        <f>HYPERLINK("https://klasma.github.io/Logging_2023/klagomål/A 15749-2026 FSC-klagomål.docx", "A 15749-2026")</f>
        <v/>
      </c>
      <c r="AA22">
        <f>HYPERLINK("https://klasma.github.io/Logging_2023/klagomålsmail/A 15749-2026 FSC-klagomål mail.docx", "A 15749-2026")</f>
        <v/>
      </c>
      <c r="AB22">
        <f>HYPERLINK("https://klasma.github.io/Logging_2023/tillsyn/A 15749-2026 tillsynsbegäran.docx", "A 15749-2026")</f>
        <v/>
      </c>
      <c r="AC22">
        <f>HYPERLINK("https://klasma.github.io/Logging_2023/tillsynsmail/A 15749-2026 tillsynsbegäran mail.docx", "A 15749-2026")</f>
        <v/>
      </c>
      <c r="AD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46223</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s="2" t="inlineStr">
        <is>
          <t>Garnlav
Gränsticka
Doftskinn
Gammelgransskål
Kolflarnlav
Kortskaftad ärgspik
Rynkskinn
Talltagel
Tretåig hackspett
Vedflamlav
Vedskivlav
Vitgrynig nållav
Korallblylav
Vedticka
Revlummer</t>
        </is>
      </c>
      <c r="V23">
        <f>HYPERLINK("https://klasma.github.io/Logging_2023/artfynd/A 34901-2022 artfynd.xlsx", "A 34901-2022")</f>
        <v/>
      </c>
      <c r="W23">
        <f>HYPERLINK("https://klasma.github.io/Logging_2023/kartor/A 34901-2022 karta.png", "A 34901-2022")</f>
        <v/>
      </c>
      <c r="X23">
        <f>HYPERLINK("https://klasma.github.io/Logging_2023/kartor_geotiff/A 34901-2022 georefererad karta.tif", "A 34901-2022")</f>
        <v/>
      </c>
      <c r="Z23">
        <f>HYPERLINK("https://klasma.github.io/Logging_2023/klagomål/A 34901-2022 FSC-klagomål.docx", "A 34901-2022")</f>
        <v/>
      </c>
      <c r="AA23">
        <f>HYPERLINK("https://klasma.github.io/Logging_2023/klagomålsmail/A 34901-2022 FSC-klagomål mail.docx", "A 34901-2022")</f>
        <v/>
      </c>
      <c r="AB23">
        <f>HYPERLINK("https://klasma.github.io/Logging_2023/tillsyn/A 34901-2022 tillsynsbegäran.docx", "A 34901-2022")</f>
        <v/>
      </c>
      <c r="AC23">
        <f>HYPERLINK("https://klasma.github.io/Logging_2023/tillsynsmail/A 34901-2022 tillsynsbegäran mail.docx", "A 34901-2022")</f>
        <v/>
      </c>
      <c r="AD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46223</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X24">
        <f>HYPERLINK("https://klasma.github.io/Logging_2023/kartor_geotiff/A 20462-2025 georefererad karta.tif", "A 20462-2025")</f>
        <v/>
      </c>
      <c r="Z24">
        <f>HYPERLINK("https://klasma.github.io/Logging_2023/klagomål/A 20462-2025 FSC-klagomål.docx", "A 20462-2025")</f>
        <v/>
      </c>
      <c r="AA24">
        <f>HYPERLINK("https://klasma.github.io/Logging_2023/klagomålsmail/A 20462-2025 FSC-klagomål mail.docx", "A 20462-2025")</f>
        <v/>
      </c>
      <c r="AB24">
        <f>HYPERLINK("https://klasma.github.io/Logging_2023/tillsyn/A 20462-2025 tillsynsbegäran.docx", "A 20462-2025")</f>
        <v/>
      </c>
      <c r="AC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46223</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X25">
        <f>HYPERLINK("https://klasma.github.io/Logging_2023/kartor_geotiff/A 44563-2025 georefererad karta.tif", "A 44563-2025")</f>
        <v/>
      </c>
      <c r="Z25">
        <f>HYPERLINK("https://klasma.github.io/Logging_2023/klagomål/A 44563-2025 FSC-klagomål.docx", "A 44563-2025")</f>
        <v/>
      </c>
      <c r="AA25">
        <f>HYPERLINK("https://klasma.github.io/Logging_2023/klagomålsmail/A 44563-2025 FSC-klagomål mail.docx", "A 44563-2025")</f>
        <v/>
      </c>
      <c r="AB25">
        <f>HYPERLINK("https://klasma.github.io/Logging_2023/tillsyn/A 44563-2025 tillsynsbegäran.docx", "A 44563-2025")</f>
        <v/>
      </c>
      <c r="AC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46223</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X26">
        <f>HYPERLINK("https://klasma.github.io/Logging_2023/kartor_geotiff/S 402-2026 georefererad karta.tif", "S 402-2026")</f>
        <v/>
      </c>
      <c r="Z26">
        <f>HYPERLINK("https://klasma.github.io/Logging_2023/klagomål/S 402-2026 FSC-klagomål.docx", "S 402-2026")</f>
        <v/>
      </c>
      <c r="AA26">
        <f>HYPERLINK("https://klasma.github.io/Logging_2023/klagomålsmail/S 402-2026 FSC-klagomål mail.docx", "S 402-2026")</f>
        <v/>
      </c>
      <c r="AB26">
        <f>HYPERLINK("https://klasma.github.io/Logging_2023/tillsyn/S 402-2026 tillsynsbegäran.docx", "S 402-2026")</f>
        <v/>
      </c>
      <c r="AC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46223</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X27">
        <f>HYPERLINK("https://klasma.github.io/Logging_2023/kartor_geotiff/A 40704-2025 georefererad karta.tif", "A 40704-2025")</f>
        <v/>
      </c>
      <c r="Z27">
        <f>HYPERLINK("https://klasma.github.io/Logging_2023/klagomål/A 40704-2025 FSC-klagomål.docx", "A 40704-2025")</f>
        <v/>
      </c>
      <c r="AA27">
        <f>HYPERLINK("https://klasma.github.io/Logging_2023/klagomålsmail/A 40704-2025 FSC-klagomål mail.docx", "A 40704-2025")</f>
        <v/>
      </c>
      <c r="AB27">
        <f>HYPERLINK("https://klasma.github.io/Logging_2023/tillsyn/A 40704-2025 tillsynsbegäran.docx", "A 40704-2025")</f>
        <v/>
      </c>
      <c r="AC27">
        <f>HYPERLINK("https://klasma.github.io/Logging_2023/tillsynsmail/A 40704-2025 tillsynsbegäran mail.docx", "A 40704-2025")</f>
        <v/>
      </c>
      <c r="AD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46223</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X28">
        <f>HYPERLINK("https://klasma.github.io/Logging_2023/kartor_geotiff/A 6176-2026 georefererad karta.tif", "A 6176-2026")</f>
        <v/>
      </c>
      <c r="Z28">
        <f>HYPERLINK("https://klasma.github.io/Logging_2023/klagomål/A 6176-2026 FSC-klagomål.docx", "A 6176-2026")</f>
        <v/>
      </c>
      <c r="AA28">
        <f>HYPERLINK("https://klasma.github.io/Logging_2023/klagomålsmail/A 6176-2026 FSC-klagomål mail.docx", "A 6176-2026")</f>
        <v/>
      </c>
      <c r="AB28">
        <f>HYPERLINK("https://klasma.github.io/Logging_2023/tillsyn/A 6176-2026 tillsynsbegäran.docx", "A 6176-2026")</f>
        <v/>
      </c>
      <c r="AC28">
        <f>HYPERLINK("https://klasma.github.io/Logging_2023/tillsynsmail/A 6176-2026 tillsynsbegäran mail.docx", "A 6176-2026")</f>
        <v/>
      </c>
      <c r="AD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46223</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X29">
        <f>HYPERLINK("https://klasma.github.io/Logging_2023/kartor_geotiff/A 26616-2024 georefererad karta.tif", "A 26616-2024")</f>
        <v/>
      </c>
      <c r="Z29">
        <f>HYPERLINK("https://klasma.github.io/Logging_2023/klagomål/A 26616-2024 FSC-klagomål.docx", "A 26616-2024")</f>
        <v/>
      </c>
      <c r="AA29">
        <f>HYPERLINK("https://klasma.github.io/Logging_2023/klagomålsmail/A 26616-2024 FSC-klagomål mail.docx", "A 26616-2024")</f>
        <v/>
      </c>
      <c r="AB29">
        <f>HYPERLINK("https://klasma.github.io/Logging_2023/tillsyn/A 26616-2024 tillsynsbegäran.docx", "A 26616-2024")</f>
        <v/>
      </c>
      <c r="AC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46223</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HYPERLINK("https://klasma.github.io/Logging_2023/kartor_geotiff/S 1126-2023 georefererad karta.tif", "S 1126-2023")</f>
        <v/>
      </c>
      <c r="Y30">
        <f>HYPERLINK("https://klasma.github.io/Logging_2023/knärot/S 1126-2023 karta knärot.png", "S 1126-2023")</f>
        <v/>
      </c>
      <c r="Z30">
        <f>HYPERLINK("https://klasma.github.io/Logging_2023/klagomål/S 1126-2023 FSC-klagomål.docx", "S 1126-2023")</f>
        <v/>
      </c>
      <c r="AA30">
        <f>HYPERLINK("https://klasma.github.io/Logging_2023/klagomålsmail/S 1126-2023 FSC-klagomål mail.docx", "S 1126-2023")</f>
        <v/>
      </c>
      <c r="AB30">
        <f>HYPERLINK("https://klasma.github.io/Logging_2023/tillsyn/S 1126-2023 tillsynsbegäran.docx", "S 1126-2023")</f>
        <v/>
      </c>
      <c r="AC30">
        <f>HYPERLINK("https://klasma.github.io/Logging_2023/tillsynsmail/S 1126-2023 tillsynsbegäran mail.docx", "S 1126-2023")</f>
        <v/>
      </c>
      <c r="AD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46223</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X31">
        <f>HYPERLINK("https://klasma.github.io/Logging_2023/kartor_geotiff/A 32935-2025 georefererad karta.tif", "A 32935-2025")</f>
        <v/>
      </c>
      <c r="Z31">
        <f>HYPERLINK("https://klasma.github.io/Logging_2023/klagomål/A 32935-2025 FSC-klagomål.docx", "A 32935-2025")</f>
        <v/>
      </c>
      <c r="AA31">
        <f>HYPERLINK("https://klasma.github.io/Logging_2023/klagomålsmail/A 32935-2025 FSC-klagomål mail.docx", "A 32935-2025")</f>
        <v/>
      </c>
      <c r="AB31">
        <f>HYPERLINK("https://klasma.github.io/Logging_2023/tillsyn/A 32935-2025 tillsynsbegäran.docx", "A 32935-2025")</f>
        <v/>
      </c>
      <c r="AC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s="2" t="inlineStr">
        <is>
          <t>Garnlav
Blanksvart spiklav
Blågrå svartspik
Dvärgbägarlav
Kolflarnlav
Mörk kolflarnlav
Vedflamlav
Vedskivlav
Nästlav</t>
        </is>
      </c>
      <c r="V32">
        <f>HYPERLINK("https://klasma.github.io/Logging_2023/artfynd/A 28278-2026 artfynd.xlsx", "A 28278-2026")</f>
        <v/>
      </c>
      <c r="W32">
        <f>HYPERLINK("https://klasma.github.io/Logging_2023/kartor/A 28278-2026 karta.png", "A 28278-2026")</f>
        <v/>
      </c>
      <c r="X32">
        <f>HYPERLINK("https://klasma.github.io/Logging_2023/kartor_geotiff/A 28278-2026 georefererad karta.tif", "A 28278-2026")</f>
        <v/>
      </c>
      <c r="Z32">
        <f>HYPERLINK("https://klasma.github.io/Logging_2023/klagomål/A 28278-2026 FSC-klagomål.docx", "A 28278-2026")</f>
        <v/>
      </c>
      <c r="AA32">
        <f>HYPERLINK("https://klasma.github.io/Logging_2023/klagomålsmail/A 28278-2026 FSC-klagomål mail.docx", "A 28278-2026")</f>
        <v/>
      </c>
      <c r="AB32">
        <f>HYPERLINK("https://klasma.github.io/Logging_2023/tillsyn/A 28278-2026 tillsynsbegäran.docx", "A 28278-2026")</f>
        <v/>
      </c>
      <c r="AC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46223</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s="2" t="inlineStr">
        <is>
          <t>Garnlav
Dvärgbägarlav
Gammelgransskål
Kortskaftad ärgspik
Mörk kolflarnlav
Vedflamlav
Vedskivlav
Violettgrå tagellav
Nästlav</t>
        </is>
      </c>
      <c r="V33">
        <f>HYPERLINK("https://klasma.github.io/Logging_2023/artfynd/A 25675-2026 artfynd.xlsx", "A 25675-2026")</f>
        <v/>
      </c>
      <c r="W33">
        <f>HYPERLINK("https://klasma.github.io/Logging_2023/kartor/A 25675-2026 karta.png", "A 25675-2026")</f>
        <v/>
      </c>
      <c r="X33">
        <f>HYPERLINK("https://klasma.github.io/Logging_2023/kartor_geotiff/A 25675-2026 georefererad karta.tif", "A 25675-2026")</f>
        <v/>
      </c>
      <c r="Z33">
        <f>HYPERLINK("https://klasma.github.io/Logging_2023/klagomål/A 25675-2026 FSC-klagomål.docx", "A 25675-2026")</f>
        <v/>
      </c>
      <c r="AA33">
        <f>HYPERLINK("https://klasma.github.io/Logging_2023/klagomålsmail/A 25675-2026 FSC-klagomål mail.docx", "A 25675-2026")</f>
        <v/>
      </c>
      <c r="AB33">
        <f>HYPERLINK("https://klasma.github.io/Logging_2023/tillsyn/A 25675-2026 tillsynsbegäran.docx", "A 25675-2026")</f>
        <v/>
      </c>
      <c r="AC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46223</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s="2" t="inlineStr">
        <is>
          <t>Garnlav
Blanksvart spiklav
Dvärgbägarlav
Kortskaftad ärgspik
Mörk kolflarnlav
Vedflamlav
Vedskivlav
Vitgrynig nållav
Nästlav</t>
        </is>
      </c>
      <c r="V34">
        <f>HYPERLINK("https://klasma.github.io/Logging_2023/artfynd/A 25672-2026 artfynd.xlsx", "A 25672-2026")</f>
        <v/>
      </c>
      <c r="W34">
        <f>HYPERLINK("https://klasma.github.io/Logging_2023/kartor/A 25672-2026 karta.png", "A 25672-2026")</f>
        <v/>
      </c>
      <c r="X34">
        <f>HYPERLINK("https://klasma.github.io/Logging_2023/kartor_geotiff/A 25672-2026 georefererad karta.tif", "A 25672-2026")</f>
        <v/>
      </c>
      <c r="Z34">
        <f>HYPERLINK("https://klasma.github.io/Logging_2023/klagomål/A 25672-2026 FSC-klagomål.docx", "A 25672-2026")</f>
        <v/>
      </c>
      <c r="AA34">
        <f>HYPERLINK("https://klasma.github.io/Logging_2023/klagomålsmail/A 25672-2026 FSC-klagomål mail.docx", "A 25672-2026")</f>
        <v/>
      </c>
      <c r="AB34">
        <f>HYPERLINK("https://klasma.github.io/Logging_2023/tillsyn/A 25672-2026 tillsynsbegäran.docx", "A 25672-2026")</f>
        <v/>
      </c>
      <c r="AC34">
        <f>HYPERLINK("https://klasma.github.io/Logging_2023/tillsynsmail/A 25672-2026 tillsynsbegäran mail.docx", "A 25672-2026")</f>
        <v/>
      </c>
    </row>
    <row r="35" ht="15" customHeight="1">
      <c r="A35" t="inlineStr">
        <is>
          <t>A 36089-2024</t>
        </is>
      </c>
      <c r="B35" t="inlineStr">
        <is>
          <t>avverkningsanmälan</t>
        </is>
      </c>
      <c r="C35" t="inlineStr">
        <is>
          <t>Avverkning för annat ändamål</t>
        </is>
      </c>
      <c r="D35" s="1" t="n">
        <v>45533</v>
      </c>
      <c r="E35" s="1" t="n">
        <v>46223</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s="2" t="inlineStr">
        <is>
          <t>Garnlav
Doftskinn
Gullpudra
Skrovellav
Spindelblomster
Stuplav
Svart trolldruva
Tvåblad
Ögonpyrola</t>
        </is>
      </c>
      <c r="V35">
        <f>HYPERLINK("https://klasma.github.io/Logging_2023/artfynd/A 36089-2024 artfynd.xlsx", "A 36089-2024")</f>
        <v/>
      </c>
      <c r="W35">
        <f>HYPERLINK("https://klasma.github.io/Logging_2023/kartor/A 36089-2024 karta.png", "A 36089-2024")</f>
        <v/>
      </c>
      <c r="X35">
        <f>HYPERLINK("https://klasma.github.io/Logging_2023/kartor_geotiff/A 36089-2024 georefererad karta.tif", "A 36089-2024")</f>
        <v/>
      </c>
      <c r="Z35">
        <f>HYPERLINK("https://klasma.github.io/Logging_2023/klagomål/A 36089-2024 FSC-klagomål.docx", "A 36089-2024")</f>
        <v/>
      </c>
      <c r="AA35">
        <f>HYPERLINK("https://klasma.github.io/Logging_2023/klagomålsmail/A 36089-2024 FSC-klagomål mail.docx", "A 36089-2024")</f>
        <v/>
      </c>
      <c r="AB35">
        <f>HYPERLINK("https://klasma.github.io/Logging_2023/tillsyn/A 36089-2024 tillsynsbegäran.docx", "A 36089-2024")</f>
        <v/>
      </c>
      <c r="AC35">
        <f>HYPERLINK("https://klasma.github.io/Logging_2023/tillsynsmail/A 36089-2024 tillsynsbegäran mail.docx", "A 36089-2024")</f>
        <v/>
      </c>
    </row>
    <row r="36" ht="15" customHeight="1">
      <c r="A36" t="inlineStr">
        <is>
          <t>A 32944-2025</t>
        </is>
      </c>
      <c r="B36" t="inlineStr">
        <is>
          <t>avverkningsanmälan</t>
        </is>
      </c>
      <c r="C36" t="inlineStr">
        <is>
          <t>Föryngringsavverkning</t>
        </is>
      </c>
      <c r="D36" s="1" t="n">
        <v>45839</v>
      </c>
      <c r="E36" s="1" t="n">
        <v>46223</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X36">
        <f>HYPERLINK("https://klasma.github.io/Logging_2023/kartor_geotiff/A 32944-2025 georefererad karta.tif", "A 32944-2025")</f>
        <v/>
      </c>
      <c r="Z36">
        <f>HYPERLINK("https://klasma.github.io/Logging_2023/klagomål/A 32944-2025 FSC-klagomål.docx", "A 32944-2025")</f>
        <v/>
      </c>
      <c r="AA36">
        <f>HYPERLINK("https://klasma.github.io/Logging_2023/klagomålsmail/A 32944-2025 FSC-klagomål mail.docx", "A 32944-2025")</f>
        <v/>
      </c>
      <c r="AB36">
        <f>HYPERLINK("https://klasma.github.io/Logging_2023/tillsyn/A 32944-2025 tillsynsbegäran.docx", "A 32944-2025")</f>
        <v/>
      </c>
      <c r="AC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46223</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X37">
        <f>HYPERLINK("https://klasma.github.io/Logging_2023/kartor_geotiff/A 15036-2026 georefererad karta.tif", "A 15036-2026")</f>
        <v/>
      </c>
      <c r="Z37">
        <f>HYPERLINK("https://klasma.github.io/Logging_2023/klagomål/A 15036-2026 FSC-klagomål.docx", "A 15036-2026")</f>
        <v/>
      </c>
      <c r="AA37">
        <f>HYPERLINK("https://klasma.github.io/Logging_2023/klagomålsmail/A 15036-2026 FSC-klagomål mail.docx", "A 15036-2026")</f>
        <v/>
      </c>
      <c r="AB37">
        <f>HYPERLINK("https://klasma.github.io/Logging_2023/tillsyn/A 15036-2026 tillsynsbegäran.docx", "A 15036-2026")</f>
        <v/>
      </c>
      <c r="AC37">
        <f>HYPERLINK("https://klasma.github.io/Logging_2023/tillsynsmail/A 15036-2026 tillsynsbegäran mail.docx", "A 15036-2026")</f>
        <v/>
      </c>
      <c r="AD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46223</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X38">
        <f>HYPERLINK("https://klasma.github.io/Logging_2023/kartor_geotiff/A 1482-2026 georefererad karta.tif", "A 1482-2026")</f>
        <v/>
      </c>
      <c r="Z38">
        <f>HYPERLINK("https://klasma.github.io/Logging_2023/klagomål/A 1482-2026 FSC-klagomål.docx", "A 1482-2026")</f>
        <v/>
      </c>
      <c r="AA38">
        <f>HYPERLINK("https://klasma.github.io/Logging_2023/klagomålsmail/A 1482-2026 FSC-klagomål mail.docx", "A 1482-2026")</f>
        <v/>
      </c>
      <c r="AB38">
        <f>HYPERLINK("https://klasma.github.io/Logging_2023/tillsyn/A 1482-2026 tillsynsbegäran.docx", "A 1482-2026")</f>
        <v/>
      </c>
      <c r="AC38">
        <f>HYPERLINK("https://klasma.github.io/Logging_2023/tillsynsmail/A 1482-2026 tillsynsbegäran mail.docx", "A 1482-2026")</f>
        <v/>
      </c>
      <c r="AD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28352-2026 artfynd.xlsx", "A 28352-2026")</f>
        <v/>
      </c>
      <c r="W39">
        <f>HYPERLINK("https://klasma.github.io/Logging_2023/kartor/A 28352-2026 karta.png", "A 28352-2026")</f>
        <v/>
      </c>
      <c r="X39">
        <f>HYPERLINK("https://klasma.github.io/Logging_2023/kartor_geotiff/A 28352-2026 georefererad karta.tif", "A 28352-2026")</f>
        <v/>
      </c>
      <c r="Z39">
        <f>HYPERLINK("https://klasma.github.io/Logging_2023/klagomål/A 28352-2026 FSC-klagomål.docx", "A 28352-2026")</f>
        <v/>
      </c>
      <c r="AA39">
        <f>HYPERLINK("https://klasma.github.io/Logging_2023/klagomålsmail/A 28352-2026 FSC-klagomål mail.docx", "A 28352-2026")</f>
        <v/>
      </c>
      <c r="AB39">
        <f>HYPERLINK("https://klasma.github.io/Logging_2023/tillsyn/A 28352-2026 tillsynsbegäran.docx", "A 28352-2026")</f>
        <v/>
      </c>
      <c r="AC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46223</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s="2" t="inlineStr">
        <is>
          <t>Garnlav
Kolflarnlav
Rynkskinn
Tallticka
Tretåig hackspett
Ullticka
Vedflamlav
Vedskivlav</t>
        </is>
      </c>
      <c r="V40">
        <f>HYPERLINK("https://klasma.github.io/Logging_2023/artfynd/A 47938-2025 artfynd.xlsx", "A 47938-2025")</f>
        <v/>
      </c>
      <c r="W40">
        <f>HYPERLINK("https://klasma.github.io/Logging_2023/kartor/A 47938-2025 karta.png", "A 47938-2025")</f>
        <v/>
      </c>
      <c r="X40">
        <f>HYPERLINK("https://klasma.github.io/Logging_2023/kartor_geotiff/A 47938-2025 georefererad karta.tif", "A 47938-2025")</f>
        <v/>
      </c>
      <c r="Z40">
        <f>HYPERLINK("https://klasma.github.io/Logging_2023/klagomål/A 47938-2025 FSC-klagomål.docx", "A 47938-2025")</f>
        <v/>
      </c>
      <c r="AA40">
        <f>HYPERLINK("https://klasma.github.io/Logging_2023/klagomålsmail/A 47938-2025 FSC-klagomål mail.docx", "A 47938-2025")</f>
        <v/>
      </c>
      <c r="AB40">
        <f>HYPERLINK("https://klasma.github.io/Logging_2023/tillsyn/A 47938-2025 tillsynsbegäran.docx", "A 47938-2025")</f>
        <v/>
      </c>
      <c r="AC40">
        <f>HYPERLINK("https://klasma.github.io/Logging_2023/tillsynsmail/A 47938-2025 tillsynsbegäran mail.docx", "A 47938-2025")</f>
        <v/>
      </c>
      <c r="AD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46223</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X41">
        <f>HYPERLINK("https://klasma.github.io/Logging_2023/kartor_geotiff/S 649-2026 georefererad karta.tif", "S 649-2026")</f>
        <v/>
      </c>
      <c r="Z41">
        <f>HYPERLINK("https://klasma.github.io/Logging_2023/klagomål/S 649-2026 FSC-klagomål.docx", "S 649-2026")</f>
        <v/>
      </c>
      <c r="AA41">
        <f>HYPERLINK("https://klasma.github.io/Logging_2023/klagomålsmail/S 649-2026 FSC-klagomål mail.docx", "S 649-2026")</f>
        <v/>
      </c>
      <c r="AB41">
        <f>HYPERLINK("https://klasma.github.io/Logging_2023/tillsyn/S 649-2026 tillsynsbegäran.docx", "S 649-2026")</f>
        <v/>
      </c>
      <c r="AC41">
        <f>HYPERLINK("https://klasma.github.io/Logging_2023/tillsynsmail/S 649-2026 tillsynsbegäran mail.docx", "S 649-2026")</f>
        <v/>
      </c>
      <c r="AD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46223</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s="2" t="inlineStr">
        <is>
          <t>Garnlav
Dvärgbägarlav
Mörk kolflarnlav
Tretåig hackspett
Vedskivlav
Nästlav
Tjäder</t>
        </is>
      </c>
      <c r="V42">
        <f>HYPERLINK("https://klasma.github.io/Logging_2023/artfynd/A 6170-2026 artfynd.xlsx", "A 6170-2026")</f>
        <v/>
      </c>
      <c r="W42">
        <f>HYPERLINK("https://klasma.github.io/Logging_2023/kartor/A 6170-2026 karta.png", "A 6170-2026")</f>
        <v/>
      </c>
      <c r="X42">
        <f>HYPERLINK("https://klasma.github.io/Logging_2023/kartor_geotiff/A 6170-2026 georefererad karta.tif", "A 6170-2026")</f>
        <v/>
      </c>
      <c r="Z42">
        <f>HYPERLINK("https://klasma.github.io/Logging_2023/klagomål/A 6170-2026 FSC-klagomål.docx", "A 6170-2026")</f>
        <v/>
      </c>
      <c r="AA42">
        <f>HYPERLINK("https://klasma.github.io/Logging_2023/klagomålsmail/A 6170-2026 FSC-klagomål mail.docx", "A 6170-2026")</f>
        <v/>
      </c>
      <c r="AB42">
        <f>HYPERLINK("https://klasma.github.io/Logging_2023/tillsyn/A 6170-2026 tillsynsbegäran.docx", "A 6170-2026")</f>
        <v/>
      </c>
      <c r="AC42">
        <f>HYPERLINK("https://klasma.github.io/Logging_2023/tillsynsmail/A 6170-2026 tillsynsbegäran mail.docx", "A 6170-2026")</f>
        <v/>
      </c>
      <c r="AD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46223</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s="2" t="inlineStr">
        <is>
          <t>Topplåsbräken
Vridfingersvamp
Grantaggsvamp
Praktvaxing
Sotlav
Vitvaxing agg.
Ängsvaxing agg.</t>
        </is>
      </c>
      <c r="V43">
        <f>HYPERLINK("https://klasma.github.io/Logging_2023/artfynd/A 31954-2024 artfynd.xlsx", "A 31954-2024")</f>
        <v/>
      </c>
      <c r="W43">
        <f>HYPERLINK("https://klasma.github.io/Logging_2023/kartor/A 31954-2024 karta.png", "A 31954-2024")</f>
        <v/>
      </c>
      <c r="X43">
        <f>HYPERLINK("https://klasma.github.io/Logging_2023/kartor_geotiff/A 31954-2024 georefererad karta.tif", "A 31954-2024")</f>
        <v/>
      </c>
      <c r="Z43">
        <f>HYPERLINK("https://klasma.github.io/Logging_2023/klagomål/A 31954-2024 FSC-klagomål.docx", "A 31954-2024")</f>
        <v/>
      </c>
      <c r="AA43">
        <f>HYPERLINK("https://klasma.github.io/Logging_2023/klagomålsmail/A 31954-2024 FSC-klagomål mail.docx", "A 31954-2024")</f>
        <v/>
      </c>
      <c r="AB43">
        <f>HYPERLINK("https://klasma.github.io/Logging_2023/tillsyn/A 31954-2024 tillsynsbegäran.docx", "A 31954-2024")</f>
        <v/>
      </c>
      <c r="AC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46223</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X44">
        <f>HYPERLINK("https://klasma.github.io/Logging_2023/kartor_geotiff/A 5851-2025 georefererad karta.tif", "A 5851-2025")</f>
        <v/>
      </c>
      <c r="Z44">
        <f>HYPERLINK("https://klasma.github.io/Logging_2023/klagomål/A 5851-2025 FSC-klagomål.docx", "A 5851-2025")</f>
        <v/>
      </c>
      <c r="AA44">
        <f>HYPERLINK("https://klasma.github.io/Logging_2023/klagomålsmail/A 5851-2025 FSC-klagomål mail.docx", "A 5851-2025")</f>
        <v/>
      </c>
      <c r="AB44">
        <f>HYPERLINK("https://klasma.github.io/Logging_2023/tillsyn/A 5851-2025 tillsynsbegäran.docx", "A 5851-2025")</f>
        <v/>
      </c>
      <c r="AC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46223</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X45">
        <f>HYPERLINK("https://klasma.github.io/Logging_2023/kartor_geotiff/S 1125-2023 georefererad karta.tif", "S 1125-2023")</f>
        <v/>
      </c>
      <c r="Z45">
        <f>HYPERLINK("https://klasma.github.io/Logging_2023/klagomål/S 1125-2023 FSC-klagomål.docx", "S 1125-2023")</f>
        <v/>
      </c>
      <c r="AA45">
        <f>HYPERLINK("https://klasma.github.io/Logging_2023/klagomålsmail/S 1125-2023 FSC-klagomål mail.docx", "S 1125-2023")</f>
        <v/>
      </c>
      <c r="AB45">
        <f>HYPERLINK("https://klasma.github.io/Logging_2023/tillsyn/S 1125-2023 tillsynsbegäran.docx", "S 1125-2023")</f>
        <v/>
      </c>
      <c r="AC45">
        <f>HYPERLINK("https://klasma.github.io/Logging_2023/tillsynsmail/S 1125-2023 tillsynsbegäran mail.docx", "S 1125-2023")</f>
        <v/>
      </c>
      <c r="AD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46223</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X46">
        <f>HYPERLINK("https://klasma.github.io/Logging_2023/kartor_geotiff/A 8305-2022 georefererad karta.tif", "A 8305-2022")</f>
        <v/>
      </c>
      <c r="Z46">
        <f>HYPERLINK("https://klasma.github.io/Logging_2023/klagomål/A 8305-2022 FSC-klagomål.docx", "A 8305-2022")</f>
        <v/>
      </c>
      <c r="AA46">
        <f>HYPERLINK("https://klasma.github.io/Logging_2023/klagomålsmail/A 8305-2022 FSC-klagomål mail.docx", "A 8305-2022")</f>
        <v/>
      </c>
      <c r="AB46">
        <f>HYPERLINK("https://klasma.github.io/Logging_2023/tillsyn/A 8305-2022 tillsynsbegäran.docx", "A 8305-2022")</f>
        <v/>
      </c>
      <c r="AC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46223</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X47">
        <f>HYPERLINK("https://klasma.github.io/Logging_2023/kartor_geotiff/A 49235-2025 georefererad karta.tif", "A 49235-2025")</f>
        <v/>
      </c>
      <c r="Z47">
        <f>HYPERLINK("https://klasma.github.io/Logging_2023/klagomål/A 49235-2025 FSC-klagomål.docx", "A 49235-2025")</f>
        <v/>
      </c>
      <c r="AA47">
        <f>HYPERLINK("https://klasma.github.io/Logging_2023/klagomålsmail/A 49235-2025 FSC-klagomål mail.docx", "A 49235-2025")</f>
        <v/>
      </c>
      <c r="AB47">
        <f>HYPERLINK("https://klasma.github.io/Logging_2023/tillsyn/A 49235-2025 tillsynsbegäran.docx", "A 49235-2025")</f>
        <v/>
      </c>
      <c r="AC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46223</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X48">
        <f>HYPERLINK("https://klasma.github.io/Logging_2023/kartor_geotiff/A 6189-2026 georefererad karta.tif", "A 6189-2026")</f>
        <v/>
      </c>
      <c r="Z48">
        <f>HYPERLINK("https://klasma.github.io/Logging_2023/klagomål/A 6189-2026 FSC-klagomål.docx", "A 6189-2026")</f>
        <v/>
      </c>
      <c r="AA48">
        <f>HYPERLINK("https://klasma.github.io/Logging_2023/klagomålsmail/A 6189-2026 FSC-klagomål mail.docx", "A 6189-2026")</f>
        <v/>
      </c>
      <c r="AB48">
        <f>HYPERLINK("https://klasma.github.io/Logging_2023/tillsyn/A 6189-2026 tillsynsbegäran.docx", "A 6189-2026")</f>
        <v/>
      </c>
      <c r="AC48">
        <f>HYPERLINK("https://klasma.github.io/Logging_2023/tillsynsmail/A 6189-2026 tillsynsbegäran mail.docx", "A 6189-2026")</f>
        <v/>
      </c>
      <c r="AD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46223</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X49">
        <f>HYPERLINK("https://klasma.github.io/Logging_2023/kartor_geotiff/S 2004-2020 georefererad karta.tif", "S 2004-2020")</f>
        <v/>
      </c>
      <c r="Z49">
        <f>HYPERLINK("https://klasma.github.io/Logging_2023/klagomål/S 2004-2020 FSC-klagomål.docx", "S 2004-2020")</f>
        <v/>
      </c>
      <c r="AA49">
        <f>HYPERLINK("https://klasma.github.io/Logging_2023/klagomålsmail/S 2004-2020 FSC-klagomål mail.docx", "S 2004-2020")</f>
        <v/>
      </c>
      <c r="AB49">
        <f>HYPERLINK("https://klasma.github.io/Logging_2023/tillsyn/S 2004-2020 tillsynsbegäran.docx", "S 2004-2020")</f>
        <v/>
      </c>
      <c r="AC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46223</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X50">
        <f>HYPERLINK("https://klasma.github.io/Logging_2023/kartor_geotiff/S 3178-2022 georefererad karta.tif", "S 3178-2022")</f>
        <v/>
      </c>
      <c r="Z50">
        <f>HYPERLINK("https://klasma.github.io/Logging_2023/klagomål/S 3178-2022 FSC-klagomål.docx", "S 3178-2022")</f>
        <v/>
      </c>
      <c r="AA50">
        <f>HYPERLINK("https://klasma.github.io/Logging_2023/klagomålsmail/S 3178-2022 FSC-klagomål mail.docx", "S 3178-2022")</f>
        <v/>
      </c>
      <c r="AB50">
        <f>HYPERLINK("https://klasma.github.io/Logging_2023/tillsyn/S 3178-2022 tillsynsbegäran.docx", "S 3178-2022")</f>
        <v/>
      </c>
      <c r="AC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46223</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X51">
        <f>HYPERLINK("https://klasma.github.io/Logging_2023/kartor_geotiff/A 28070-2023 georefererad karta.tif", "A 28070-2023")</f>
        <v/>
      </c>
      <c r="Z51">
        <f>HYPERLINK("https://klasma.github.io/Logging_2023/klagomål/A 28070-2023 FSC-klagomål.docx", "A 28070-2023")</f>
        <v/>
      </c>
      <c r="AA51">
        <f>HYPERLINK("https://klasma.github.io/Logging_2023/klagomålsmail/A 28070-2023 FSC-klagomål mail.docx", "A 28070-2023")</f>
        <v/>
      </c>
      <c r="AB51">
        <f>HYPERLINK("https://klasma.github.io/Logging_2023/tillsyn/A 28070-2023 tillsynsbegäran.docx", "A 28070-2023")</f>
        <v/>
      </c>
      <c r="AC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46223</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s="2" t="inlineStr">
        <is>
          <t>Garnlav
Dvärgbägarlav
Kolflarnlav
Vedflamlav
Vedskivlav</t>
        </is>
      </c>
      <c r="V52">
        <f>HYPERLINK("https://klasma.github.io/Logging_2023/artfynd/A 32940-2025 artfynd.xlsx", "A 32940-2025")</f>
        <v/>
      </c>
      <c r="W52">
        <f>HYPERLINK("https://klasma.github.io/Logging_2023/kartor/A 32940-2025 karta.png", "A 32940-2025")</f>
        <v/>
      </c>
      <c r="X52">
        <f>HYPERLINK("https://klasma.github.io/Logging_2023/kartor_geotiff/A 32940-2025 georefererad karta.tif", "A 32940-2025")</f>
        <v/>
      </c>
      <c r="Z52">
        <f>HYPERLINK("https://klasma.github.io/Logging_2023/klagomål/A 32940-2025 FSC-klagomål.docx", "A 32940-2025")</f>
        <v/>
      </c>
      <c r="AA52">
        <f>HYPERLINK("https://klasma.github.io/Logging_2023/klagomålsmail/A 32940-2025 FSC-klagomål mail.docx", "A 32940-2025")</f>
        <v/>
      </c>
      <c r="AB52">
        <f>HYPERLINK("https://klasma.github.io/Logging_2023/tillsyn/A 32940-2025 tillsynsbegäran.docx", "A 32940-2025")</f>
        <v/>
      </c>
      <c r="AC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46223</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s="2" t="inlineStr">
        <is>
          <t>Garnlav
Dvärgbägarlav
Vedskivlav
Nästlav
Tjäder</t>
        </is>
      </c>
      <c r="V53">
        <f>HYPERLINK("https://klasma.github.io/Logging_2023/artfynd/A 6158-2026 artfynd.xlsx", "A 6158-2026")</f>
        <v/>
      </c>
      <c r="W53">
        <f>HYPERLINK("https://klasma.github.io/Logging_2023/kartor/A 6158-2026 karta.png", "A 6158-2026")</f>
        <v/>
      </c>
      <c r="X53">
        <f>HYPERLINK("https://klasma.github.io/Logging_2023/kartor_geotiff/A 6158-2026 georefererad karta.tif", "A 6158-2026")</f>
        <v/>
      </c>
      <c r="Z53">
        <f>HYPERLINK("https://klasma.github.io/Logging_2023/klagomål/A 6158-2026 FSC-klagomål.docx", "A 6158-2026")</f>
        <v/>
      </c>
      <c r="AA53">
        <f>HYPERLINK("https://klasma.github.io/Logging_2023/klagomålsmail/A 6158-2026 FSC-klagomål mail.docx", "A 6158-2026")</f>
        <v/>
      </c>
      <c r="AB53">
        <f>HYPERLINK("https://klasma.github.io/Logging_2023/tillsyn/A 6158-2026 tillsynsbegäran.docx", "A 6158-2026")</f>
        <v/>
      </c>
      <c r="AC53">
        <f>HYPERLINK("https://klasma.github.io/Logging_2023/tillsynsmail/A 6158-2026 tillsynsbegäran mail.docx", "A 6158-2026")</f>
        <v/>
      </c>
      <c r="AD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46223</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X54">
        <f>HYPERLINK("https://klasma.github.io/Logging_2023/kartor_geotiff/A 20472-2025 georefererad karta.tif", "A 20472-2025")</f>
        <v/>
      </c>
      <c r="Z54">
        <f>HYPERLINK("https://klasma.github.io/Logging_2023/klagomål/A 20472-2025 FSC-klagomål.docx", "A 20472-2025")</f>
        <v/>
      </c>
      <c r="AA54">
        <f>HYPERLINK("https://klasma.github.io/Logging_2023/klagomålsmail/A 20472-2025 FSC-klagomål mail.docx", "A 20472-2025")</f>
        <v/>
      </c>
      <c r="AB54">
        <f>HYPERLINK("https://klasma.github.io/Logging_2023/tillsyn/A 20472-2025 tillsynsbegäran.docx", "A 20472-2025")</f>
        <v/>
      </c>
      <c r="AC54">
        <f>HYPERLINK("https://klasma.github.io/Logging_2023/tillsynsmail/A 20472-2025 tillsynsbegäran mail.docx", "A 20472-2025")</f>
        <v/>
      </c>
    </row>
    <row r="55" ht="15" customHeight="1">
      <c r="A55" t="inlineStr">
        <is>
          <t>A 540-2026</t>
        </is>
      </c>
      <c r="B55" t="inlineStr">
        <is>
          <t>avverkningsanmälan</t>
        </is>
      </c>
      <c r="C55" t="inlineStr">
        <is>
          <t>Föryngringsavverkning</t>
        </is>
      </c>
      <c r="D55" s="1" t="n">
        <v>46029</v>
      </c>
      <c r="E55" s="1" t="n">
        <v>46223</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s="2" t="inlineStr">
        <is>
          <t>Garnlav
Dropptaggsvamp
Dvärgbägarlav
Nordtagging
Vedskivlav</t>
        </is>
      </c>
      <c r="V55">
        <f>HYPERLINK("https://klasma.github.io/Logging_2023/artfynd/A 540-2026 artfynd.xlsx", "A 540-2026")</f>
        <v/>
      </c>
      <c r="W55">
        <f>HYPERLINK("https://klasma.github.io/Logging_2023/kartor/A 540-2026 karta.png", "A 540-2026")</f>
        <v/>
      </c>
      <c r="X55">
        <f>HYPERLINK("https://klasma.github.io/Logging_2023/kartor_geotiff/A 540-2026 georefererad karta.tif", "A 540-2026")</f>
        <v/>
      </c>
      <c r="Z55">
        <f>HYPERLINK("https://klasma.github.io/Logging_2023/klagomål/A 540-2026 FSC-klagomål.docx", "A 540-2026")</f>
        <v/>
      </c>
      <c r="AA55">
        <f>HYPERLINK("https://klasma.github.io/Logging_2023/klagomålsmail/A 540-2026 FSC-klagomål mail.docx", "A 540-2026")</f>
        <v/>
      </c>
      <c r="AB55">
        <f>HYPERLINK("https://klasma.github.io/Logging_2023/tillsyn/A 540-2026 tillsynsbegäran.docx", "A 540-2026")</f>
        <v/>
      </c>
      <c r="AC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46223</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s="2" t="inlineStr">
        <is>
          <t>Garnlav
Dvärgbägarlav
Kolflarnlav
Vedflamlav
Vedskivlav</t>
        </is>
      </c>
      <c r="V56">
        <f>HYPERLINK("https://klasma.github.io/Logging_2023/artfynd/A 27569-2026 artfynd.xlsx", "A 27569-2026")</f>
        <v/>
      </c>
      <c r="W56">
        <f>HYPERLINK("https://klasma.github.io/Logging_2023/kartor/A 27569-2026 karta.png", "A 27569-2026")</f>
        <v/>
      </c>
      <c r="X56">
        <f>HYPERLINK("https://klasma.github.io/Logging_2023/kartor_geotiff/A 27569-2026 georefererad karta.tif", "A 27569-2026")</f>
        <v/>
      </c>
      <c r="Z56">
        <f>HYPERLINK("https://klasma.github.io/Logging_2023/klagomål/A 27569-2026 FSC-klagomål.docx", "A 27569-2026")</f>
        <v/>
      </c>
      <c r="AA56">
        <f>HYPERLINK("https://klasma.github.io/Logging_2023/klagomålsmail/A 27569-2026 FSC-klagomål mail.docx", "A 27569-2026")</f>
        <v/>
      </c>
      <c r="AB56">
        <f>HYPERLINK("https://klasma.github.io/Logging_2023/tillsyn/A 27569-2026 tillsynsbegäran.docx", "A 27569-2026")</f>
        <v/>
      </c>
      <c r="AC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46223</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s="2" t="inlineStr">
        <is>
          <t>Garnlav
Bollvitmossa
Tvåblad
Fläcknycklar
Revlummer</t>
        </is>
      </c>
      <c r="V57">
        <f>HYPERLINK("https://klasma.github.io/Logging_2023/artfynd/A 47336-2024 artfynd.xlsx", "A 47336-2024")</f>
        <v/>
      </c>
      <c r="W57">
        <f>HYPERLINK("https://klasma.github.io/Logging_2023/kartor/A 47336-2024 karta.png", "A 47336-2024")</f>
        <v/>
      </c>
      <c r="X57">
        <f>HYPERLINK("https://klasma.github.io/Logging_2023/kartor_geotiff/A 47336-2024 georefererad karta.tif", "A 47336-2024")</f>
        <v/>
      </c>
      <c r="Z57">
        <f>HYPERLINK("https://klasma.github.io/Logging_2023/klagomål/A 47336-2024 FSC-klagomål.docx", "A 47336-2024")</f>
        <v/>
      </c>
      <c r="AA57">
        <f>HYPERLINK("https://klasma.github.io/Logging_2023/klagomålsmail/A 47336-2024 FSC-klagomål mail.docx", "A 47336-2024")</f>
        <v/>
      </c>
      <c r="AB57">
        <f>HYPERLINK("https://klasma.github.io/Logging_2023/tillsyn/A 47336-2024 tillsynsbegäran.docx", "A 47336-2024")</f>
        <v/>
      </c>
      <c r="AC57">
        <f>HYPERLINK("https://klasma.github.io/Logging_2023/tillsynsmail/A 47336-2024 tillsynsbegäran mail.docx", "A 47336-2024")</f>
        <v/>
      </c>
    </row>
    <row r="58" ht="15" customHeight="1">
      <c r="A58" t="inlineStr">
        <is>
          <t>A 25698-2026</t>
        </is>
      </c>
      <c r="B58" t="inlineStr">
        <is>
          <t>avverkningsanmälan</t>
        </is>
      </c>
      <c r="C58" t="inlineStr">
        <is>
          <t>Föryngringsavverkning</t>
        </is>
      </c>
      <c r="D58" s="1" t="n">
        <v>46178</v>
      </c>
      <c r="E58" s="1" t="n">
        <v>46223</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s="2" t="inlineStr">
        <is>
          <t>Garnlav
Kortskaftad ärgspik
Mörk kolflarnlav
Vedskivlav
Violettgrå tagellav</t>
        </is>
      </c>
      <c r="V58">
        <f>HYPERLINK("https://klasma.github.io/Logging_2023/artfynd/A 25698-2026 artfynd.xlsx", "A 25698-2026")</f>
        <v/>
      </c>
      <c r="W58">
        <f>HYPERLINK("https://klasma.github.io/Logging_2023/kartor/A 25698-2026 karta.png", "A 25698-2026")</f>
        <v/>
      </c>
      <c r="X58">
        <f>HYPERLINK("https://klasma.github.io/Logging_2023/kartor_geotiff/A 25698-2026 georefererad karta.tif", "A 25698-2026")</f>
        <v/>
      </c>
      <c r="Z58">
        <f>HYPERLINK("https://klasma.github.io/Logging_2023/klagomål/A 25698-2026 FSC-klagomål.docx", "A 25698-2026")</f>
        <v/>
      </c>
      <c r="AA58">
        <f>HYPERLINK("https://klasma.github.io/Logging_2023/klagomålsmail/A 25698-2026 FSC-klagomål mail.docx", "A 25698-2026")</f>
        <v/>
      </c>
      <c r="AB58">
        <f>HYPERLINK("https://klasma.github.io/Logging_2023/tillsyn/A 25698-2026 tillsynsbegäran.docx", "A 25698-2026")</f>
        <v/>
      </c>
      <c r="AC58">
        <f>HYPERLINK("https://klasma.github.io/Logging_2023/tillsynsmail/A 25698-2026 tillsynsbegäran mail.docx", "A 25698-2026")</f>
        <v/>
      </c>
    </row>
    <row r="59" ht="15" customHeight="1">
      <c r="A59" t="inlineStr">
        <is>
          <t>S 3189-2022</t>
        </is>
      </c>
      <c r="B59" t="inlineStr">
        <is>
          <t>samrådsanmälan</t>
        </is>
      </c>
      <c r="C59" t="inlineStr">
        <is>
          <t>Askåterföring</t>
        </is>
      </c>
      <c r="D59" s="1" t="n">
        <v>44722</v>
      </c>
      <c r="E59" s="1" t="n">
        <v>46223</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X59">
        <f>HYPERLINK("https://klasma.github.io/Logging_2023/kartor_geotiff/S 3189-2022 georefererad karta.tif", "S 3189-2022")</f>
        <v/>
      </c>
      <c r="Z59">
        <f>HYPERLINK("https://klasma.github.io/Logging_2023/klagomål/S 3189-2022 FSC-klagomål.docx", "S 3189-2022")</f>
        <v/>
      </c>
      <c r="AA59">
        <f>HYPERLINK("https://klasma.github.io/Logging_2023/klagomålsmail/S 3189-2022 FSC-klagomål mail.docx", "S 3189-2022")</f>
        <v/>
      </c>
      <c r="AB59">
        <f>HYPERLINK("https://klasma.github.io/Logging_2023/tillsyn/S 3189-2022 tillsynsbegäran.docx", "S 3189-2022")</f>
        <v/>
      </c>
      <c r="AC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46223</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X60">
        <f>HYPERLINK("https://klasma.github.io/Logging_2023/kartor_geotiff/A 37770-2022 georefererad karta.tif", "A 37770-2022")</f>
        <v/>
      </c>
      <c r="Z60">
        <f>HYPERLINK("https://klasma.github.io/Logging_2023/klagomål/A 37770-2022 FSC-klagomål.docx", "A 37770-2022")</f>
        <v/>
      </c>
      <c r="AA60">
        <f>HYPERLINK("https://klasma.github.io/Logging_2023/klagomålsmail/A 37770-2022 FSC-klagomål mail.docx", "A 37770-2022")</f>
        <v/>
      </c>
      <c r="AB60">
        <f>HYPERLINK("https://klasma.github.io/Logging_2023/tillsyn/A 37770-2022 tillsynsbegäran.docx", "A 37770-2022")</f>
        <v/>
      </c>
      <c r="AC60">
        <f>HYPERLINK("https://klasma.github.io/Logging_2023/tillsynsmail/A 37770-2022 tillsynsbegäran mail.docx", "A 37770-2022")</f>
        <v/>
      </c>
    </row>
    <row r="61" ht="15" customHeight="1">
      <c r="A61" t="inlineStr">
        <is>
          <t>A 6165-2026</t>
        </is>
      </c>
      <c r="B61" t="inlineStr">
        <is>
          <t>avverkningsanmälan</t>
        </is>
      </c>
      <c r="C61" t="inlineStr">
        <is>
          <t>Föryngringsavverkning</t>
        </is>
      </c>
      <c r="D61" s="1" t="n">
        <v>46055</v>
      </c>
      <c r="E61" s="1" t="n">
        <v>46223</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s="2" t="inlineStr">
        <is>
          <t>Garnlav
Dvärgbägarlav
Vedskivlav
Tjäder</t>
        </is>
      </c>
      <c r="V61">
        <f>HYPERLINK("https://klasma.github.io/Logging_2023/artfynd/A 6165-2026 artfynd.xlsx", "A 6165-2026")</f>
        <v/>
      </c>
      <c r="W61">
        <f>HYPERLINK("https://klasma.github.io/Logging_2023/kartor/A 6165-2026 karta.png", "A 6165-2026")</f>
        <v/>
      </c>
      <c r="X61">
        <f>HYPERLINK("https://klasma.github.io/Logging_2023/kartor_geotiff/A 6165-2026 georefererad karta.tif", "A 6165-2026")</f>
        <v/>
      </c>
      <c r="Z61">
        <f>HYPERLINK("https://klasma.github.io/Logging_2023/klagomål/A 6165-2026 FSC-klagomål.docx", "A 6165-2026")</f>
        <v/>
      </c>
      <c r="AA61">
        <f>HYPERLINK("https://klasma.github.io/Logging_2023/klagomålsmail/A 6165-2026 FSC-klagomål mail.docx", "A 6165-2026")</f>
        <v/>
      </c>
      <c r="AB61">
        <f>HYPERLINK("https://klasma.github.io/Logging_2023/tillsyn/A 6165-2026 tillsynsbegäran.docx", "A 6165-2026")</f>
        <v/>
      </c>
      <c r="AC61">
        <f>HYPERLINK("https://klasma.github.io/Logging_2023/tillsynsmail/A 6165-2026 tillsynsbegäran mail.docx", "A 6165-2026")</f>
        <v/>
      </c>
      <c r="AD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46223</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s="2" t="inlineStr">
        <is>
          <t>Garnlav
Dropptaggsvamp
Motaggsvamp
Vedskivlav</t>
        </is>
      </c>
      <c r="V62">
        <f>HYPERLINK("https://klasma.github.io/Logging_2023/artfynd/A 55420-2025 artfynd.xlsx", "A 55420-2025")</f>
        <v/>
      </c>
      <c r="W62">
        <f>HYPERLINK("https://klasma.github.io/Logging_2023/kartor/A 55420-2025 karta.png", "A 55420-2025")</f>
        <v/>
      </c>
      <c r="X62">
        <f>HYPERLINK("https://klasma.github.io/Logging_2023/kartor_geotiff/A 55420-2025 georefererad karta.tif", "A 55420-2025")</f>
        <v/>
      </c>
      <c r="Z62">
        <f>HYPERLINK("https://klasma.github.io/Logging_2023/klagomål/A 55420-2025 FSC-klagomål.docx", "A 55420-2025")</f>
        <v/>
      </c>
      <c r="AA62">
        <f>HYPERLINK("https://klasma.github.io/Logging_2023/klagomålsmail/A 55420-2025 FSC-klagomål mail.docx", "A 55420-2025")</f>
        <v/>
      </c>
      <c r="AB62">
        <f>HYPERLINK("https://klasma.github.io/Logging_2023/tillsyn/A 55420-2025 tillsynsbegäran.docx", "A 55420-2025")</f>
        <v/>
      </c>
      <c r="AC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46223</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s="2" t="inlineStr">
        <is>
          <t>Garnlav
Kolflarnlav
Talltita
Tretåig hackspett</t>
        </is>
      </c>
      <c r="V63">
        <f>HYPERLINK("https://klasma.github.io/Logging_2023/artfynd/A 12901-2026 artfynd.xlsx", "A 12901-2026")</f>
        <v/>
      </c>
      <c r="W63">
        <f>HYPERLINK("https://klasma.github.io/Logging_2023/kartor/A 12901-2026 karta.png", "A 12901-2026")</f>
        <v/>
      </c>
      <c r="X63">
        <f>HYPERLINK("https://klasma.github.io/Logging_2023/kartor_geotiff/A 12901-2026 georefererad karta.tif", "A 12901-2026")</f>
        <v/>
      </c>
      <c r="Z63">
        <f>HYPERLINK("https://klasma.github.io/Logging_2023/klagomål/A 12901-2026 FSC-klagomål.docx", "A 12901-2026")</f>
        <v/>
      </c>
      <c r="AA63">
        <f>HYPERLINK("https://klasma.github.io/Logging_2023/klagomålsmail/A 12901-2026 FSC-klagomål mail.docx", "A 12901-2026")</f>
        <v/>
      </c>
      <c r="AB63">
        <f>HYPERLINK("https://klasma.github.io/Logging_2023/tillsyn/A 12901-2026 tillsynsbegäran.docx", "A 12901-2026")</f>
        <v/>
      </c>
      <c r="AC63">
        <f>HYPERLINK("https://klasma.github.io/Logging_2023/tillsynsmail/A 12901-2026 tillsynsbegäran mail.docx", "A 12901-2026")</f>
        <v/>
      </c>
      <c r="AD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46223</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s="2" t="inlineStr">
        <is>
          <t>Garnlav
Kolflarnlav
Lunglav
Vedflamlav</t>
        </is>
      </c>
      <c r="V64">
        <f>HYPERLINK("https://klasma.github.io/Logging_2023/artfynd/A 24972-2025 artfynd.xlsx", "A 24972-2025")</f>
        <v/>
      </c>
      <c r="W64">
        <f>HYPERLINK("https://klasma.github.io/Logging_2023/kartor/A 24972-2025 karta.png", "A 24972-2025")</f>
        <v/>
      </c>
      <c r="X64">
        <f>HYPERLINK("https://klasma.github.io/Logging_2023/kartor_geotiff/A 24972-2025 georefererad karta.tif", "A 24972-2025")</f>
        <v/>
      </c>
      <c r="Z64">
        <f>HYPERLINK("https://klasma.github.io/Logging_2023/klagomål/A 24972-2025 FSC-klagomål.docx", "A 24972-2025")</f>
        <v/>
      </c>
      <c r="AA64">
        <f>HYPERLINK("https://klasma.github.io/Logging_2023/klagomålsmail/A 24972-2025 FSC-klagomål mail.docx", "A 24972-2025")</f>
        <v/>
      </c>
      <c r="AB64">
        <f>HYPERLINK("https://klasma.github.io/Logging_2023/tillsyn/A 24972-2025 tillsynsbegäran.docx", "A 24972-2025")</f>
        <v/>
      </c>
      <c r="AC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46223</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X65">
        <f>HYPERLINK("https://klasma.github.io/Logging_2023/kartor_geotiff/A 52669-2021 georefererad karta.tif", "A 52669-2021")</f>
        <v/>
      </c>
      <c r="Z65">
        <f>HYPERLINK("https://klasma.github.io/Logging_2023/klagomål/A 52669-2021 FSC-klagomål.docx", "A 52669-2021")</f>
        <v/>
      </c>
      <c r="AA65">
        <f>HYPERLINK("https://klasma.github.io/Logging_2023/klagomålsmail/A 52669-2021 FSC-klagomål mail.docx", "A 52669-2021")</f>
        <v/>
      </c>
      <c r="AB65">
        <f>HYPERLINK("https://klasma.github.io/Logging_2023/tillsyn/A 52669-2021 tillsynsbegäran.docx", "A 52669-2021")</f>
        <v/>
      </c>
      <c r="AC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46223</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s="2" t="inlineStr">
        <is>
          <t>Lunglav
Korallblylav
Stuplav</t>
        </is>
      </c>
      <c r="V66">
        <f>HYPERLINK("https://klasma.github.io/Logging_2023/artfynd/A 21950-2024 artfynd.xlsx", "A 21950-2024")</f>
        <v/>
      </c>
      <c r="W66">
        <f>HYPERLINK("https://klasma.github.io/Logging_2023/kartor/A 21950-2024 karta.png", "A 21950-2024")</f>
        <v/>
      </c>
      <c r="X66">
        <f>HYPERLINK("https://klasma.github.io/Logging_2023/kartor_geotiff/A 21950-2024 georefererad karta.tif", "A 21950-2024")</f>
        <v/>
      </c>
      <c r="Z66">
        <f>HYPERLINK("https://klasma.github.io/Logging_2023/klagomål/A 21950-2024 FSC-klagomål.docx", "A 21950-2024")</f>
        <v/>
      </c>
      <c r="AA66">
        <f>HYPERLINK("https://klasma.github.io/Logging_2023/klagomålsmail/A 21950-2024 FSC-klagomål mail.docx", "A 21950-2024")</f>
        <v/>
      </c>
      <c r="AB66">
        <f>HYPERLINK("https://klasma.github.io/Logging_2023/tillsyn/A 21950-2024 tillsynsbegäran.docx", "A 21950-2024")</f>
        <v/>
      </c>
      <c r="AC66">
        <f>HYPERLINK("https://klasma.github.io/Logging_2023/tillsynsmail/A 21950-2024 tillsynsbegäran mail.docx", "A 21950-2024")</f>
        <v/>
      </c>
    </row>
    <row r="67" ht="15" customHeight="1">
      <c r="A67" t="inlineStr">
        <is>
          <t>A 39585-2025</t>
        </is>
      </c>
      <c r="B67" t="inlineStr">
        <is>
          <t>avverkningsanmälan</t>
        </is>
      </c>
      <c r="C67" t="inlineStr">
        <is>
          <t>Föryngringsavverkning</t>
        </is>
      </c>
      <c r="D67" s="1" t="n">
        <v>45890</v>
      </c>
      <c r="E67" s="1" t="n">
        <v>46223</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X67">
        <f>HYPERLINK("https://klasma.github.io/Logging_2023/kartor_geotiff/A 39585-2025 georefererad karta.tif", "A 39585-2025")</f>
        <v/>
      </c>
      <c r="Z67">
        <f>HYPERLINK("https://klasma.github.io/Logging_2023/klagomål/A 39585-2025 FSC-klagomål.docx", "A 39585-2025")</f>
        <v/>
      </c>
      <c r="AA67">
        <f>HYPERLINK("https://klasma.github.io/Logging_2023/klagomålsmail/A 39585-2025 FSC-klagomål mail.docx", "A 39585-2025")</f>
        <v/>
      </c>
      <c r="AB67">
        <f>HYPERLINK("https://klasma.github.io/Logging_2023/tillsyn/A 39585-2025 tillsynsbegäran.docx", "A 39585-2025")</f>
        <v/>
      </c>
      <c r="AC67">
        <f>HYPERLINK("https://klasma.github.io/Logging_2023/tillsynsmail/A 39585-2025 tillsynsbegäran mail.docx", "A 39585-2025")</f>
        <v/>
      </c>
      <c r="AD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46223</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s="2" t="inlineStr">
        <is>
          <t>Garnlav
Kolflarnlav
Mörk kolflarnlav</t>
        </is>
      </c>
      <c r="V68">
        <f>HYPERLINK("https://klasma.github.io/Logging_2023/artfynd/A 42099-2025 artfynd.xlsx", "A 42099-2025")</f>
        <v/>
      </c>
      <c r="W68">
        <f>HYPERLINK("https://klasma.github.io/Logging_2023/kartor/A 42099-2025 karta.png", "A 42099-2025")</f>
        <v/>
      </c>
      <c r="X68">
        <f>HYPERLINK("https://klasma.github.io/Logging_2023/kartor_geotiff/A 42099-2025 georefererad karta.tif", "A 42099-2025")</f>
        <v/>
      </c>
      <c r="Z68">
        <f>HYPERLINK("https://klasma.github.io/Logging_2023/klagomål/A 42099-2025 FSC-klagomål.docx", "A 42099-2025")</f>
        <v/>
      </c>
      <c r="AA68">
        <f>HYPERLINK("https://klasma.github.io/Logging_2023/klagomålsmail/A 42099-2025 FSC-klagomål mail.docx", "A 42099-2025")</f>
        <v/>
      </c>
      <c r="AB68">
        <f>HYPERLINK("https://klasma.github.io/Logging_2023/tillsyn/A 42099-2025 tillsynsbegäran.docx", "A 42099-2025")</f>
        <v/>
      </c>
      <c r="AC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46223</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s="2" t="inlineStr">
        <is>
          <t>Garnlav
Gammelgransskål
Violettgrå tagellav</t>
        </is>
      </c>
      <c r="V69">
        <f>HYPERLINK("https://klasma.github.io/Logging_2023/artfynd/A 34878-2022 artfynd.xlsx", "A 34878-2022")</f>
        <v/>
      </c>
      <c r="W69">
        <f>HYPERLINK("https://klasma.github.io/Logging_2023/kartor/A 34878-2022 karta.png", "A 34878-2022")</f>
        <v/>
      </c>
      <c r="X69">
        <f>HYPERLINK("https://klasma.github.io/Logging_2023/kartor_geotiff/A 34878-2022 georefererad karta.tif", "A 34878-2022")</f>
        <v/>
      </c>
      <c r="Z69">
        <f>HYPERLINK("https://klasma.github.io/Logging_2023/klagomål/A 34878-2022 FSC-klagomål.docx", "A 34878-2022")</f>
        <v/>
      </c>
      <c r="AA69">
        <f>HYPERLINK("https://klasma.github.io/Logging_2023/klagomålsmail/A 34878-2022 FSC-klagomål mail.docx", "A 34878-2022")</f>
        <v/>
      </c>
      <c r="AB69">
        <f>HYPERLINK("https://klasma.github.io/Logging_2023/tillsyn/A 34878-2022 tillsynsbegäran.docx", "A 34878-2022")</f>
        <v/>
      </c>
      <c r="AC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46223</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s="2" t="inlineStr">
        <is>
          <t>Garnlav
Kolflarnlav
Orre</t>
        </is>
      </c>
      <c r="V70">
        <f>HYPERLINK("https://klasma.github.io/Logging_2023/artfynd/A 13105-2026 artfynd.xlsx", "A 13105-2026")</f>
        <v/>
      </c>
      <c r="W70">
        <f>HYPERLINK("https://klasma.github.io/Logging_2023/kartor/A 13105-2026 karta.png", "A 13105-2026")</f>
        <v/>
      </c>
      <c r="X70">
        <f>HYPERLINK("https://klasma.github.io/Logging_2023/kartor_geotiff/A 13105-2026 georefererad karta.tif", "A 13105-2026")</f>
        <v/>
      </c>
      <c r="Z70">
        <f>HYPERLINK("https://klasma.github.io/Logging_2023/klagomål/A 13105-2026 FSC-klagomål.docx", "A 13105-2026")</f>
        <v/>
      </c>
      <c r="AA70">
        <f>HYPERLINK("https://klasma.github.io/Logging_2023/klagomålsmail/A 13105-2026 FSC-klagomål mail.docx", "A 13105-2026")</f>
        <v/>
      </c>
      <c r="AB70">
        <f>HYPERLINK("https://klasma.github.io/Logging_2023/tillsyn/A 13105-2026 tillsynsbegäran.docx", "A 13105-2026")</f>
        <v/>
      </c>
      <c r="AC70">
        <f>HYPERLINK("https://klasma.github.io/Logging_2023/tillsynsmail/A 13105-2026 tillsynsbegäran mail.docx", "A 13105-2026")</f>
        <v/>
      </c>
      <c r="AD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46223</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s="2" t="inlineStr">
        <is>
          <t>Bårdlav
Stuplav
Orre</t>
        </is>
      </c>
      <c r="V71">
        <f>HYPERLINK("https://klasma.github.io/Logging_2023/artfynd/A 42548-2023 artfynd.xlsx", "A 42548-2023")</f>
        <v/>
      </c>
      <c r="W71">
        <f>HYPERLINK("https://klasma.github.io/Logging_2023/kartor/A 42548-2023 karta.png", "A 42548-2023")</f>
        <v/>
      </c>
      <c r="X71">
        <f>HYPERLINK("https://klasma.github.io/Logging_2023/kartor_geotiff/A 42548-2023 georefererad karta.tif", "A 42548-2023")</f>
        <v/>
      </c>
      <c r="Z71">
        <f>HYPERLINK("https://klasma.github.io/Logging_2023/klagomål/A 42548-2023 FSC-klagomål.docx", "A 42548-2023")</f>
        <v/>
      </c>
      <c r="AA71">
        <f>HYPERLINK("https://klasma.github.io/Logging_2023/klagomålsmail/A 42548-2023 FSC-klagomål mail.docx", "A 42548-2023")</f>
        <v/>
      </c>
      <c r="AB71">
        <f>HYPERLINK("https://klasma.github.io/Logging_2023/tillsyn/A 42548-2023 tillsynsbegäran.docx", "A 42548-2023")</f>
        <v/>
      </c>
      <c r="AC71">
        <f>HYPERLINK("https://klasma.github.io/Logging_2023/tillsynsmail/A 42548-2023 tillsynsbegäran mail.docx", "A 42548-2023")</f>
        <v/>
      </c>
      <c r="AD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46223</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s="2" t="inlineStr">
        <is>
          <t>Garnlav
Gammelgransskål
Kattfotslav</t>
        </is>
      </c>
      <c r="V72">
        <f>HYPERLINK("https://klasma.github.io/Logging_2023/artfynd/A 16774-2025 artfynd.xlsx", "A 16774-2025")</f>
        <v/>
      </c>
      <c r="W72">
        <f>HYPERLINK("https://klasma.github.io/Logging_2023/kartor/A 16774-2025 karta.png", "A 16774-2025")</f>
        <v/>
      </c>
      <c r="X72">
        <f>HYPERLINK("https://klasma.github.io/Logging_2023/kartor_geotiff/A 16774-2025 georefererad karta.tif", "A 16774-2025")</f>
        <v/>
      </c>
      <c r="Z72">
        <f>HYPERLINK("https://klasma.github.io/Logging_2023/klagomål/A 16774-2025 FSC-klagomål.docx", "A 16774-2025")</f>
        <v/>
      </c>
      <c r="AA72">
        <f>HYPERLINK("https://klasma.github.io/Logging_2023/klagomålsmail/A 16774-2025 FSC-klagomål mail.docx", "A 16774-2025")</f>
        <v/>
      </c>
      <c r="AB72">
        <f>HYPERLINK("https://klasma.github.io/Logging_2023/tillsyn/A 16774-2025 tillsynsbegäran.docx", "A 16774-2025")</f>
        <v/>
      </c>
      <c r="AC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46223</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s="2" t="inlineStr">
        <is>
          <t>Garnlav
Kolflarnlav
Vedskivlav</t>
        </is>
      </c>
      <c r="V73">
        <f>HYPERLINK("https://klasma.github.io/Logging_2023/artfynd/A 9064-2025 artfynd.xlsx", "A 9064-2025")</f>
        <v/>
      </c>
      <c r="W73">
        <f>HYPERLINK("https://klasma.github.io/Logging_2023/kartor/A 9064-2025 karta.png", "A 9064-2025")</f>
        <v/>
      </c>
      <c r="X73">
        <f>HYPERLINK("https://klasma.github.io/Logging_2023/kartor_geotiff/A 9064-2025 georefererad karta.tif", "A 9064-2025")</f>
        <v/>
      </c>
      <c r="Z73">
        <f>HYPERLINK("https://klasma.github.io/Logging_2023/klagomål/A 9064-2025 FSC-klagomål.docx", "A 9064-2025")</f>
        <v/>
      </c>
      <c r="AA73">
        <f>HYPERLINK("https://klasma.github.io/Logging_2023/klagomålsmail/A 9064-2025 FSC-klagomål mail.docx", "A 9064-2025")</f>
        <v/>
      </c>
      <c r="AB73">
        <f>HYPERLINK("https://klasma.github.io/Logging_2023/tillsyn/A 9064-2025 tillsynsbegäran.docx", "A 9064-2025")</f>
        <v/>
      </c>
      <c r="AC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46223</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s="2" t="inlineStr">
        <is>
          <t>Talltita
Älg
Tjäder</t>
        </is>
      </c>
      <c r="V74">
        <f>HYPERLINK("https://klasma.github.io/Logging_2023/artfynd/S 563-2022 artfynd.xlsx", "S 563-2022")</f>
        <v/>
      </c>
      <c r="W74">
        <f>HYPERLINK("https://klasma.github.io/Logging_2023/kartor/S 563-2022 karta.png", "S 563-2022")</f>
        <v/>
      </c>
      <c r="X74">
        <f>HYPERLINK("https://klasma.github.io/Logging_2023/kartor_geotiff/S 563-2022 georefererad karta.tif", "S 563-2022")</f>
        <v/>
      </c>
      <c r="Z74">
        <f>HYPERLINK("https://klasma.github.io/Logging_2023/klagomål/S 563-2022 FSC-klagomål.docx", "S 563-2022")</f>
        <v/>
      </c>
      <c r="AA74">
        <f>HYPERLINK("https://klasma.github.io/Logging_2023/klagomålsmail/S 563-2022 FSC-klagomål mail.docx", "S 563-2022")</f>
        <v/>
      </c>
      <c r="AB74">
        <f>HYPERLINK("https://klasma.github.io/Logging_2023/tillsyn/S 563-2022 tillsynsbegäran.docx", "S 563-2022")</f>
        <v/>
      </c>
      <c r="AC74">
        <f>HYPERLINK("https://klasma.github.io/Logging_2023/tillsynsmail/S 563-2022 tillsynsbegäran mail.docx", "S 563-2022")</f>
        <v/>
      </c>
      <c r="AD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46223</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s="2" t="inlineStr">
        <is>
          <t>Kricka
Fjällvråk
Törnskata</t>
        </is>
      </c>
      <c r="V75">
        <f>HYPERLINK("https://klasma.github.io/Logging_2023/artfynd/S 201-2024 artfynd.xlsx", "S 201-2024")</f>
        <v/>
      </c>
      <c r="W75">
        <f>HYPERLINK("https://klasma.github.io/Logging_2023/kartor/S 201-2024 karta.png", "S 201-2024")</f>
        <v/>
      </c>
      <c r="X75">
        <f>HYPERLINK("https://klasma.github.io/Logging_2023/kartor_geotiff/S 201-2024 georefererad karta.tif", "S 201-2024")</f>
        <v/>
      </c>
      <c r="Z75">
        <f>HYPERLINK("https://klasma.github.io/Logging_2023/klagomål/S 201-2024 FSC-klagomål.docx", "S 201-2024")</f>
        <v/>
      </c>
      <c r="AA75">
        <f>HYPERLINK("https://klasma.github.io/Logging_2023/klagomålsmail/S 201-2024 FSC-klagomål mail.docx", "S 201-2024")</f>
        <v/>
      </c>
      <c r="AB75">
        <f>HYPERLINK("https://klasma.github.io/Logging_2023/tillsyn/S 201-2024 tillsynsbegäran.docx", "S 201-2024")</f>
        <v/>
      </c>
      <c r="AC75">
        <f>HYPERLINK("https://klasma.github.io/Logging_2023/tillsynsmail/S 201-2024 tillsynsbegäran mail.docx", "S 201-2024")</f>
        <v/>
      </c>
      <c r="AD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46223</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X76">
        <f>HYPERLINK("https://klasma.github.io/Logging_2023/kartor_geotiff/S 2496-2025 georefererad karta.tif", "S 2496-2025")</f>
        <v/>
      </c>
      <c r="Z76">
        <f>HYPERLINK("https://klasma.github.io/Logging_2023/klagomål/S 2496-2025 FSC-klagomål.docx", "S 2496-2025")</f>
        <v/>
      </c>
      <c r="AA76">
        <f>HYPERLINK("https://klasma.github.io/Logging_2023/klagomålsmail/S 2496-2025 FSC-klagomål mail.docx", "S 2496-2025")</f>
        <v/>
      </c>
      <c r="AB76">
        <f>HYPERLINK("https://klasma.github.io/Logging_2023/tillsyn/S 2496-2025 tillsynsbegäran.docx", "S 2496-2025")</f>
        <v/>
      </c>
      <c r="AC76">
        <f>HYPERLINK("https://klasma.github.io/Logging_2023/tillsynsmail/S 2496-2025 tillsynsbegäran mail.docx", "S 2496-2025")</f>
        <v/>
      </c>
      <c r="AD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46223</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X77">
        <f>HYPERLINK("https://klasma.github.io/Logging_2023/kartor_geotiff/A 21081-2022 georefererad karta.tif", "A 21081-2022")</f>
        <v/>
      </c>
      <c r="Z77">
        <f>HYPERLINK("https://klasma.github.io/Logging_2023/klagomål/A 21081-2022 FSC-klagomål.docx", "A 21081-2022")</f>
        <v/>
      </c>
      <c r="AA77">
        <f>HYPERLINK("https://klasma.github.io/Logging_2023/klagomålsmail/A 21081-2022 FSC-klagomål mail.docx", "A 21081-2022")</f>
        <v/>
      </c>
      <c r="AB77">
        <f>HYPERLINK("https://klasma.github.io/Logging_2023/tillsyn/A 21081-2022 tillsynsbegäran.docx", "A 21081-2022")</f>
        <v/>
      </c>
      <c r="AC77">
        <f>HYPERLINK("https://klasma.github.io/Logging_2023/tillsynsmail/A 21081-2022 tillsynsbegäran mail.docx", "A 21081-2022")</f>
        <v/>
      </c>
      <c r="AD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46223</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HYPERLINK("https://klasma.github.io/Logging_2023/kartor_geotiff/A 40354-2025 georefererad karta.tif", "A 40354-2025")</f>
        <v/>
      </c>
      <c r="Y78">
        <f>HYPERLINK("https://klasma.github.io/Logging_2023/knärot/A 40354-2025 karta knärot.png", "A 40354-2025")</f>
        <v/>
      </c>
      <c r="Z78">
        <f>HYPERLINK("https://klasma.github.io/Logging_2023/klagomål/A 40354-2025 FSC-klagomål.docx", "A 40354-2025")</f>
        <v/>
      </c>
      <c r="AA78">
        <f>HYPERLINK("https://klasma.github.io/Logging_2023/klagomålsmail/A 40354-2025 FSC-klagomål mail.docx", "A 40354-2025")</f>
        <v/>
      </c>
      <c r="AB78">
        <f>HYPERLINK("https://klasma.github.io/Logging_2023/tillsyn/A 40354-2025 tillsynsbegäran.docx", "A 40354-2025")</f>
        <v/>
      </c>
      <c r="AC78">
        <f>HYPERLINK("https://klasma.github.io/Logging_2023/tillsynsmail/A 40354-2025 tillsynsbegäran mail.docx", "A 40354-2025")</f>
        <v/>
      </c>
    </row>
    <row r="79" ht="15" customHeight="1">
      <c r="A79" t="inlineStr">
        <is>
          <t>A 30728-2025</t>
        </is>
      </c>
      <c r="B79" t="inlineStr">
        <is>
          <t>avverkningsanmälan</t>
        </is>
      </c>
      <c r="C79" t="inlineStr">
        <is>
          <t>Föryngringsavverkning</t>
        </is>
      </c>
      <c r="D79" s="1" t="n">
        <v>45831</v>
      </c>
      <c r="E79" s="1" t="n">
        <v>46223</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s="2" t="inlineStr">
        <is>
          <t>Garnlav
Violettgrå tagellav</t>
        </is>
      </c>
      <c r="V79">
        <f>HYPERLINK("https://klasma.github.io/Logging_2023/artfynd/A 30728-2025 artfynd.xlsx", "A 30728-2025")</f>
        <v/>
      </c>
      <c r="W79">
        <f>HYPERLINK("https://klasma.github.io/Logging_2023/kartor/A 30728-2025 karta.png", "A 30728-2025")</f>
        <v/>
      </c>
      <c r="X79">
        <f>HYPERLINK("https://klasma.github.io/Logging_2023/kartor_geotiff/A 30728-2025 georefererad karta.tif", "A 30728-2025")</f>
        <v/>
      </c>
      <c r="Z79">
        <f>HYPERLINK("https://klasma.github.io/Logging_2023/klagomål/A 30728-2025 FSC-klagomål.docx", "A 30728-2025")</f>
        <v/>
      </c>
      <c r="AA79">
        <f>HYPERLINK("https://klasma.github.io/Logging_2023/klagomålsmail/A 30728-2025 FSC-klagomål mail.docx", "A 30728-2025")</f>
        <v/>
      </c>
      <c r="AB79">
        <f>HYPERLINK("https://klasma.github.io/Logging_2023/tillsyn/A 30728-2025 tillsynsbegäran.docx", "A 30728-2025")</f>
        <v/>
      </c>
      <c r="AC79">
        <f>HYPERLINK("https://klasma.github.io/Logging_2023/tillsynsmail/A 30728-2025 tillsynsbegäran mail.docx", "A 30728-2025")</f>
        <v/>
      </c>
    </row>
    <row r="80" ht="15" customHeight="1">
      <c r="A80" t="inlineStr">
        <is>
          <t>A 30552-2025</t>
        </is>
      </c>
      <c r="B80" t="inlineStr">
        <is>
          <t>avverkningsanmälan</t>
        </is>
      </c>
      <c r="C80" t="inlineStr">
        <is>
          <t>Föryngringsavverkning</t>
        </is>
      </c>
      <c r="D80" s="1" t="n">
        <v>45831</v>
      </c>
      <c r="E80" s="1" t="n">
        <v>46223</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s="2" t="inlineStr">
        <is>
          <t>Garnlav
Mörk husmossa</t>
        </is>
      </c>
      <c r="V80">
        <f>HYPERLINK("https://klasma.github.io/Logging_2023/artfynd/A 30552-2025 artfynd.xlsx", "A 30552-2025")</f>
        <v/>
      </c>
      <c r="W80">
        <f>HYPERLINK("https://klasma.github.io/Logging_2023/kartor/A 30552-2025 karta.png", "A 30552-2025")</f>
        <v/>
      </c>
      <c r="X80">
        <f>HYPERLINK("https://klasma.github.io/Logging_2023/kartor_geotiff/A 30552-2025 georefererad karta.tif", "A 30552-2025")</f>
        <v/>
      </c>
      <c r="Z80">
        <f>HYPERLINK("https://klasma.github.io/Logging_2023/klagomål/A 30552-2025 FSC-klagomål.docx", "A 30552-2025")</f>
        <v/>
      </c>
      <c r="AA80">
        <f>HYPERLINK("https://klasma.github.io/Logging_2023/klagomålsmail/A 30552-2025 FSC-klagomål mail.docx", "A 30552-2025")</f>
        <v/>
      </c>
      <c r="AB80">
        <f>HYPERLINK("https://klasma.github.io/Logging_2023/tillsyn/A 30552-2025 tillsynsbegäran.docx", "A 30552-2025")</f>
        <v/>
      </c>
      <c r="AC80">
        <f>HYPERLINK("https://klasma.github.io/Logging_2023/tillsynsmail/A 30552-2025 tillsynsbegäran mail.docx", "A 30552-2025")</f>
        <v/>
      </c>
    </row>
    <row r="81" ht="15" customHeight="1">
      <c r="A81" t="inlineStr">
        <is>
          <t>A 46348-2025</t>
        </is>
      </c>
      <c r="B81" t="inlineStr">
        <is>
          <t>avverkningsanmälan</t>
        </is>
      </c>
      <c r="C81" t="inlineStr">
        <is>
          <t>Föryngringsavverkning</t>
        </is>
      </c>
      <c r="D81" s="1" t="n">
        <v>45925</v>
      </c>
      <c r="E81" s="1" t="n">
        <v>46223</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s="2" t="inlineStr">
        <is>
          <t>Garnlav
Kolflarnlav</t>
        </is>
      </c>
      <c r="V81">
        <f>HYPERLINK("https://klasma.github.io/Logging_2023/artfynd/A 46348-2025 artfynd.xlsx", "A 46348-2025")</f>
        <v/>
      </c>
      <c r="W81">
        <f>HYPERLINK("https://klasma.github.io/Logging_2023/kartor/A 46348-2025 karta.png", "A 46348-2025")</f>
        <v/>
      </c>
      <c r="X81">
        <f>HYPERLINK("https://klasma.github.io/Logging_2023/kartor_geotiff/A 46348-2025 georefererad karta.tif", "A 46348-2025")</f>
        <v/>
      </c>
      <c r="Z81">
        <f>HYPERLINK("https://klasma.github.io/Logging_2023/klagomål/A 46348-2025 FSC-klagomål.docx", "A 46348-2025")</f>
        <v/>
      </c>
      <c r="AA81">
        <f>HYPERLINK("https://klasma.github.io/Logging_2023/klagomålsmail/A 46348-2025 FSC-klagomål mail.docx", "A 46348-2025")</f>
        <v/>
      </c>
      <c r="AB81">
        <f>HYPERLINK("https://klasma.github.io/Logging_2023/tillsyn/A 46348-2025 tillsynsbegäran.docx", "A 46348-2025")</f>
        <v/>
      </c>
      <c r="AC81">
        <f>HYPERLINK("https://klasma.github.io/Logging_2023/tillsynsmail/A 46348-2025 tillsynsbegäran mail.docx", "A 46348-2025")</f>
        <v/>
      </c>
    </row>
    <row r="82" ht="15" customHeight="1">
      <c r="A82" t="inlineStr">
        <is>
          <t>A 1252-2023</t>
        </is>
      </c>
      <c r="B82" t="inlineStr">
        <is>
          <t>avverkningsanmälan</t>
        </is>
      </c>
      <c r="C82" t="inlineStr">
        <is>
          <t>Föryngringsavverkning</t>
        </is>
      </c>
      <c r="D82" s="1" t="n">
        <v>44936</v>
      </c>
      <c r="E82" s="1" t="n">
        <v>46223</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s="2" t="inlineStr">
        <is>
          <t>Mustaschfladdermus
Tajgafladdermus</t>
        </is>
      </c>
      <c r="V82">
        <f>HYPERLINK("https://klasma.github.io/Logging_2023/artfynd/A 1252-2023 artfynd.xlsx", "A 1252-2023")</f>
        <v/>
      </c>
      <c r="W82">
        <f>HYPERLINK("https://klasma.github.io/Logging_2023/kartor/A 1252-2023 karta.png", "A 1252-2023")</f>
        <v/>
      </c>
      <c r="X82">
        <f>HYPERLINK("https://klasma.github.io/Logging_2023/kartor_geotiff/A 1252-2023 georefererad karta.tif", "A 1252-2023")</f>
        <v/>
      </c>
      <c r="Z82">
        <f>HYPERLINK("https://klasma.github.io/Logging_2023/klagomål/A 1252-2023 FSC-klagomål.docx", "A 1252-2023")</f>
        <v/>
      </c>
      <c r="AA82">
        <f>HYPERLINK("https://klasma.github.io/Logging_2023/klagomålsmail/A 1252-2023 FSC-klagomål mail.docx", "A 1252-2023")</f>
        <v/>
      </c>
      <c r="AB82">
        <f>HYPERLINK("https://klasma.github.io/Logging_2023/tillsyn/A 1252-2023 tillsynsbegäran.docx", "A 1252-2023")</f>
        <v/>
      </c>
      <c r="AC82">
        <f>HYPERLINK("https://klasma.github.io/Logging_2023/tillsynsmail/A 1252-2023 tillsynsbegäran mail.docx", "A 1252-2023")</f>
        <v/>
      </c>
    </row>
    <row r="83" ht="15" customHeight="1">
      <c r="A83" t="inlineStr">
        <is>
          <t>A 60407-2025</t>
        </is>
      </c>
      <c r="B83" t="inlineStr">
        <is>
          <t>avverkningsanmälan</t>
        </is>
      </c>
      <c r="C83" t="inlineStr">
        <is>
          <t>Avverkning för att bevara och utveckla /försöksver</t>
        </is>
      </c>
      <c r="D83" s="1" t="n">
        <v>45995</v>
      </c>
      <c r="E83" s="1" t="n">
        <v>46223</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s="2" t="inlineStr">
        <is>
          <t>Kungsfågel
Ärtsångare</t>
        </is>
      </c>
      <c r="V83">
        <f>HYPERLINK("https://klasma.github.io/Logging_2023/artfynd/A 60407-2025 artfynd.xlsx", "A 60407-2025")</f>
        <v/>
      </c>
      <c r="W83">
        <f>HYPERLINK("https://klasma.github.io/Logging_2023/kartor/A 60407-2025 karta.png", "A 60407-2025")</f>
        <v/>
      </c>
      <c r="X83">
        <f>HYPERLINK("https://klasma.github.io/Logging_2023/kartor_geotiff/A 60407-2025 georefererad karta.tif", "A 60407-2025")</f>
        <v/>
      </c>
      <c r="Z83">
        <f>HYPERLINK("https://klasma.github.io/Logging_2023/klagomål/A 60407-2025 FSC-klagomål.docx", "A 60407-2025")</f>
        <v/>
      </c>
      <c r="AA83">
        <f>HYPERLINK("https://klasma.github.io/Logging_2023/klagomålsmail/A 60407-2025 FSC-klagomål mail.docx", "A 60407-2025")</f>
        <v/>
      </c>
      <c r="AB83">
        <f>HYPERLINK("https://klasma.github.io/Logging_2023/tillsyn/A 60407-2025 tillsynsbegäran.docx", "A 60407-2025")</f>
        <v/>
      </c>
      <c r="AC83">
        <f>HYPERLINK("https://klasma.github.io/Logging_2023/tillsynsmail/A 60407-2025 tillsynsbegäran mail.docx", "A 60407-2025")</f>
        <v/>
      </c>
    </row>
    <row r="84" ht="15" customHeight="1">
      <c r="A84" t="inlineStr">
        <is>
          <t>A 61974-2021</t>
        </is>
      </c>
      <c r="B84" t="inlineStr">
        <is>
          <t>avverkningsanmälan</t>
        </is>
      </c>
      <c r="C84" t="inlineStr">
        <is>
          <t>Föryngringsavverkning</t>
        </is>
      </c>
      <c r="D84" s="1" t="n">
        <v>44501</v>
      </c>
      <c r="E84" s="1" t="n">
        <v>46223</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s="2" t="inlineStr">
        <is>
          <t>Garnlav
Tjäder</t>
        </is>
      </c>
      <c r="V84">
        <f>HYPERLINK("https://klasma.github.io/Logging_2023/artfynd/A 61974-2021 artfynd.xlsx", "A 61974-2021")</f>
        <v/>
      </c>
      <c r="W84">
        <f>HYPERLINK("https://klasma.github.io/Logging_2023/kartor/A 61974-2021 karta.png", "A 61974-2021")</f>
        <v/>
      </c>
      <c r="X84">
        <f>HYPERLINK("https://klasma.github.io/Logging_2023/kartor_geotiff/A 61974-2021 georefererad karta.tif", "A 61974-2021")</f>
        <v/>
      </c>
      <c r="Z84">
        <f>HYPERLINK("https://klasma.github.io/Logging_2023/klagomål/A 61974-2021 FSC-klagomål.docx", "A 61974-2021")</f>
        <v/>
      </c>
      <c r="AA84">
        <f>HYPERLINK("https://klasma.github.io/Logging_2023/klagomålsmail/A 61974-2021 FSC-klagomål mail.docx", "A 61974-2021")</f>
        <v/>
      </c>
      <c r="AB84">
        <f>HYPERLINK("https://klasma.github.io/Logging_2023/tillsyn/A 61974-2021 tillsynsbegäran.docx", "A 61974-2021")</f>
        <v/>
      </c>
      <c r="AC84">
        <f>HYPERLINK("https://klasma.github.io/Logging_2023/tillsynsmail/A 61974-2021 tillsynsbegäran mail.docx", "A 61974-2021")</f>
        <v/>
      </c>
      <c r="AD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46223</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s="2" t="inlineStr">
        <is>
          <t>Kolflarnlav
Talltita</t>
        </is>
      </c>
      <c r="V85">
        <f>HYPERLINK("https://klasma.github.io/Logging_2023/artfynd/A 9199-2025 artfynd.xlsx", "A 9199-2025")</f>
        <v/>
      </c>
      <c r="W85">
        <f>HYPERLINK("https://klasma.github.io/Logging_2023/kartor/A 9199-2025 karta.png", "A 9199-2025")</f>
        <v/>
      </c>
      <c r="X85">
        <f>HYPERLINK("https://klasma.github.io/Logging_2023/kartor_geotiff/A 9199-2025 georefererad karta.tif", "A 9199-2025")</f>
        <v/>
      </c>
      <c r="Z85">
        <f>HYPERLINK("https://klasma.github.io/Logging_2023/klagomål/A 9199-2025 FSC-klagomål.docx", "A 9199-2025")</f>
        <v/>
      </c>
      <c r="AA85">
        <f>HYPERLINK("https://klasma.github.io/Logging_2023/klagomålsmail/A 9199-2025 FSC-klagomål mail.docx", "A 9199-2025")</f>
        <v/>
      </c>
      <c r="AB85">
        <f>HYPERLINK("https://klasma.github.io/Logging_2023/tillsyn/A 9199-2025 tillsynsbegäran.docx", "A 9199-2025")</f>
        <v/>
      </c>
      <c r="AC85">
        <f>HYPERLINK("https://klasma.github.io/Logging_2023/tillsynsmail/A 9199-2025 tillsynsbegäran mail.docx", "A 9199-2025")</f>
        <v/>
      </c>
      <c r="AD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46223</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s="2" t="inlineStr">
        <is>
          <t>Garnlav
Violettgrå tagellav</t>
        </is>
      </c>
      <c r="V86">
        <f>HYPERLINK("https://klasma.github.io/Logging_2023/artfynd/A 12636-2022 artfynd.xlsx", "A 12636-2022")</f>
        <v/>
      </c>
      <c r="W86">
        <f>HYPERLINK("https://klasma.github.io/Logging_2023/kartor/A 12636-2022 karta.png", "A 12636-2022")</f>
        <v/>
      </c>
      <c r="X86">
        <f>HYPERLINK("https://klasma.github.io/Logging_2023/kartor_geotiff/A 12636-2022 georefererad karta.tif", "A 12636-2022")</f>
        <v/>
      </c>
      <c r="Z86">
        <f>HYPERLINK("https://klasma.github.io/Logging_2023/klagomål/A 12636-2022 FSC-klagomål.docx", "A 12636-2022")</f>
        <v/>
      </c>
      <c r="AA86">
        <f>HYPERLINK("https://klasma.github.io/Logging_2023/klagomålsmail/A 12636-2022 FSC-klagomål mail.docx", "A 12636-2022")</f>
        <v/>
      </c>
      <c r="AB86">
        <f>HYPERLINK("https://klasma.github.io/Logging_2023/tillsyn/A 12636-2022 tillsynsbegäran.docx", "A 12636-2022")</f>
        <v/>
      </c>
      <c r="AC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46223</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s="2" t="inlineStr">
        <is>
          <t>Norsk näverlav
Skuggblåslav</t>
        </is>
      </c>
      <c r="V87">
        <f>HYPERLINK("https://klasma.github.io/Logging_2023/artfynd/A 27212-2022 artfynd.xlsx", "A 27212-2022")</f>
        <v/>
      </c>
      <c r="W87">
        <f>HYPERLINK("https://klasma.github.io/Logging_2023/kartor/A 27212-2022 karta.png", "A 27212-2022")</f>
        <v/>
      </c>
      <c r="X87">
        <f>HYPERLINK("https://klasma.github.io/Logging_2023/kartor_geotiff/A 27212-2022 georefererad karta.tif", "A 27212-2022")</f>
        <v/>
      </c>
      <c r="Z87">
        <f>HYPERLINK("https://klasma.github.io/Logging_2023/klagomål/A 27212-2022 FSC-klagomål.docx", "A 27212-2022")</f>
        <v/>
      </c>
      <c r="AA87">
        <f>HYPERLINK("https://klasma.github.io/Logging_2023/klagomålsmail/A 27212-2022 FSC-klagomål mail.docx", "A 27212-2022")</f>
        <v/>
      </c>
      <c r="AB87">
        <f>HYPERLINK("https://klasma.github.io/Logging_2023/tillsyn/A 27212-2022 tillsynsbegäran.docx", "A 27212-2022")</f>
        <v/>
      </c>
      <c r="AC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46223</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s="2" t="inlineStr">
        <is>
          <t>Doftskinn
Lunglav</t>
        </is>
      </c>
      <c r="V88">
        <f>HYPERLINK("https://klasma.github.io/Logging_2023/artfynd/A 54490-2023 artfynd.xlsx", "A 54490-2023")</f>
        <v/>
      </c>
      <c r="W88">
        <f>HYPERLINK("https://klasma.github.io/Logging_2023/kartor/A 54490-2023 karta.png", "A 54490-2023")</f>
        <v/>
      </c>
      <c r="X88">
        <f>HYPERLINK("https://klasma.github.io/Logging_2023/kartor_geotiff/A 54490-2023 georefererad karta.tif", "A 54490-2023")</f>
        <v/>
      </c>
      <c r="Z88">
        <f>HYPERLINK("https://klasma.github.io/Logging_2023/klagomål/A 54490-2023 FSC-klagomål.docx", "A 54490-2023")</f>
        <v/>
      </c>
      <c r="AA88">
        <f>HYPERLINK("https://klasma.github.io/Logging_2023/klagomålsmail/A 54490-2023 FSC-klagomål mail.docx", "A 54490-2023")</f>
        <v/>
      </c>
      <c r="AB88">
        <f>HYPERLINK("https://klasma.github.io/Logging_2023/tillsyn/A 54490-2023 tillsynsbegäran.docx", "A 54490-2023")</f>
        <v/>
      </c>
      <c r="AC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46223</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X89">
        <f>HYPERLINK("https://klasma.github.io/Logging_2023/kartor_geotiff/S 3188-2022 georefererad karta.tif", "S 3188-2022")</f>
        <v/>
      </c>
      <c r="Z89">
        <f>HYPERLINK("https://klasma.github.io/Logging_2023/klagomål/S 3188-2022 FSC-klagomål.docx", "S 3188-2022")</f>
        <v/>
      </c>
      <c r="AA89">
        <f>HYPERLINK("https://klasma.github.io/Logging_2023/klagomålsmail/S 3188-2022 FSC-klagomål mail.docx", "S 3188-2022")</f>
        <v/>
      </c>
      <c r="AB89">
        <f>HYPERLINK("https://klasma.github.io/Logging_2023/tillsyn/S 3188-2022 tillsynsbegäran.docx", "S 3188-2022")</f>
        <v/>
      </c>
      <c r="AC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46223</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X90">
        <f>HYPERLINK("https://klasma.github.io/Logging_2023/kartor_geotiff/A 47386-2021 georefererad karta.tif", "A 47386-2021")</f>
        <v/>
      </c>
      <c r="Z90">
        <f>HYPERLINK("https://klasma.github.io/Logging_2023/klagomål/A 47386-2021 FSC-klagomål.docx", "A 47386-2021")</f>
        <v/>
      </c>
      <c r="AA90">
        <f>HYPERLINK("https://klasma.github.io/Logging_2023/klagomålsmail/A 47386-2021 FSC-klagomål mail.docx", "A 47386-2021")</f>
        <v/>
      </c>
      <c r="AB90">
        <f>HYPERLINK("https://klasma.github.io/Logging_2023/tillsyn/A 47386-2021 tillsynsbegäran.docx", "A 47386-2021")</f>
        <v/>
      </c>
      <c r="AC90">
        <f>HYPERLINK("https://klasma.github.io/Logging_2023/tillsynsmail/A 47386-2021 tillsynsbegäran mail.docx", "A 47386-2021")</f>
        <v/>
      </c>
      <c r="AD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46223</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X91">
        <f>HYPERLINK("https://klasma.github.io/Logging_2023/kartor_geotiff/A 42981-2021 georefererad karta.tif", "A 42981-2021")</f>
        <v/>
      </c>
      <c r="Z91">
        <f>HYPERLINK("https://klasma.github.io/Logging_2023/klagomål/A 42981-2021 FSC-klagomål.docx", "A 42981-2021")</f>
        <v/>
      </c>
      <c r="AA91">
        <f>HYPERLINK("https://klasma.github.io/Logging_2023/klagomålsmail/A 42981-2021 FSC-klagomål mail.docx", "A 42981-2021")</f>
        <v/>
      </c>
      <c r="AB91">
        <f>HYPERLINK("https://klasma.github.io/Logging_2023/tillsyn/A 42981-2021 tillsynsbegäran.docx", "A 42981-2021")</f>
        <v/>
      </c>
      <c r="AC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46223</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X92">
        <f>HYPERLINK("https://klasma.github.io/Logging_2023/kartor_geotiff/A 23476-2022 georefererad karta.tif", "A 23476-2022")</f>
        <v/>
      </c>
      <c r="Z92">
        <f>HYPERLINK("https://klasma.github.io/Logging_2023/klagomål/A 23476-2022 FSC-klagomål.docx", "A 23476-2022")</f>
        <v/>
      </c>
      <c r="AA92">
        <f>HYPERLINK("https://klasma.github.io/Logging_2023/klagomålsmail/A 23476-2022 FSC-klagomål mail.docx", "A 23476-2022")</f>
        <v/>
      </c>
      <c r="AB92">
        <f>HYPERLINK("https://klasma.github.io/Logging_2023/tillsyn/A 23476-2022 tillsynsbegäran.docx", "A 23476-2022")</f>
        <v/>
      </c>
      <c r="AC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46223</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s="2" t="inlineStr">
        <is>
          <t>Kungsörn</t>
        </is>
      </c>
      <c r="V93">
        <f>HYPERLINK("https://klasma.github.io/Logging_2023/artfynd/A 32068-2023 artfynd.xlsx", "A 32068-2023")</f>
        <v/>
      </c>
      <c r="W93">
        <f>HYPERLINK("https://klasma.github.io/Logging_2023/kartor/A 32068-2023 karta.png", "A 32068-2023")</f>
        <v/>
      </c>
      <c r="X93">
        <f>HYPERLINK("https://klasma.github.io/Logging_2023/kartor_geotiff/A 32068-2023 georefererad karta.tif", "A 32068-2023")</f>
        <v/>
      </c>
      <c r="Z93">
        <f>HYPERLINK("https://klasma.github.io/Logging_2023/klagomål/A 32068-2023 FSC-klagomål.docx", "A 32068-2023")</f>
        <v/>
      </c>
      <c r="AA93">
        <f>HYPERLINK("https://klasma.github.io/Logging_2023/klagomålsmail/A 32068-2023 FSC-klagomål mail.docx", "A 32068-2023")</f>
        <v/>
      </c>
      <c r="AB93">
        <f>HYPERLINK("https://klasma.github.io/Logging_2023/tillsyn/A 32068-2023 tillsynsbegäran.docx", "A 32068-2023")</f>
        <v/>
      </c>
      <c r="AC93">
        <f>HYPERLINK("https://klasma.github.io/Logging_2023/tillsynsmail/A 32068-2023 tillsynsbegäran mail.docx", "A 32068-2023")</f>
        <v/>
      </c>
      <c r="AD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46223</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s="2" t="inlineStr">
        <is>
          <t>Orre</t>
        </is>
      </c>
      <c r="V94">
        <f>HYPERLINK("https://klasma.github.io/Logging_2023/artfynd/A 67320-2021 artfynd.xlsx", "A 67320-2021")</f>
        <v/>
      </c>
      <c r="W94">
        <f>HYPERLINK("https://klasma.github.io/Logging_2023/kartor/A 67320-2021 karta.png", "A 67320-2021")</f>
        <v/>
      </c>
      <c r="X94">
        <f>HYPERLINK("https://klasma.github.io/Logging_2023/kartor_geotiff/A 67320-2021 georefererad karta.tif", "A 67320-2021")</f>
        <v/>
      </c>
      <c r="Z94">
        <f>HYPERLINK("https://klasma.github.io/Logging_2023/klagomål/A 67320-2021 FSC-klagomål.docx", "A 67320-2021")</f>
        <v/>
      </c>
      <c r="AA94">
        <f>HYPERLINK("https://klasma.github.io/Logging_2023/klagomålsmail/A 67320-2021 FSC-klagomål mail.docx", "A 67320-2021")</f>
        <v/>
      </c>
      <c r="AB94">
        <f>HYPERLINK("https://klasma.github.io/Logging_2023/tillsyn/A 67320-2021 tillsynsbegäran.docx", "A 67320-2021")</f>
        <v/>
      </c>
      <c r="AC94">
        <f>HYPERLINK("https://klasma.github.io/Logging_2023/tillsynsmail/A 67320-2021 tillsynsbegäran mail.docx", "A 67320-2021")</f>
        <v/>
      </c>
      <c r="AD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46223</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s="2" t="inlineStr">
        <is>
          <t>Garnlav</t>
        </is>
      </c>
      <c r="V95">
        <f>HYPERLINK("https://klasma.github.io/Logging_2023/artfynd/A 36928-2024 artfynd.xlsx", "A 36928-2024")</f>
        <v/>
      </c>
      <c r="W95">
        <f>HYPERLINK("https://klasma.github.io/Logging_2023/kartor/A 36928-2024 karta.png", "A 36928-2024")</f>
        <v/>
      </c>
      <c r="X95">
        <f>HYPERLINK("https://klasma.github.io/Logging_2023/kartor_geotiff/A 36928-2024 georefererad karta.tif", "A 36928-2024")</f>
        <v/>
      </c>
      <c r="Z95">
        <f>HYPERLINK("https://klasma.github.io/Logging_2023/klagomål/A 36928-2024 FSC-klagomål.docx", "A 36928-2024")</f>
        <v/>
      </c>
      <c r="AA95">
        <f>HYPERLINK("https://klasma.github.io/Logging_2023/klagomålsmail/A 36928-2024 FSC-klagomål mail.docx", "A 36928-2024")</f>
        <v/>
      </c>
      <c r="AB95">
        <f>HYPERLINK("https://klasma.github.io/Logging_2023/tillsyn/A 36928-2024 tillsynsbegäran.docx", "A 36928-2024")</f>
        <v/>
      </c>
      <c r="AC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46223</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s="2" t="inlineStr">
        <is>
          <t>Mosippa</t>
        </is>
      </c>
      <c r="V96">
        <f>HYPERLINK("https://klasma.github.io/Logging_2023/artfynd/A 60246-2022 artfynd.xlsx", "A 60246-2022")</f>
        <v/>
      </c>
      <c r="W96">
        <f>HYPERLINK("https://klasma.github.io/Logging_2023/kartor/A 60246-2022 karta.png", "A 60246-2022")</f>
        <v/>
      </c>
      <c r="X96">
        <f>HYPERLINK("https://klasma.github.io/Logging_2023/kartor_geotiff/A 60246-2022 georefererad karta.tif", "A 60246-2022")</f>
        <v/>
      </c>
      <c r="Z96">
        <f>HYPERLINK("https://klasma.github.io/Logging_2023/klagomål/A 60246-2022 FSC-klagomål.docx", "A 60246-2022")</f>
        <v/>
      </c>
      <c r="AA96">
        <f>HYPERLINK("https://klasma.github.io/Logging_2023/klagomålsmail/A 60246-2022 FSC-klagomål mail.docx", "A 60246-2022")</f>
        <v/>
      </c>
      <c r="AB96">
        <f>HYPERLINK("https://klasma.github.io/Logging_2023/tillsyn/A 60246-2022 tillsynsbegäran.docx", "A 60246-2022")</f>
        <v/>
      </c>
      <c r="AC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46223</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s="2" t="inlineStr">
        <is>
          <t>Spillkråka</t>
        </is>
      </c>
      <c r="V97">
        <f>HYPERLINK("https://klasma.github.io/Logging_2023/artfynd/A 24959-2024 artfynd.xlsx", "A 24959-2024")</f>
        <v/>
      </c>
      <c r="W97">
        <f>HYPERLINK("https://klasma.github.io/Logging_2023/kartor/A 24959-2024 karta.png", "A 24959-2024")</f>
        <v/>
      </c>
      <c r="X97">
        <f>HYPERLINK("https://klasma.github.io/Logging_2023/kartor_geotiff/A 24959-2024 georefererad karta.tif", "A 24959-2024")</f>
        <v/>
      </c>
      <c r="Z97">
        <f>HYPERLINK("https://klasma.github.io/Logging_2023/klagomål/A 24959-2024 FSC-klagomål.docx", "A 24959-2024")</f>
        <v/>
      </c>
      <c r="AA97">
        <f>HYPERLINK("https://klasma.github.io/Logging_2023/klagomålsmail/A 24959-2024 FSC-klagomål mail.docx", "A 24959-2024")</f>
        <v/>
      </c>
      <c r="AB97">
        <f>HYPERLINK("https://klasma.github.io/Logging_2023/tillsyn/A 24959-2024 tillsynsbegäran.docx", "A 24959-2024")</f>
        <v/>
      </c>
      <c r="AC97">
        <f>HYPERLINK("https://klasma.github.io/Logging_2023/tillsynsmail/A 24959-2024 tillsynsbegäran mail.docx", "A 24959-2024")</f>
        <v/>
      </c>
      <c r="AD97">
        <f>HYPERLINK("https://klasma.github.io/Logging_2023/fåglar/A 24959-2024 prioriterade fågelarter.docx", "A 24959-2024")</f>
        <v/>
      </c>
    </row>
    <row r="98" ht="15" customHeight="1">
      <c r="A98" t="inlineStr">
        <is>
          <t>A 55474-2025</t>
        </is>
      </c>
      <c r="B98" t="inlineStr">
        <is>
          <t>avverkningsanmälan</t>
        </is>
      </c>
      <c r="C98" t="inlineStr">
        <is>
          <t>Föryngringsavverkning</t>
        </is>
      </c>
      <c r="D98" s="1" t="n">
        <v>45971</v>
      </c>
      <c r="E98" s="1" t="n">
        <v>46223</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s="2" t="inlineStr">
        <is>
          <t>Mosippa</t>
        </is>
      </c>
      <c r="V98">
        <f>HYPERLINK("https://klasma.github.io/Logging_2023/artfynd/A 55474-2025 artfynd.xlsx", "A 55474-2025")</f>
        <v/>
      </c>
      <c r="W98">
        <f>HYPERLINK("https://klasma.github.io/Logging_2023/kartor/A 55474-2025 karta.png", "A 55474-2025")</f>
        <v/>
      </c>
      <c r="X98">
        <f>HYPERLINK("https://klasma.github.io/Logging_2023/kartor_geotiff/A 55474-2025 georefererad karta.tif", "A 55474-2025")</f>
        <v/>
      </c>
      <c r="Z98">
        <f>HYPERLINK("https://klasma.github.io/Logging_2023/klagomål/A 55474-2025 FSC-klagomål.docx", "A 55474-2025")</f>
        <v/>
      </c>
      <c r="AA98">
        <f>HYPERLINK("https://klasma.github.io/Logging_2023/klagomålsmail/A 55474-2025 FSC-klagomål mail.docx", "A 55474-2025")</f>
        <v/>
      </c>
      <c r="AB98">
        <f>HYPERLINK("https://klasma.github.io/Logging_2023/tillsyn/A 55474-2025 tillsynsbegäran.docx", "A 55474-2025")</f>
        <v/>
      </c>
      <c r="AC98">
        <f>HYPERLINK("https://klasma.github.io/Logging_2023/tillsynsmail/A 55474-2025 tillsynsbegäran mail.docx", "A 55474-2025")</f>
        <v/>
      </c>
    </row>
    <row r="99" ht="15" customHeight="1">
      <c r="A99" t="inlineStr">
        <is>
          <t>A 7605-2025</t>
        </is>
      </c>
      <c r="B99" t="inlineStr">
        <is>
          <t>avverkningsanmälan</t>
        </is>
      </c>
      <c r="C99" t="inlineStr">
        <is>
          <t>Föryngringsavverkning</t>
        </is>
      </c>
      <c r="D99" s="1" t="n">
        <v>45705</v>
      </c>
      <c r="E99" s="1" t="n">
        <v>46223</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s="2" t="inlineStr">
        <is>
          <t>Garnlav</t>
        </is>
      </c>
      <c r="V99">
        <f>HYPERLINK("https://klasma.github.io/Logging_2023/artfynd/A 7605-2025 artfynd.xlsx", "A 7605-2025")</f>
        <v/>
      </c>
      <c r="W99">
        <f>HYPERLINK("https://klasma.github.io/Logging_2023/kartor/A 7605-2025 karta.png", "A 7605-2025")</f>
        <v/>
      </c>
      <c r="X99">
        <f>HYPERLINK("https://klasma.github.io/Logging_2023/kartor_geotiff/A 7605-2025 georefererad karta.tif", "A 7605-2025")</f>
        <v/>
      </c>
      <c r="Z99">
        <f>HYPERLINK("https://klasma.github.io/Logging_2023/klagomål/A 7605-2025 FSC-klagomål.docx", "A 7605-2025")</f>
        <v/>
      </c>
      <c r="AA99">
        <f>HYPERLINK("https://klasma.github.io/Logging_2023/klagomålsmail/A 7605-2025 FSC-klagomål mail.docx", "A 7605-2025")</f>
        <v/>
      </c>
      <c r="AB99">
        <f>HYPERLINK("https://klasma.github.io/Logging_2023/tillsyn/A 7605-2025 tillsynsbegäran.docx", "A 7605-2025")</f>
        <v/>
      </c>
      <c r="AC99">
        <f>HYPERLINK("https://klasma.github.io/Logging_2023/tillsynsmail/A 7605-2025 tillsynsbegäran mail.docx", "A 7605-2025")</f>
        <v/>
      </c>
    </row>
    <row r="100" ht="15" customHeight="1">
      <c r="A100" t="inlineStr">
        <is>
          <t>A 777-2026</t>
        </is>
      </c>
      <c r="B100" t="inlineStr">
        <is>
          <t>avverkningsanmälan</t>
        </is>
      </c>
      <c r="C100" t="inlineStr">
        <is>
          <t>Föryngringsavverkning</t>
        </is>
      </c>
      <c r="D100" s="1" t="n">
        <v>46029</v>
      </c>
      <c r="E100" s="1" t="n">
        <v>46223</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s="2" t="inlineStr">
        <is>
          <t>Kungsörn</t>
        </is>
      </c>
      <c r="V100">
        <f>HYPERLINK("https://klasma.github.io/Logging_2023/artfynd/A 777-2026 artfynd.xlsx", "A 777-2026")</f>
        <v/>
      </c>
      <c r="W100">
        <f>HYPERLINK("https://klasma.github.io/Logging_2023/kartor/A 777-2026 karta.png", "A 777-2026")</f>
        <v/>
      </c>
      <c r="X100">
        <f>HYPERLINK("https://klasma.github.io/Logging_2023/kartor_geotiff/A 777-2026 georefererad karta.tif", "A 777-2026")</f>
        <v/>
      </c>
      <c r="Z100">
        <f>HYPERLINK("https://klasma.github.io/Logging_2023/klagomål/A 777-2026 FSC-klagomål.docx", "A 777-2026")</f>
        <v/>
      </c>
      <c r="AA100">
        <f>HYPERLINK("https://klasma.github.io/Logging_2023/klagomålsmail/A 777-2026 FSC-klagomål mail.docx", "A 777-2026")</f>
        <v/>
      </c>
      <c r="AB100">
        <f>HYPERLINK("https://klasma.github.io/Logging_2023/tillsyn/A 777-2026 tillsynsbegäran.docx", "A 777-2026")</f>
        <v/>
      </c>
      <c r="AC100">
        <f>HYPERLINK("https://klasma.github.io/Logging_2023/tillsynsmail/A 777-2026 tillsynsbegäran mail.docx", "A 777-2026")</f>
        <v/>
      </c>
      <c r="AD100">
        <f>HYPERLINK("https://klasma.github.io/Logging_2023/fåglar/A 777-2026 prioriterade fågelarter.docx", "A 777-2026")</f>
        <v/>
      </c>
    </row>
    <row r="101" ht="15" customHeight="1">
      <c r="A101" t="inlineStr">
        <is>
          <t>A 2612-2023</t>
        </is>
      </c>
      <c r="B101" t="inlineStr">
        <is>
          <t>avverkningsanmälan</t>
        </is>
      </c>
      <c r="C101" t="inlineStr">
        <is>
          <t>Föryngringsavverkning</t>
        </is>
      </c>
      <c r="D101" s="1" t="n">
        <v>44944</v>
      </c>
      <c r="E101" s="1" t="n">
        <v>46223</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s="2" t="inlineStr">
        <is>
          <t>Garnlav</t>
        </is>
      </c>
      <c r="V101">
        <f>HYPERLINK("https://klasma.github.io/Logging_2023/artfynd/A 2612-2023 artfynd.xlsx", "A 2612-2023")</f>
        <v/>
      </c>
      <c r="W101">
        <f>HYPERLINK("https://klasma.github.io/Logging_2023/kartor/A 2612-2023 karta.png", "A 2612-2023")</f>
        <v/>
      </c>
      <c r="X101">
        <f>HYPERLINK("https://klasma.github.io/Logging_2023/kartor_geotiff/A 2612-2023 georefererad karta.tif", "A 2612-2023")</f>
        <v/>
      </c>
      <c r="Z101">
        <f>HYPERLINK("https://klasma.github.io/Logging_2023/klagomål/A 2612-2023 FSC-klagomål.docx", "A 2612-2023")</f>
        <v/>
      </c>
      <c r="AA101">
        <f>HYPERLINK("https://klasma.github.io/Logging_2023/klagomålsmail/A 2612-2023 FSC-klagomål mail.docx", "A 2612-2023")</f>
        <v/>
      </c>
      <c r="AB101">
        <f>HYPERLINK("https://klasma.github.io/Logging_2023/tillsyn/A 2612-2023 tillsynsbegäran.docx", "A 2612-2023")</f>
        <v/>
      </c>
      <c r="AC101">
        <f>HYPERLINK("https://klasma.github.io/Logging_2023/tillsynsmail/A 2612-2023 tillsynsbegäran mail.docx", "A 2612-2023")</f>
        <v/>
      </c>
    </row>
    <row r="102" ht="15" customHeight="1">
      <c r="A102" t="inlineStr">
        <is>
          <t>A 18275-2026</t>
        </is>
      </c>
      <c r="B102" t="inlineStr">
        <is>
          <t>avverkningsanmälan</t>
        </is>
      </c>
      <c r="C102" t="inlineStr">
        <is>
          <t>Föryngringsavverkning</t>
        </is>
      </c>
      <c r="D102" s="1" t="n">
        <v>46126</v>
      </c>
      <c r="E102" s="1" t="n">
        <v>46223</v>
      </c>
      <c r="F102" t="inlineStr">
        <is>
          <t>DALARNAS LÄN</t>
        </is>
      </c>
      <c r="G102" t="inlineStr">
        <is>
          <t>MALUNG-SÄLEN</t>
        </is>
      </c>
      <c r="H102" t="inlineStr">
        <is>
          <t>Bergvik skog öst AB</t>
        </is>
      </c>
      <c r="I102" t="n">
        <v>26.6</v>
      </c>
      <c r="J102" t="n">
        <v>0</v>
      </c>
      <c r="K102" t="n">
        <v>0</v>
      </c>
      <c r="L102" t="n">
        <v>1</v>
      </c>
      <c r="M102" t="n">
        <v>0</v>
      </c>
      <c r="N102" t="n">
        <v>0</v>
      </c>
      <c r="O102" t="n">
        <v>0</v>
      </c>
      <c r="P102" t="n">
        <v>0</v>
      </c>
      <c r="Q102" t="n">
        <v>1</v>
      </c>
      <c r="R102" t="n">
        <v>0</v>
      </c>
      <c r="S102" t="n">
        <v>1</v>
      </c>
      <c r="T102" t="n">
        <v>1</v>
      </c>
      <c r="U102" s="2" t="inlineStr">
        <is>
          <t>Älg</t>
        </is>
      </c>
      <c r="V102">
        <f>HYPERLINK("https://klasma.github.io/Logging_2023/artfynd/A 18275-2026 artfynd.xlsx", "A 18275-2026")</f>
        <v/>
      </c>
      <c r="W102">
        <f>HYPERLINK("https://klasma.github.io/Logging_2023/kartor/A 18275-2026 karta.png", "A 18275-2026")</f>
        <v/>
      </c>
      <c r="X102">
        <f>HYPERLINK("https://klasma.github.io/Logging_2023/kartor_geotiff/A 18275-2026 georefererad karta.tif", "A 18275-2026")</f>
        <v/>
      </c>
      <c r="Z102">
        <f>HYPERLINK("https://klasma.github.io/Logging_2023/klagomål/A 18275-2026 FSC-klagomål.docx", "A 18275-2026")</f>
        <v/>
      </c>
      <c r="AA102">
        <f>HYPERLINK("https://klasma.github.io/Logging_2023/klagomålsmail/A 18275-2026 FSC-klagomål mail.docx", "A 18275-2026")</f>
        <v/>
      </c>
      <c r="AB102">
        <f>HYPERLINK("https://klasma.github.io/Logging_2023/tillsyn/A 18275-2026 tillsynsbegäran.docx", "A 18275-2026")</f>
        <v/>
      </c>
      <c r="AC102">
        <f>HYPERLINK("https://klasma.github.io/Logging_2023/tillsynsmail/A 18275-2026 tillsynsbegäran mail.docx", "A 18275-2026")</f>
        <v/>
      </c>
    </row>
    <row r="103" ht="15" customHeight="1">
      <c r="A103" t="inlineStr">
        <is>
          <t>A 57820-2024</t>
        </is>
      </c>
      <c r="B103" t="inlineStr">
        <is>
          <t>avverkningsanmälan</t>
        </is>
      </c>
      <c r="C103" t="inlineStr">
        <is>
          <t>Föryngringsavverkning</t>
        </is>
      </c>
      <c r="D103" s="1" t="n">
        <v>45631</v>
      </c>
      <c r="E103" s="1" t="n">
        <v>46223</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HYPERLINK("https://klasma.github.io/Logging_2023/artfynd/A 57820-2024 artfynd.xlsx", "A 57820-2024")</f>
        <v/>
      </c>
      <c r="W103">
        <f>HYPERLINK("https://klasma.github.io/Logging_2023/kartor/A 57820-2024 karta.png", "A 57820-2024")</f>
        <v/>
      </c>
      <c r="X103">
        <f>HYPERLINK("https://klasma.github.io/Logging_2023/kartor_geotiff/A 57820-2024 georefererad karta.tif", "A 57820-2024")</f>
        <v/>
      </c>
      <c r="Z103">
        <f>HYPERLINK("https://klasma.github.io/Logging_2023/klagomål/A 57820-2024 FSC-klagomål.docx", "A 57820-2024")</f>
        <v/>
      </c>
      <c r="AA103">
        <f>HYPERLINK("https://klasma.github.io/Logging_2023/klagomålsmail/A 57820-2024 FSC-klagomål mail.docx", "A 57820-2024")</f>
        <v/>
      </c>
      <c r="AB103">
        <f>HYPERLINK("https://klasma.github.io/Logging_2023/tillsyn/A 57820-2024 tillsynsbegäran.docx", "A 57820-2024")</f>
        <v/>
      </c>
      <c r="AC103">
        <f>HYPERLINK("https://klasma.github.io/Logging_2023/tillsynsmail/A 57820-2024 tillsynsbegäran mail.docx", "A 57820-2024")</f>
        <v/>
      </c>
    </row>
    <row r="104" ht="15" customHeight="1">
      <c r="A104" t="inlineStr">
        <is>
          <t>A 29359-2025</t>
        </is>
      </c>
      <c r="B104" t="inlineStr">
        <is>
          <t>avverkningsanmälan</t>
        </is>
      </c>
      <c r="C104" t="inlineStr">
        <is>
          <t>Föryngringsavverkning</t>
        </is>
      </c>
      <c r="D104" s="1" t="n">
        <v>45824</v>
      </c>
      <c r="E104" s="1" t="n">
        <v>46223</v>
      </c>
      <c r="F104" t="inlineStr">
        <is>
          <t>DALARNAS LÄN</t>
        </is>
      </c>
      <c r="G104" t="inlineStr">
        <is>
          <t>MALUNG-SÄLEN</t>
        </is>
      </c>
      <c r="I104" t="n">
        <v>1.5</v>
      </c>
      <c r="J104" t="n">
        <v>0</v>
      </c>
      <c r="K104" t="n">
        <v>0</v>
      </c>
      <c r="L104" t="n">
        <v>0</v>
      </c>
      <c r="M104" t="n">
        <v>1</v>
      </c>
      <c r="N104" t="n">
        <v>0</v>
      </c>
      <c r="O104" t="n">
        <v>0</v>
      </c>
      <c r="P104" t="n">
        <v>0</v>
      </c>
      <c r="Q104" t="n">
        <v>1</v>
      </c>
      <c r="R104" t="n">
        <v>1</v>
      </c>
      <c r="S104" t="n">
        <v>1</v>
      </c>
      <c r="T104" t="n">
        <v>2</v>
      </c>
      <c r="U104" s="2" t="inlineStr">
        <is>
          <t>Garnlav</t>
        </is>
      </c>
      <c r="V104">
        <f>HYPERLINK("https://klasma.github.io/Logging_2023/artfynd/A 29359-2025 artfynd.xlsx", "A 29359-2025")</f>
        <v/>
      </c>
      <c r="W104">
        <f>HYPERLINK("https://klasma.github.io/Logging_2023/kartor/A 29359-2025 karta.png", "A 29359-2025")</f>
        <v/>
      </c>
      <c r="X104">
        <f>HYPERLINK("https://klasma.github.io/Logging_2023/kartor_geotiff/A 29359-2025 georefererad karta.tif", "A 29359-2025")</f>
        <v/>
      </c>
      <c r="Z104">
        <f>HYPERLINK("https://klasma.github.io/Logging_2023/klagomål/A 29359-2025 FSC-klagomål.docx", "A 29359-2025")</f>
        <v/>
      </c>
      <c r="AA104">
        <f>HYPERLINK("https://klasma.github.io/Logging_2023/klagomålsmail/A 29359-2025 FSC-klagomål mail.docx", "A 29359-2025")</f>
        <v/>
      </c>
      <c r="AB104">
        <f>HYPERLINK("https://klasma.github.io/Logging_2023/tillsyn/A 29359-2025 tillsynsbegäran.docx", "A 29359-2025")</f>
        <v/>
      </c>
      <c r="AC104">
        <f>HYPERLINK("https://klasma.github.io/Logging_2023/tillsynsmail/A 29359-2025 tillsynsbegäran mail.docx", "A 29359-2025")</f>
        <v/>
      </c>
    </row>
    <row r="105" ht="15" customHeight="1">
      <c r="A105" t="inlineStr">
        <is>
          <t>A 57829-2023</t>
        </is>
      </c>
      <c r="B105" t="inlineStr">
        <is>
          <t>avverkningsanmälan</t>
        </is>
      </c>
      <c r="C105" t="inlineStr">
        <is>
          <t>Föryngringsavverkning</t>
        </is>
      </c>
      <c r="D105" s="1" t="n">
        <v>45247</v>
      </c>
      <c r="E105" s="1" t="n">
        <v>46223</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s="2" t="inlineStr">
        <is>
          <t>Knärot</t>
        </is>
      </c>
      <c r="V105">
        <f>HYPERLINK("https://klasma.github.io/Logging_2023/artfynd/A 57829-2023 artfynd.xlsx", "A 57829-2023")</f>
        <v/>
      </c>
      <c r="W105">
        <f>HYPERLINK("https://klasma.github.io/Logging_2023/kartor/A 57829-2023 karta.png", "A 57829-2023")</f>
        <v/>
      </c>
      <c r="X105">
        <f>HYPERLINK("https://klasma.github.io/Logging_2023/kartor_geotiff/A 57829-2023 georefererad karta.tif", "A 57829-2023")</f>
        <v/>
      </c>
      <c r="Y105">
        <f>HYPERLINK("https://klasma.github.io/Logging_2023/knärot/A 57829-2023 karta knärot.png", "A 57829-2023")</f>
        <v/>
      </c>
      <c r="Z105">
        <f>HYPERLINK("https://klasma.github.io/Logging_2023/klagomål/A 57829-2023 FSC-klagomål.docx", "A 57829-2023")</f>
        <v/>
      </c>
      <c r="AA105">
        <f>HYPERLINK("https://klasma.github.io/Logging_2023/klagomålsmail/A 57829-2023 FSC-klagomål mail.docx", "A 57829-2023")</f>
        <v/>
      </c>
      <c r="AB105">
        <f>HYPERLINK("https://klasma.github.io/Logging_2023/tillsyn/A 57829-2023 tillsynsbegäran.docx", "A 57829-2023")</f>
        <v/>
      </c>
      <c r="AC105">
        <f>HYPERLINK("https://klasma.github.io/Logging_2023/tillsynsmail/A 57829-2023 tillsynsbegäran mail.docx", "A 57829-2023")</f>
        <v/>
      </c>
    </row>
    <row r="106" ht="15" customHeight="1">
      <c r="A106" t="inlineStr">
        <is>
          <t>A 43666-2023</t>
        </is>
      </c>
      <c r="B106" t="inlineStr">
        <is>
          <t>avverkningsanmälan</t>
        </is>
      </c>
      <c r="C106" t="inlineStr">
        <is>
          <t>Avverkning för annat ändamål</t>
        </is>
      </c>
      <c r="D106" s="1" t="n">
        <v>45187</v>
      </c>
      <c r="E106" s="1" t="n">
        <v>46223</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s="2" t="inlineStr">
        <is>
          <t>Nordtagging</t>
        </is>
      </c>
      <c r="V106">
        <f>HYPERLINK("https://klasma.github.io/Logging_2023/artfynd/A 43666-2023 artfynd.xlsx", "A 43666-2023")</f>
        <v/>
      </c>
      <c r="W106">
        <f>HYPERLINK("https://klasma.github.io/Logging_2023/kartor/A 43666-2023 karta.png", "A 43666-2023")</f>
        <v/>
      </c>
      <c r="X106">
        <f>HYPERLINK("https://klasma.github.io/Logging_2023/kartor_geotiff/A 43666-2023 georefererad karta.tif", "A 43666-2023")</f>
        <v/>
      </c>
      <c r="Z106">
        <f>HYPERLINK("https://klasma.github.io/Logging_2023/klagomål/A 43666-2023 FSC-klagomål.docx", "A 43666-2023")</f>
        <v/>
      </c>
      <c r="AA106">
        <f>HYPERLINK("https://klasma.github.io/Logging_2023/klagomålsmail/A 43666-2023 FSC-klagomål mail.docx", "A 43666-2023")</f>
        <v/>
      </c>
      <c r="AB106">
        <f>HYPERLINK("https://klasma.github.io/Logging_2023/tillsyn/A 43666-2023 tillsynsbegäran.docx", "A 43666-2023")</f>
        <v/>
      </c>
      <c r="AC106">
        <f>HYPERLINK("https://klasma.github.io/Logging_2023/tillsynsmail/A 43666-2023 tillsynsbegäran mail.docx", "A 43666-2023")</f>
        <v/>
      </c>
    </row>
    <row r="107" ht="15" customHeight="1">
      <c r="A107" t="inlineStr">
        <is>
          <t>A 44190-2023</t>
        </is>
      </c>
      <c r="B107" t="inlineStr">
        <is>
          <t>avverkningsanmälan</t>
        </is>
      </c>
      <c r="C107" t="inlineStr">
        <is>
          <t>Föryngringsavverkning</t>
        </is>
      </c>
      <c r="D107" s="1" t="n">
        <v>45188</v>
      </c>
      <c r="E107" s="1" t="n">
        <v>46223</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s="2" t="inlineStr">
        <is>
          <t>Korallrot</t>
        </is>
      </c>
      <c r="V107">
        <f>HYPERLINK("https://klasma.github.io/Logging_2023/artfynd/A 44190-2023 artfynd.xlsx", "A 44190-2023")</f>
        <v/>
      </c>
      <c r="W107">
        <f>HYPERLINK("https://klasma.github.io/Logging_2023/kartor/A 44190-2023 karta.png", "A 44190-2023")</f>
        <v/>
      </c>
      <c r="X107">
        <f>HYPERLINK("https://klasma.github.io/Logging_2023/kartor_geotiff/A 44190-2023 georefererad karta.tif", "A 44190-2023")</f>
        <v/>
      </c>
      <c r="Z107">
        <f>HYPERLINK("https://klasma.github.io/Logging_2023/klagomål/A 44190-2023 FSC-klagomål.docx", "A 44190-2023")</f>
        <v/>
      </c>
      <c r="AA107">
        <f>HYPERLINK("https://klasma.github.io/Logging_2023/klagomålsmail/A 44190-2023 FSC-klagomål mail.docx", "A 44190-2023")</f>
        <v/>
      </c>
      <c r="AB107">
        <f>HYPERLINK("https://klasma.github.io/Logging_2023/tillsyn/A 44190-2023 tillsynsbegäran.docx", "A 44190-2023")</f>
        <v/>
      </c>
      <c r="AC107">
        <f>HYPERLINK("https://klasma.github.io/Logging_2023/tillsynsmail/A 44190-2023 tillsynsbegäran mail.docx", "A 44190-2023")</f>
        <v/>
      </c>
    </row>
    <row r="108" ht="15" customHeight="1">
      <c r="A108" t="inlineStr">
        <is>
          <t>A 57702-2023</t>
        </is>
      </c>
      <c r="B108" t="inlineStr">
        <is>
          <t>avverkningsanmälan</t>
        </is>
      </c>
      <c r="C108" t="inlineStr">
        <is>
          <t>Avverkning för att bevara och utveckla /försöksver</t>
        </is>
      </c>
      <c r="D108" s="1" t="n">
        <v>45246</v>
      </c>
      <c r="E108" s="1" t="n">
        <v>46223</v>
      </c>
      <c r="F108" t="inlineStr">
        <is>
          <t>DALARNAS LÄN</t>
        </is>
      </c>
      <c r="G108" t="inlineStr">
        <is>
          <t>MALUNG-SÄLEN</t>
        </is>
      </c>
      <c r="I108" t="n">
        <v>1.5</v>
      </c>
      <c r="J108" t="n">
        <v>0</v>
      </c>
      <c r="K108" t="n">
        <v>1</v>
      </c>
      <c r="L108" t="n">
        <v>0</v>
      </c>
      <c r="M108" t="n">
        <v>0</v>
      </c>
      <c r="N108" t="n">
        <v>0</v>
      </c>
      <c r="O108" t="n">
        <v>0</v>
      </c>
      <c r="P108" t="n">
        <v>0</v>
      </c>
      <c r="Q108" t="n">
        <v>0</v>
      </c>
      <c r="R108" t="n">
        <v>0</v>
      </c>
      <c r="S108" t="n">
        <v>1</v>
      </c>
      <c r="T108" t="n">
        <v>1</v>
      </c>
      <c r="U108" s="2" t="inlineStr">
        <is>
          <t>Brun nållav</t>
        </is>
      </c>
      <c r="V108">
        <f>HYPERLINK("https://klasma.github.io/Logging_2023/artfynd/A 57702-2023 artfynd.xlsx", "A 57702-2023")</f>
        <v/>
      </c>
      <c r="W108">
        <f>HYPERLINK("https://klasma.github.io/Logging_2023/kartor/A 57702-2023 karta.png", "A 57702-2023")</f>
        <v/>
      </c>
      <c r="X108">
        <f>HYPERLINK("https://klasma.github.io/Logging_2023/kartor_geotiff/A 57702-2023 georefererad karta.tif", "A 57702-2023")</f>
        <v/>
      </c>
      <c r="Z108">
        <f>HYPERLINK("https://klasma.github.io/Logging_2023/klagomål/A 57702-2023 FSC-klagomål.docx", "A 57702-2023")</f>
        <v/>
      </c>
      <c r="AA108">
        <f>HYPERLINK("https://klasma.github.io/Logging_2023/klagomålsmail/A 57702-2023 FSC-klagomål mail.docx", "A 57702-2023")</f>
        <v/>
      </c>
      <c r="AB108">
        <f>HYPERLINK("https://klasma.github.io/Logging_2023/tillsyn/A 57702-2023 tillsynsbegäran.docx", "A 57702-2023")</f>
        <v/>
      </c>
      <c r="AC108">
        <f>HYPERLINK("https://klasma.github.io/Logging_2023/tillsynsmail/A 57702-2023 tillsynsbegäran mail.docx", "A 57702-2023")</f>
        <v/>
      </c>
    </row>
    <row r="109" ht="15" customHeight="1">
      <c r="A109" t="inlineStr">
        <is>
          <t>A 19851-2023</t>
        </is>
      </c>
      <c r="B109" t="inlineStr">
        <is>
          <t>avverkningsanmälan</t>
        </is>
      </c>
      <c r="C109" t="inlineStr">
        <is>
          <t>Föryngringsavverkning</t>
        </is>
      </c>
      <c r="D109" s="1" t="n">
        <v>45053</v>
      </c>
      <c r="E109" s="1" t="n">
        <v>46223</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s="2" t="inlineStr">
        <is>
          <t>Orre</t>
        </is>
      </c>
      <c r="V109">
        <f>HYPERLINK("https://klasma.github.io/Logging_2023/artfynd/A 19851-2023 artfynd.xlsx", "A 19851-2023")</f>
        <v/>
      </c>
      <c r="W109">
        <f>HYPERLINK("https://klasma.github.io/Logging_2023/kartor/A 19851-2023 karta.png", "A 19851-2023")</f>
        <v/>
      </c>
      <c r="X109">
        <f>HYPERLINK("https://klasma.github.io/Logging_2023/kartor_geotiff/A 19851-2023 georefererad karta.tif", "A 19851-2023")</f>
        <v/>
      </c>
      <c r="Z109">
        <f>HYPERLINK("https://klasma.github.io/Logging_2023/klagomål/A 19851-2023 FSC-klagomål.docx", "A 19851-2023")</f>
        <v/>
      </c>
      <c r="AA109">
        <f>HYPERLINK("https://klasma.github.io/Logging_2023/klagomålsmail/A 19851-2023 FSC-klagomål mail.docx", "A 19851-2023")</f>
        <v/>
      </c>
      <c r="AB109">
        <f>HYPERLINK("https://klasma.github.io/Logging_2023/tillsyn/A 19851-2023 tillsynsbegäran.docx", "A 19851-2023")</f>
        <v/>
      </c>
      <c r="AC109">
        <f>HYPERLINK("https://klasma.github.io/Logging_2023/tillsynsmail/A 19851-2023 tillsynsbegäran mail.docx", "A 19851-2023")</f>
        <v/>
      </c>
      <c r="AD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46223</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s="2" t="inlineStr">
        <is>
          <t>Lunglav</t>
        </is>
      </c>
      <c r="V110">
        <f>HYPERLINK("https://klasma.github.io/Logging_2023/artfynd/A 55914-2024 artfynd.xlsx", "A 55914-2024")</f>
        <v/>
      </c>
      <c r="W110">
        <f>HYPERLINK("https://klasma.github.io/Logging_2023/kartor/A 55914-2024 karta.png", "A 55914-2024")</f>
        <v/>
      </c>
      <c r="X110">
        <f>HYPERLINK("https://klasma.github.io/Logging_2023/kartor_geotiff/A 55914-2024 georefererad karta.tif", "A 55914-2024")</f>
        <v/>
      </c>
      <c r="Z110">
        <f>HYPERLINK("https://klasma.github.io/Logging_2023/klagomål/A 55914-2024 FSC-klagomål.docx", "A 55914-2024")</f>
        <v/>
      </c>
      <c r="AA110">
        <f>HYPERLINK("https://klasma.github.io/Logging_2023/klagomålsmail/A 55914-2024 FSC-klagomål mail.docx", "A 55914-2024")</f>
        <v/>
      </c>
      <c r="AB110">
        <f>HYPERLINK("https://klasma.github.io/Logging_2023/tillsyn/A 55914-2024 tillsynsbegäran.docx", "A 55914-2024")</f>
        <v/>
      </c>
      <c r="AC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46223</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s="2" t="inlineStr">
        <is>
          <t>Doftskinn</t>
        </is>
      </c>
      <c r="V111">
        <f>HYPERLINK("https://klasma.github.io/Logging_2023/artfynd/A 9063-2025 artfynd.xlsx", "A 9063-2025")</f>
        <v/>
      </c>
      <c r="W111">
        <f>HYPERLINK("https://klasma.github.io/Logging_2023/kartor/A 9063-2025 karta.png", "A 9063-2025")</f>
        <v/>
      </c>
      <c r="X111">
        <f>HYPERLINK("https://klasma.github.io/Logging_2023/kartor_geotiff/A 9063-2025 georefererad karta.tif", "A 9063-2025")</f>
        <v/>
      </c>
      <c r="Z111">
        <f>HYPERLINK("https://klasma.github.io/Logging_2023/klagomål/A 9063-2025 FSC-klagomål.docx", "A 9063-2025")</f>
        <v/>
      </c>
      <c r="AA111">
        <f>HYPERLINK("https://klasma.github.io/Logging_2023/klagomålsmail/A 9063-2025 FSC-klagomål mail.docx", "A 9063-2025")</f>
        <v/>
      </c>
      <c r="AB111">
        <f>HYPERLINK("https://klasma.github.io/Logging_2023/tillsyn/A 9063-2025 tillsynsbegäran.docx", "A 9063-2025")</f>
        <v/>
      </c>
      <c r="AC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46223</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s="2" t="inlineStr">
        <is>
          <t>Talltita</t>
        </is>
      </c>
      <c r="V112">
        <f>HYPERLINK("https://klasma.github.io/Logging_2023/artfynd/A 24957-2024 artfynd.xlsx", "A 24957-2024")</f>
        <v/>
      </c>
      <c r="W112">
        <f>HYPERLINK("https://klasma.github.io/Logging_2023/kartor/A 24957-2024 karta.png", "A 24957-2024")</f>
        <v/>
      </c>
      <c r="X112">
        <f>HYPERLINK("https://klasma.github.io/Logging_2023/kartor_geotiff/A 24957-2024 georefererad karta.tif", "A 24957-2024")</f>
        <v/>
      </c>
      <c r="Z112">
        <f>HYPERLINK("https://klasma.github.io/Logging_2023/klagomål/A 24957-2024 FSC-klagomål.docx", "A 24957-2024")</f>
        <v/>
      </c>
      <c r="AA112">
        <f>HYPERLINK("https://klasma.github.io/Logging_2023/klagomålsmail/A 24957-2024 FSC-klagomål mail.docx", "A 24957-2024")</f>
        <v/>
      </c>
      <c r="AB112">
        <f>HYPERLINK("https://klasma.github.io/Logging_2023/tillsyn/A 24957-2024 tillsynsbegäran.docx", "A 24957-2024")</f>
        <v/>
      </c>
      <c r="AC112">
        <f>HYPERLINK("https://klasma.github.io/Logging_2023/tillsynsmail/A 24957-2024 tillsynsbegäran mail.docx", "A 24957-2024")</f>
        <v/>
      </c>
      <c r="AD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46223</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s="2" t="inlineStr">
        <is>
          <t>Rödfläckigt jordfly</t>
        </is>
      </c>
      <c r="V113">
        <f>HYPERLINK("https://klasma.github.io/Logging_2023/artfynd/A 51675-2022 artfynd.xlsx", "A 51675-2022")</f>
        <v/>
      </c>
      <c r="W113">
        <f>HYPERLINK("https://klasma.github.io/Logging_2023/kartor/A 51675-2022 karta.png", "A 51675-2022")</f>
        <v/>
      </c>
      <c r="X113">
        <f>HYPERLINK("https://klasma.github.io/Logging_2023/kartor_geotiff/A 51675-2022 georefererad karta.tif", "A 51675-2022")</f>
        <v/>
      </c>
      <c r="Z113">
        <f>HYPERLINK("https://klasma.github.io/Logging_2023/klagomål/A 51675-2022 FSC-klagomål.docx", "A 51675-2022")</f>
        <v/>
      </c>
      <c r="AA113">
        <f>HYPERLINK("https://klasma.github.io/Logging_2023/klagomålsmail/A 51675-2022 FSC-klagomål mail.docx", "A 51675-2022")</f>
        <v/>
      </c>
      <c r="AB113">
        <f>HYPERLINK("https://klasma.github.io/Logging_2023/tillsyn/A 51675-2022 tillsynsbegäran.docx", "A 51675-2022")</f>
        <v/>
      </c>
      <c r="AC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46223</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s="2" t="inlineStr">
        <is>
          <t>Sotlav</t>
        </is>
      </c>
      <c r="V114">
        <f>HYPERLINK("https://klasma.github.io/Logging_2023/artfynd/A 19856-2023 artfynd.xlsx", "A 19856-2023")</f>
        <v/>
      </c>
      <c r="W114">
        <f>HYPERLINK("https://klasma.github.io/Logging_2023/kartor/A 19856-2023 karta.png", "A 19856-2023")</f>
        <v/>
      </c>
      <c r="X114">
        <f>HYPERLINK("https://klasma.github.io/Logging_2023/kartor_geotiff/A 19856-2023 georefererad karta.tif", "A 19856-2023")</f>
        <v/>
      </c>
      <c r="Z114">
        <f>HYPERLINK("https://klasma.github.io/Logging_2023/klagomål/A 19856-2023 FSC-klagomål.docx", "A 19856-2023")</f>
        <v/>
      </c>
      <c r="AA114">
        <f>HYPERLINK("https://klasma.github.io/Logging_2023/klagomålsmail/A 19856-2023 FSC-klagomål mail.docx", "A 19856-2023")</f>
        <v/>
      </c>
      <c r="AB114">
        <f>HYPERLINK("https://klasma.github.io/Logging_2023/tillsyn/A 19856-2023 tillsynsbegäran.docx", "A 19856-2023")</f>
        <v/>
      </c>
      <c r="AC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46223</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X115">
        <f>HYPERLINK("https://klasma.github.io/Logging_2023/kartor_geotiff/S 1501-2022 georefererad karta.tif", "S 1501-2022")</f>
        <v/>
      </c>
      <c r="Z115">
        <f>HYPERLINK("https://klasma.github.io/Logging_2023/klagomål/S 1501-2022 FSC-klagomål.docx", "S 1501-2022")</f>
        <v/>
      </c>
      <c r="AA115">
        <f>HYPERLINK("https://klasma.github.io/Logging_2023/klagomålsmail/S 1501-2022 FSC-klagomål mail.docx", "S 1501-2022")</f>
        <v/>
      </c>
      <c r="AB115">
        <f>HYPERLINK("https://klasma.github.io/Logging_2023/tillsyn/S 1501-2022 tillsynsbegäran.docx", "S 1501-2022")</f>
        <v/>
      </c>
      <c r="AC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46223</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s="2" t="inlineStr">
        <is>
          <t>Knärot</t>
        </is>
      </c>
      <c r="V116">
        <f>HYPERLINK("https://klasma.github.io/Logging_2023/artfynd/S 1387-2024 artfynd.xlsx", "S 1387-2024")</f>
        <v/>
      </c>
      <c r="W116">
        <f>HYPERLINK("https://klasma.github.io/Logging_2023/kartor/S 1387-2024 karta.png", "S 1387-2024")</f>
        <v/>
      </c>
      <c r="X116">
        <f>HYPERLINK("https://klasma.github.io/Logging_2023/kartor_geotiff/S 1387-2024 georefererad karta.tif", "S 1387-2024")</f>
        <v/>
      </c>
      <c r="Y116">
        <f>HYPERLINK("https://klasma.github.io/Logging_2023/knärot/S 1387-2024 karta knärot.png", "S 1387-2024")</f>
        <v/>
      </c>
      <c r="Z116">
        <f>HYPERLINK("https://klasma.github.io/Logging_2023/klagomål/S 1387-2024 FSC-klagomål.docx", "S 1387-2024")</f>
        <v/>
      </c>
      <c r="AA116">
        <f>HYPERLINK("https://klasma.github.io/Logging_2023/klagomålsmail/S 1387-2024 FSC-klagomål mail.docx", "S 1387-2024")</f>
        <v/>
      </c>
      <c r="AB116">
        <f>HYPERLINK("https://klasma.github.io/Logging_2023/tillsyn/S 1387-2024 tillsynsbegäran.docx", "S 1387-2024")</f>
        <v/>
      </c>
      <c r="AC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46223</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46223</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46223</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46223</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46223</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46223</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46223</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46223</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46223</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46223</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46223</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46223</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46223</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46223</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46223</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46223</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46223</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46223</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46223</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46223</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46223</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46223</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46223</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46223</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46223</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46223</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46223</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46223</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46223</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46223</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46223</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46223</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46223</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46223</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54939-2022</t>
        </is>
      </c>
      <c r="B151" t="inlineStr">
        <is>
          <t>avverkningsanmälan</t>
        </is>
      </c>
      <c r="C151" t="inlineStr">
        <is>
          <t>Föryngringsavverkning</t>
        </is>
      </c>
      <c r="D151" s="1" t="n">
        <v>44886</v>
      </c>
      <c r="E151" s="1" t="n">
        <v>46223</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64896-2021</t>
        </is>
      </c>
      <c r="B152" t="inlineStr">
        <is>
          <t>avverkningsanmälan</t>
        </is>
      </c>
      <c r="C152" t="inlineStr">
        <is>
          <t>Föryngringsavverkning</t>
        </is>
      </c>
      <c r="D152" s="1" t="n">
        <v>44512</v>
      </c>
      <c r="E152" s="1" t="n">
        <v>46223</v>
      </c>
      <c r="F152" t="inlineStr">
        <is>
          <t>DALARNAS LÄN</t>
        </is>
      </c>
      <c r="G152" t="inlineStr">
        <is>
          <t>MALUNG-SÄLEN</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23606-2022</t>
        </is>
      </c>
      <c r="B153" t="inlineStr">
        <is>
          <t>avverkningsanmälan</t>
        </is>
      </c>
      <c r="C153" t="inlineStr">
        <is>
          <t>Föryngringsavverkning</t>
        </is>
      </c>
      <c r="D153" s="1" t="n">
        <v>44721</v>
      </c>
      <c r="E153" s="1" t="n">
        <v>46223</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26667-2022</t>
        </is>
      </c>
      <c r="B154" t="inlineStr">
        <is>
          <t>avverkningsanmälan</t>
        </is>
      </c>
      <c r="C154" t="inlineStr">
        <is>
          <t>Föryngringsavverkning</t>
        </is>
      </c>
      <c r="D154" s="1" t="n">
        <v>44739</v>
      </c>
      <c r="E154" s="1" t="n">
        <v>46223</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46223</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46223</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46223</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46223</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46223</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46223</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46223</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46223</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46223</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46223</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46223</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7081-2022</t>
        </is>
      </c>
      <c r="B166" t="inlineStr">
        <is>
          <t>avverkningsanmälan</t>
        </is>
      </c>
      <c r="C166" t="inlineStr">
        <is>
          <t>Föryngringsavverkning</t>
        </is>
      </c>
      <c r="D166" s="1" t="n">
        <v>44603</v>
      </c>
      <c r="E166" s="1" t="n">
        <v>46223</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27841-2022</t>
        </is>
      </c>
      <c r="B167" t="inlineStr">
        <is>
          <t>avverkningsanmälan</t>
        </is>
      </c>
      <c r="C167" t="inlineStr">
        <is>
          <t>Föryngringsavverkning</t>
        </is>
      </c>
      <c r="D167" s="1" t="n">
        <v>44743</v>
      </c>
      <c r="E167" s="1" t="n">
        <v>46223</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38008-2022</t>
        </is>
      </c>
      <c r="B168" t="inlineStr">
        <is>
          <t>avverkningsanmälan</t>
        </is>
      </c>
      <c r="C168" t="inlineStr">
        <is>
          <t>Föryngringsavverkning</t>
        </is>
      </c>
      <c r="D168" s="1" t="n">
        <v>44811</v>
      </c>
      <c r="E168" s="1" t="n">
        <v>46223</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s="2" t="inlineStr"/>
    </row>
    <row r="169" ht="15" customHeight="1">
      <c r="A169" t="inlineStr">
        <is>
          <t>A 38050-2022</t>
        </is>
      </c>
      <c r="B169" t="inlineStr">
        <is>
          <t>avverkningsanmälan</t>
        </is>
      </c>
      <c r="C169" t="inlineStr">
        <is>
          <t>Föryngringsavverkning</t>
        </is>
      </c>
      <c r="D169" s="1" t="n">
        <v>44811</v>
      </c>
      <c r="E169" s="1" t="n">
        <v>46223</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25534-2023</t>
        </is>
      </c>
      <c r="B170" t="inlineStr">
        <is>
          <t>avverkningsanmälan</t>
        </is>
      </c>
      <c r="C170" t="inlineStr">
        <is>
          <t>Föryngringsavverkning</t>
        </is>
      </c>
      <c r="D170" s="1" t="n">
        <v>45089</v>
      </c>
      <c r="E170" s="1" t="n">
        <v>46223</v>
      </c>
      <c r="F170" t="inlineStr">
        <is>
          <t>DALARNAS LÄN</t>
        </is>
      </c>
      <c r="G170" t="inlineStr">
        <is>
          <t>MALUNG-SÄLEN</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8425-2025</t>
        </is>
      </c>
      <c r="B171" t="inlineStr">
        <is>
          <t>avverkningsanmälan</t>
        </is>
      </c>
      <c r="C171" t="inlineStr">
        <is>
          <t>Föryngringsavverkning</t>
        </is>
      </c>
      <c r="D171" s="1" t="n">
        <v>45709</v>
      </c>
      <c r="E171" s="1" t="n">
        <v>46223</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s="2" t="inlineStr"/>
    </row>
    <row r="172" ht="15" customHeight="1">
      <c r="A172" t="inlineStr">
        <is>
          <t>A 43829-2023</t>
        </is>
      </c>
      <c r="B172" t="inlineStr">
        <is>
          <t>avverkningsanmälan</t>
        </is>
      </c>
      <c r="C172" t="inlineStr">
        <is>
          <t>Föryngringsavverkning</t>
        </is>
      </c>
      <c r="D172" s="1" t="n">
        <v>45187</v>
      </c>
      <c r="E172" s="1" t="n">
        <v>46223</v>
      </c>
      <c r="F172" t="inlineStr">
        <is>
          <t>DALARNAS LÄN</t>
        </is>
      </c>
      <c r="G172" t="inlineStr">
        <is>
          <t>MALUNG-SÄLEN</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50029-2023</t>
        </is>
      </c>
      <c r="B173" t="inlineStr">
        <is>
          <t>avverkningsanmälan</t>
        </is>
      </c>
      <c r="C173" t="inlineStr">
        <is>
          <t>Föryngringsavverkning</t>
        </is>
      </c>
      <c r="D173" s="1" t="n">
        <v>45215</v>
      </c>
      <c r="E173" s="1" t="n">
        <v>46223</v>
      </c>
      <c r="F173" t="inlineStr">
        <is>
          <t>DALARNAS LÄN</t>
        </is>
      </c>
      <c r="G173" t="inlineStr">
        <is>
          <t>MALUNG-SÄLEN</t>
        </is>
      </c>
      <c r="H173" t="inlineStr">
        <is>
          <t>Bergvik skog öst AB</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10363-2025</t>
        </is>
      </c>
      <c r="B174" t="inlineStr">
        <is>
          <t>avverkningsanmälan</t>
        </is>
      </c>
      <c r="C174" t="inlineStr">
        <is>
          <t>Föryngringsavverkning</t>
        </is>
      </c>
      <c r="D174" s="1" t="n">
        <v>45720</v>
      </c>
      <c r="E174" s="1" t="n">
        <v>46223</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s="2" t="inlineStr"/>
    </row>
    <row r="175" ht="15" customHeight="1">
      <c r="A175" t="inlineStr">
        <is>
          <t>A 50761-2022</t>
        </is>
      </c>
      <c r="B175" t="inlineStr">
        <is>
          <t>avverkningsanmälan</t>
        </is>
      </c>
      <c r="C175" t="inlineStr">
        <is>
          <t>Avverkning för annat ändamål</t>
        </is>
      </c>
      <c r="D175" s="1" t="n">
        <v>44862</v>
      </c>
      <c r="E175" s="1" t="n">
        <v>46223</v>
      </c>
      <c r="F175" t="inlineStr">
        <is>
          <t>DALARNAS LÄN</t>
        </is>
      </c>
      <c r="G175" t="inlineStr">
        <is>
          <t>MALUNG-SÄLEN</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34603-2022</t>
        </is>
      </c>
      <c r="B176" t="inlineStr">
        <is>
          <t>avverkningsanmälan</t>
        </is>
      </c>
      <c r="C176" t="inlineStr">
        <is>
          <t>Föryngringsavverkning</t>
        </is>
      </c>
      <c r="D176" s="1" t="n">
        <v>44795</v>
      </c>
      <c r="E176" s="1" t="n">
        <v>46223</v>
      </c>
      <c r="F176" t="inlineStr">
        <is>
          <t>DALARNAS LÄN</t>
        </is>
      </c>
      <c r="G176" t="inlineStr">
        <is>
          <t>MALUNG-SÄLEN</t>
        </is>
      </c>
      <c r="I176" t="n">
        <v>5.4</v>
      </c>
      <c r="J176" t="n">
        <v>0</v>
      </c>
      <c r="K176" t="n">
        <v>0</v>
      </c>
      <c r="L176" t="n">
        <v>0</v>
      </c>
      <c r="M176" t="n">
        <v>0</v>
      </c>
      <c r="N176" t="n">
        <v>0</v>
      </c>
      <c r="O176" t="n">
        <v>0</v>
      </c>
      <c r="P176" t="n">
        <v>0</v>
      </c>
      <c r="Q176" t="n">
        <v>0</v>
      </c>
      <c r="R176" t="n">
        <v>0</v>
      </c>
      <c r="S176" t="n">
        <v>0</v>
      </c>
      <c r="T176" t="n">
        <v>0</v>
      </c>
      <c r="U176" s="2" t="inlineStr"/>
    </row>
    <row r="177" ht="15" customHeight="1">
      <c r="A177" t="inlineStr">
        <is>
          <t>A 35439-2024</t>
        </is>
      </c>
      <c r="B177" t="inlineStr">
        <is>
          <t>avverkningsanmälan</t>
        </is>
      </c>
      <c r="C177" t="inlineStr">
        <is>
          <t>Föryngringsavverkning</t>
        </is>
      </c>
      <c r="D177" s="1" t="n">
        <v>45531</v>
      </c>
      <c r="E177" s="1" t="n">
        <v>46223</v>
      </c>
      <c r="F177" t="inlineStr">
        <is>
          <t>DALARNAS LÄN</t>
        </is>
      </c>
      <c r="G177" t="inlineStr">
        <is>
          <t>MALUNG-SÄLEN</t>
        </is>
      </c>
      <c r="H177" t="inlineStr">
        <is>
          <t>Bergvik skog väst AB</t>
        </is>
      </c>
      <c r="I177" t="n">
        <v>8.9</v>
      </c>
      <c r="J177" t="n">
        <v>0</v>
      </c>
      <c r="K177" t="n">
        <v>0</v>
      </c>
      <c r="L177" t="n">
        <v>0</v>
      </c>
      <c r="M177" t="n">
        <v>0</v>
      </c>
      <c r="N177" t="n">
        <v>0</v>
      </c>
      <c r="O177" t="n">
        <v>0</v>
      </c>
      <c r="P177" t="n">
        <v>0</v>
      </c>
      <c r="Q177" t="n">
        <v>0</v>
      </c>
      <c r="R177" t="n">
        <v>0</v>
      </c>
      <c r="S177" t="n">
        <v>0</v>
      </c>
      <c r="T177" t="n">
        <v>0</v>
      </c>
      <c r="U177" s="2" t="inlineStr"/>
    </row>
    <row r="178" ht="15" customHeight="1">
      <c r="A178" t="inlineStr">
        <is>
          <t>A 37675-2024</t>
        </is>
      </c>
      <c r="B178" t="inlineStr">
        <is>
          <t>avverkningsanmälan</t>
        </is>
      </c>
      <c r="C178" t="inlineStr">
        <is>
          <t>Föryngringsavverkning</t>
        </is>
      </c>
      <c r="D178" s="1" t="n">
        <v>45541</v>
      </c>
      <c r="E178" s="1" t="n">
        <v>46223</v>
      </c>
      <c r="F178" t="inlineStr">
        <is>
          <t>DALARNAS LÄN</t>
        </is>
      </c>
      <c r="G178" t="inlineStr">
        <is>
          <t>MALUNG-SÄLEN</t>
        </is>
      </c>
      <c r="H178" t="inlineStr">
        <is>
          <t>Bergvik skog öst AB</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5931-2024</t>
        </is>
      </c>
      <c r="B179" t="inlineStr">
        <is>
          <t>avverkningsanmälan</t>
        </is>
      </c>
      <c r="C179" t="inlineStr">
        <is>
          <t>Avverkning för annat ändamål</t>
        </is>
      </c>
      <c r="D179" s="1" t="n">
        <v>45335</v>
      </c>
      <c r="E179" s="1" t="n">
        <v>46223</v>
      </c>
      <c r="F179" t="inlineStr">
        <is>
          <t>DALARNAS LÄN</t>
        </is>
      </c>
      <c r="G179" t="inlineStr">
        <is>
          <t>MALUNG-SÄLEN</t>
        </is>
      </c>
      <c r="I179" t="n">
        <v>6.6</v>
      </c>
      <c r="J179" t="n">
        <v>0</v>
      </c>
      <c r="K179" t="n">
        <v>0</v>
      </c>
      <c r="L179" t="n">
        <v>0</v>
      </c>
      <c r="M179" t="n">
        <v>0</v>
      </c>
      <c r="N179" t="n">
        <v>0</v>
      </c>
      <c r="O179" t="n">
        <v>0</v>
      </c>
      <c r="P179" t="n">
        <v>0</v>
      </c>
      <c r="Q179" t="n">
        <v>0</v>
      </c>
      <c r="R179" t="n">
        <v>0</v>
      </c>
      <c r="S179" t="n">
        <v>0</v>
      </c>
      <c r="T179" t="n">
        <v>0</v>
      </c>
      <c r="U179" s="2" t="inlineStr"/>
    </row>
    <row r="180" ht="15" customHeight="1">
      <c r="A180" t="inlineStr">
        <is>
          <t>A 59089-2023</t>
        </is>
      </c>
      <c r="B180" t="inlineStr">
        <is>
          <t>avverkningsanmälan</t>
        </is>
      </c>
      <c r="C180" t="inlineStr">
        <is>
          <t>Föryngringsavverkning</t>
        </is>
      </c>
      <c r="D180" s="1" t="n">
        <v>45252</v>
      </c>
      <c r="E180" s="1" t="n">
        <v>46223</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s="2" t="inlineStr"/>
    </row>
    <row r="181" ht="15" customHeight="1">
      <c r="A181" t="inlineStr">
        <is>
          <t>A 24165-2022</t>
        </is>
      </c>
      <c r="B181" t="inlineStr">
        <is>
          <t>avverkningsanmälan</t>
        </is>
      </c>
      <c r="C181" t="inlineStr">
        <is>
          <t>Föryngringsavverkning</t>
        </is>
      </c>
      <c r="D181" s="1" t="n">
        <v>44725</v>
      </c>
      <c r="E181" s="1" t="n">
        <v>46223</v>
      </c>
      <c r="F181" t="inlineStr">
        <is>
          <t>DALARNAS LÄN</t>
        </is>
      </c>
      <c r="G181" t="inlineStr">
        <is>
          <t>MALUNG-SÄLEN</t>
        </is>
      </c>
      <c r="H181" t="inlineStr">
        <is>
          <t>Kommuner</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3792-2024</t>
        </is>
      </c>
      <c r="B182" t="inlineStr">
        <is>
          <t>avverkningsanmälan</t>
        </is>
      </c>
      <c r="C182" t="inlineStr">
        <is>
          <t>Avverkning för annat ändamål</t>
        </is>
      </c>
      <c r="D182" s="1" t="n">
        <v>45321</v>
      </c>
      <c r="E182" s="1" t="n">
        <v>46223</v>
      </c>
      <c r="F182" t="inlineStr">
        <is>
          <t>DALARNAS LÄN</t>
        </is>
      </c>
      <c r="G182" t="inlineStr">
        <is>
          <t>MALUNG-SÄLEN</t>
        </is>
      </c>
      <c r="H182" t="inlineStr">
        <is>
          <t>Bergvik skog öst AB</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46845-2021</t>
        </is>
      </c>
      <c r="B183" t="inlineStr">
        <is>
          <t>avverkningsanmälan</t>
        </is>
      </c>
      <c r="C183" t="inlineStr">
        <is>
          <t>Föryngringsavverkning</t>
        </is>
      </c>
      <c r="D183" s="1" t="n">
        <v>44445</v>
      </c>
      <c r="E183" s="1" t="n">
        <v>46223</v>
      </c>
      <c r="F183" t="inlineStr">
        <is>
          <t>DALARNAS LÄN</t>
        </is>
      </c>
      <c r="G183" t="inlineStr">
        <is>
          <t>MALUNG-SÄLEN</t>
        </is>
      </c>
      <c r="H183" t="inlineStr">
        <is>
          <t>Allmännings- och besparingsskogar</t>
        </is>
      </c>
      <c r="I183" t="n">
        <v>15.4</v>
      </c>
      <c r="J183" t="n">
        <v>0</v>
      </c>
      <c r="K183" t="n">
        <v>0</v>
      </c>
      <c r="L183" t="n">
        <v>0</v>
      </c>
      <c r="M183" t="n">
        <v>0</v>
      </c>
      <c r="N183" t="n">
        <v>0</v>
      </c>
      <c r="O183" t="n">
        <v>0</v>
      </c>
      <c r="P183" t="n">
        <v>0</v>
      </c>
      <c r="Q183" t="n">
        <v>0</v>
      </c>
      <c r="R183" t="n">
        <v>0</v>
      </c>
      <c r="S183" t="n">
        <v>0</v>
      </c>
      <c r="T183" t="n">
        <v>0</v>
      </c>
      <c r="U183" s="2" t="inlineStr"/>
    </row>
    <row r="184" ht="15" customHeight="1">
      <c r="A184" t="inlineStr">
        <is>
          <t>A 13898-2024</t>
        </is>
      </c>
      <c r="B184" t="inlineStr">
        <is>
          <t>avverkningsanmälan</t>
        </is>
      </c>
      <c r="C184" t="inlineStr">
        <is>
          <t>Föryngringsavverkning</t>
        </is>
      </c>
      <c r="D184" s="1" t="n">
        <v>45391</v>
      </c>
      <c r="E184" s="1" t="n">
        <v>46223</v>
      </c>
      <c r="F184" t="inlineStr">
        <is>
          <t>DALARNAS LÄN</t>
        </is>
      </c>
      <c r="G184" t="inlineStr">
        <is>
          <t>MALUNG-SÄLEN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45440-2021</t>
        </is>
      </c>
      <c r="B185" t="inlineStr">
        <is>
          <t>avverkningsanmälan</t>
        </is>
      </c>
      <c r="C185" t="inlineStr">
        <is>
          <t>Avverkning för annat ändamål</t>
        </is>
      </c>
      <c r="D185" s="1" t="n">
        <v>44440</v>
      </c>
      <c r="E185" s="1" t="n">
        <v>46223</v>
      </c>
      <c r="F185" t="inlineStr">
        <is>
          <t>DALARNAS LÄN</t>
        </is>
      </c>
      <c r="G185" t="inlineStr">
        <is>
          <t>MALUNG-SÄLEN</t>
        </is>
      </c>
      <c r="H185" t="inlineStr">
        <is>
          <t>Kommuner</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68-2023</t>
        </is>
      </c>
      <c r="B186" t="inlineStr">
        <is>
          <t>avverkningsanmälan</t>
        </is>
      </c>
      <c r="C186" t="inlineStr">
        <is>
          <t>Föryngringsavverkning</t>
        </is>
      </c>
      <c r="D186" s="1" t="n">
        <v>44928</v>
      </c>
      <c r="E186" s="1" t="n">
        <v>46223</v>
      </c>
      <c r="F186" t="inlineStr">
        <is>
          <t>DALARNAS LÄN</t>
        </is>
      </c>
      <c r="G186" t="inlineStr">
        <is>
          <t>MALUNG-SÄLEN</t>
        </is>
      </c>
      <c r="I186" t="n">
        <v>5.3</v>
      </c>
      <c r="J186" t="n">
        <v>0</v>
      </c>
      <c r="K186" t="n">
        <v>0</v>
      </c>
      <c r="L186" t="n">
        <v>0</v>
      </c>
      <c r="M186" t="n">
        <v>0</v>
      </c>
      <c r="N186" t="n">
        <v>0</v>
      </c>
      <c r="O186" t="n">
        <v>0</v>
      </c>
      <c r="P186" t="n">
        <v>0</v>
      </c>
      <c r="Q186" t="n">
        <v>0</v>
      </c>
      <c r="R186" t="n">
        <v>0</v>
      </c>
      <c r="S186" t="n">
        <v>0</v>
      </c>
      <c r="T186" t="n">
        <v>0</v>
      </c>
      <c r="U186" s="2" t="inlineStr"/>
    </row>
    <row r="187" ht="15" customHeight="1">
      <c r="A187" t="inlineStr">
        <is>
          <t>A 62264-2023</t>
        </is>
      </c>
      <c r="B187" t="inlineStr">
        <is>
          <t>avverkningsanmälan</t>
        </is>
      </c>
      <c r="C187" t="inlineStr">
        <is>
          <t>Föryngringsavverkning</t>
        </is>
      </c>
      <c r="D187" s="1" t="n">
        <v>45267</v>
      </c>
      <c r="E187" s="1" t="n">
        <v>46223</v>
      </c>
      <c r="F187" t="inlineStr">
        <is>
          <t>DALARNAS LÄN</t>
        </is>
      </c>
      <c r="G187" t="inlineStr">
        <is>
          <t>MALUNG-SÄLEN</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58772-2022</t>
        </is>
      </c>
      <c r="B188" t="inlineStr">
        <is>
          <t>avverkningsanmälan</t>
        </is>
      </c>
      <c r="C188" t="inlineStr">
        <is>
          <t>Föryngringsavverkning</t>
        </is>
      </c>
      <c r="D188" s="1" t="n">
        <v>44903</v>
      </c>
      <c r="E188" s="1" t="n">
        <v>46223</v>
      </c>
      <c r="F188" t="inlineStr">
        <is>
          <t>DALARNAS LÄN</t>
        </is>
      </c>
      <c r="G188" t="inlineStr">
        <is>
          <t>MALUNG-SÄLEN</t>
        </is>
      </c>
      <c r="I188" t="n">
        <v>5.2</v>
      </c>
      <c r="J188" t="n">
        <v>0</v>
      </c>
      <c r="K188" t="n">
        <v>0</v>
      </c>
      <c r="L188" t="n">
        <v>0</v>
      </c>
      <c r="M188" t="n">
        <v>0</v>
      </c>
      <c r="N188" t="n">
        <v>0</v>
      </c>
      <c r="O188" t="n">
        <v>0</v>
      </c>
      <c r="P188" t="n">
        <v>0</v>
      </c>
      <c r="Q188" t="n">
        <v>0</v>
      </c>
      <c r="R188" t="n">
        <v>0</v>
      </c>
      <c r="S188" t="n">
        <v>0</v>
      </c>
      <c r="T188" t="n">
        <v>0</v>
      </c>
      <c r="U188" s="2" t="inlineStr"/>
    </row>
    <row r="189" ht="15" customHeight="1">
      <c r="A189" t="inlineStr">
        <is>
          <t>A 22237-2024</t>
        </is>
      </c>
      <c r="B189" t="inlineStr">
        <is>
          <t>avverkningsanmälan</t>
        </is>
      </c>
      <c r="C189" t="inlineStr">
        <is>
          <t>Föryngringsavverkning</t>
        </is>
      </c>
      <c r="D189" s="1" t="n">
        <v>45446</v>
      </c>
      <c r="E189" s="1" t="n">
        <v>46223</v>
      </c>
      <c r="F189" t="inlineStr">
        <is>
          <t>DALARNAS LÄN</t>
        </is>
      </c>
      <c r="G189" t="inlineStr">
        <is>
          <t>MALUNG-SÄLEN</t>
        </is>
      </c>
      <c r="H189" t="inlineStr">
        <is>
          <t>Bergvik skog öst AB</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60940-2022</t>
        </is>
      </c>
      <c r="B190" t="inlineStr">
        <is>
          <t>avverkningsanmälan</t>
        </is>
      </c>
      <c r="C190" t="inlineStr">
        <is>
          <t>Föryngringsavverkning</t>
        </is>
      </c>
      <c r="D190" s="1" t="n">
        <v>44914</v>
      </c>
      <c r="E190" s="1" t="n">
        <v>46223</v>
      </c>
      <c r="F190" t="inlineStr">
        <is>
          <t>DALARNAS LÄN</t>
        </is>
      </c>
      <c r="G190" t="inlineStr">
        <is>
          <t>MALUNG-SÄLEN</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57645-2022</t>
        </is>
      </c>
      <c r="B191" t="inlineStr">
        <is>
          <t>avverkningsanmälan</t>
        </is>
      </c>
      <c r="C191" t="inlineStr">
        <is>
          <t>Föryngringsavverkning</t>
        </is>
      </c>
      <c r="D191" s="1" t="n">
        <v>44897</v>
      </c>
      <c r="E191" s="1" t="n">
        <v>46223</v>
      </c>
      <c r="F191" t="inlineStr">
        <is>
          <t>DALARNAS LÄN</t>
        </is>
      </c>
      <c r="G191" t="inlineStr">
        <is>
          <t>MALUNG-SÄLEN</t>
        </is>
      </c>
      <c r="I191" t="n">
        <v>4.8</v>
      </c>
      <c r="J191" t="n">
        <v>0</v>
      </c>
      <c r="K191" t="n">
        <v>0</v>
      </c>
      <c r="L191" t="n">
        <v>0</v>
      </c>
      <c r="M191" t="n">
        <v>0</v>
      </c>
      <c r="N191" t="n">
        <v>0</v>
      </c>
      <c r="O191" t="n">
        <v>0</v>
      </c>
      <c r="P191" t="n">
        <v>0</v>
      </c>
      <c r="Q191" t="n">
        <v>0</v>
      </c>
      <c r="R191" t="n">
        <v>0</v>
      </c>
      <c r="S191" t="n">
        <v>0</v>
      </c>
      <c r="T191" t="n">
        <v>0</v>
      </c>
      <c r="U191" s="2" t="inlineStr"/>
    </row>
    <row r="192" ht="15" customHeight="1">
      <c r="A192" t="inlineStr">
        <is>
          <t>A 72643-2021</t>
        </is>
      </c>
      <c r="B192" t="inlineStr">
        <is>
          <t>avverkningsanmälan</t>
        </is>
      </c>
      <c r="C192" t="inlineStr">
        <is>
          <t>Föryngringsavverkning</t>
        </is>
      </c>
      <c r="D192" s="1" t="n">
        <v>44546</v>
      </c>
      <c r="E192" s="1" t="n">
        <v>46223</v>
      </c>
      <c r="F192" t="inlineStr">
        <is>
          <t>DALARNAS LÄN</t>
        </is>
      </c>
      <c r="G192" t="inlineStr">
        <is>
          <t>MALUNG-SÄLEN</t>
        </is>
      </c>
      <c r="I192" t="n">
        <v>5.6</v>
      </c>
      <c r="J192" t="n">
        <v>0</v>
      </c>
      <c r="K192" t="n">
        <v>0</v>
      </c>
      <c r="L192" t="n">
        <v>0</v>
      </c>
      <c r="M192" t="n">
        <v>0</v>
      </c>
      <c r="N192" t="n">
        <v>0</v>
      </c>
      <c r="O192" t="n">
        <v>0</v>
      </c>
      <c r="P192" t="n">
        <v>0</v>
      </c>
      <c r="Q192" t="n">
        <v>0</v>
      </c>
      <c r="R192" t="n">
        <v>0</v>
      </c>
      <c r="S192" t="n">
        <v>0</v>
      </c>
      <c r="T192" t="n">
        <v>0</v>
      </c>
      <c r="U192" s="2" t="inlineStr"/>
    </row>
    <row r="193" ht="15" customHeight="1">
      <c r="A193" t="inlineStr">
        <is>
          <t>A 114-2024</t>
        </is>
      </c>
      <c r="B193" t="inlineStr">
        <is>
          <t>avverkningsanmälan</t>
        </is>
      </c>
      <c r="C193" t="inlineStr">
        <is>
          <t>Föryngringsavverkning</t>
        </is>
      </c>
      <c r="D193" s="1" t="n">
        <v>45294</v>
      </c>
      <c r="E193" s="1" t="n">
        <v>46223</v>
      </c>
      <c r="F193" t="inlineStr">
        <is>
          <t>DALARNAS LÄN</t>
        </is>
      </c>
      <c r="G193" t="inlineStr">
        <is>
          <t>MALUNG-SÄLEN</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31180-2024</t>
        </is>
      </c>
      <c r="B194" t="inlineStr">
        <is>
          <t>avverkningsanmälan</t>
        </is>
      </c>
      <c r="C194" t="inlineStr">
        <is>
          <t>Föryngringsavverkning</t>
        </is>
      </c>
      <c r="D194" s="1" t="n">
        <v>45503</v>
      </c>
      <c r="E194" s="1" t="n">
        <v>46223</v>
      </c>
      <c r="F194" t="inlineStr">
        <is>
          <t>DALARNAS LÄN</t>
        </is>
      </c>
      <c r="G194" t="inlineStr">
        <is>
          <t>MALUNG-SÄLEN</t>
        </is>
      </c>
      <c r="H194" t="inlineStr">
        <is>
          <t>Allmännings- och besparingsskogar</t>
        </is>
      </c>
      <c r="I194" t="n">
        <v>62.6</v>
      </c>
      <c r="J194" t="n">
        <v>0</v>
      </c>
      <c r="K194" t="n">
        <v>0</v>
      </c>
      <c r="L194" t="n">
        <v>0</v>
      </c>
      <c r="M194" t="n">
        <v>0</v>
      </c>
      <c r="N194" t="n">
        <v>0</v>
      </c>
      <c r="O194" t="n">
        <v>0</v>
      </c>
      <c r="P194" t="n">
        <v>0</v>
      </c>
      <c r="Q194" t="n">
        <v>0</v>
      </c>
      <c r="R194" t="n">
        <v>0</v>
      </c>
      <c r="S194" t="n">
        <v>0</v>
      </c>
      <c r="T194" t="n">
        <v>0</v>
      </c>
      <c r="U194" s="2" t="inlineStr"/>
    </row>
    <row r="195" ht="15" customHeight="1">
      <c r="A195" t="inlineStr">
        <is>
          <t>A 62792-2023</t>
        </is>
      </c>
      <c r="B195" t="inlineStr">
        <is>
          <t>avverkningsanmälan</t>
        </is>
      </c>
      <c r="C195" t="inlineStr">
        <is>
          <t>Föryngringsavverkning</t>
        </is>
      </c>
      <c r="D195" s="1" t="n">
        <v>45271</v>
      </c>
      <c r="E195" s="1" t="n">
        <v>46223</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29364-2024</t>
        </is>
      </c>
      <c r="B196" t="inlineStr">
        <is>
          <t>avverkningsanmälan</t>
        </is>
      </c>
      <c r="C196" t="inlineStr">
        <is>
          <t>Avverkning för att bevara och utveckla /försöksver</t>
        </is>
      </c>
      <c r="D196" s="1" t="n">
        <v>45483</v>
      </c>
      <c r="E196" s="1" t="n">
        <v>46223</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20100-2024</t>
        </is>
      </c>
      <c r="B197" t="inlineStr">
        <is>
          <t>avverkningsanmälan</t>
        </is>
      </c>
      <c r="C197" t="inlineStr">
        <is>
          <t>Föryngringsavverkning</t>
        </is>
      </c>
      <c r="D197" s="1" t="n">
        <v>45434</v>
      </c>
      <c r="E197" s="1" t="n">
        <v>46223</v>
      </c>
      <c r="F197" t="inlineStr">
        <is>
          <t>DALARNAS LÄN</t>
        </is>
      </c>
      <c r="G197" t="inlineStr">
        <is>
          <t>MALUNG-SÄLEN</t>
        </is>
      </c>
      <c r="H197" t="inlineStr">
        <is>
          <t>Bergvik skog väst AB</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194-2023</t>
        </is>
      </c>
      <c r="B198" t="inlineStr">
        <is>
          <t>avverkningsanmälan</t>
        </is>
      </c>
      <c r="C198" t="inlineStr">
        <is>
          <t>Föryngringsavverkning</t>
        </is>
      </c>
      <c r="D198" s="1" t="n">
        <v>44928</v>
      </c>
      <c r="E198" s="1" t="n">
        <v>46223</v>
      </c>
      <c r="F198" t="inlineStr">
        <is>
          <t>DALARNAS LÄN</t>
        </is>
      </c>
      <c r="G198" t="inlineStr">
        <is>
          <t>MALUNG-SÄLEN</t>
        </is>
      </c>
      <c r="I198" t="n">
        <v>5.3</v>
      </c>
      <c r="J198" t="n">
        <v>0</v>
      </c>
      <c r="K198" t="n">
        <v>0</v>
      </c>
      <c r="L198" t="n">
        <v>0</v>
      </c>
      <c r="M198" t="n">
        <v>0</v>
      </c>
      <c r="N198" t="n">
        <v>0</v>
      </c>
      <c r="O198" t="n">
        <v>0</v>
      </c>
      <c r="P198" t="n">
        <v>0</v>
      </c>
      <c r="Q198" t="n">
        <v>0</v>
      </c>
      <c r="R198" t="n">
        <v>0</v>
      </c>
      <c r="S198" t="n">
        <v>0</v>
      </c>
      <c r="T198" t="n">
        <v>0</v>
      </c>
      <c r="U198" s="2" t="inlineStr"/>
    </row>
    <row r="199" ht="15" customHeight="1">
      <c r="A199" t="inlineStr">
        <is>
          <t>A 29350-2024</t>
        </is>
      </c>
      <c r="B199" t="inlineStr">
        <is>
          <t>avverkningsanmälan</t>
        </is>
      </c>
      <c r="C199" t="inlineStr">
        <is>
          <t>Avverkning för att bevara och utveckla /försöksver</t>
        </is>
      </c>
      <c r="D199" s="1" t="n">
        <v>45483</v>
      </c>
      <c r="E199" s="1" t="n">
        <v>46223</v>
      </c>
      <c r="F199" t="inlineStr">
        <is>
          <t>DALARNAS LÄN</t>
        </is>
      </c>
      <c r="G199" t="inlineStr">
        <is>
          <t>MALUNG-SÄLEN</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32167-2024</t>
        </is>
      </c>
      <c r="B200" t="inlineStr">
        <is>
          <t>avverkningsanmälan</t>
        </is>
      </c>
      <c r="C200" t="inlineStr">
        <is>
          <t>Avverkning för att bevara och utveckla /försöksver</t>
        </is>
      </c>
      <c r="D200" s="1" t="n">
        <v>45511</v>
      </c>
      <c r="E200" s="1" t="n">
        <v>46223</v>
      </c>
      <c r="F200" t="inlineStr">
        <is>
          <t>DALARNAS LÄN</t>
        </is>
      </c>
      <c r="G200" t="inlineStr">
        <is>
          <t>MALUNG-SÄLEN</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57388-2022</t>
        </is>
      </c>
      <c r="B201" t="inlineStr">
        <is>
          <t>avverkningsanmälan</t>
        </is>
      </c>
      <c r="C201" t="inlineStr">
        <is>
          <t>Föryngringsavverkning</t>
        </is>
      </c>
      <c r="D201" s="1" t="n">
        <v>44896</v>
      </c>
      <c r="E201" s="1" t="n">
        <v>46223</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59603-2022</t>
        </is>
      </c>
      <c r="B202" t="inlineStr">
        <is>
          <t>avverkningsanmälan</t>
        </is>
      </c>
      <c r="C202" t="inlineStr">
        <is>
          <t>Avverkning för att bevara och utveckla /försöksver</t>
        </is>
      </c>
      <c r="D202" s="1" t="n">
        <v>44907</v>
      </c>
      <c r="E202" s="1" t="n">
        <v>46223</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45697-2023</t>
        </is>
      </c>
      <c r="B203" t="inlineStr">
        <is>
          <t>avverkningsanmälan</t>
        </is>
      </c>
      <c r="C203" t="inlineStr">
        <is>
          <t>Föryngringsavverkning</t>
        </is>
      </c>
      <c r="D203" s="1" t="n">
        <v>45195</v>
      </c>
      <c r="E203" s="1" t="n">
        <v>46223</v>
      </c>
      <c r="F203" t="inlineStr">
        <is>
          <t>DALARNAS LÄN</t>
        </is>
      </c>
      <c r="G203" t="inlineStr">
        <is>
          <t>MALUNG-SÄLEN</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30005-2024</t>
        </is>
      </c>
      <c r="B204" t="inlineStr">
        <is>
          <t>avverkningsanmälan</t>
        </is>
      </c>
      <c r="C204" t="inlineStr">
        <is>
          <t>Föryngringsavverkning</t>
        </is>
      </c>
      <c r="D204" s="1" t="n">
        <v>45488</v>
      </c>
      <c r="E204" s="1" t="n">
        <v>46223</v>
      </c>
      <c r="F204" t="inlineStr">
        <is>
          <t>DALARNAS LÄN</t>
        </is>
      </c>
      <c r="G204" t="inlineStr">
        <is>
          <t>MALUNG-SÄLEN</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46885-2024</t>
        </is>
      </c>
      <c r="B205" t="inlineStr">
        <is>
          <t>avverkningsanmälan</t>
        </is>
      </c>
      <c r="C205" t="inlineStr">
        <is>
          <t>Föryngringsavverkning</t>
        </is>
      </c>
      <c r="D205" s="1" t="n">
        <v>45583</v>
      </c>
      <c r="E205" s="1" t="n">
        <v>46223</v>
      </c>
      <c r="F205" t="inlineStr">
        <is>
          <t>DALARNAS LÄN</t>
        </is>
      </c>
      <c r="G205" t="inlineStr">
        <is>
          <t>MALUNG-SÄLEN</t>
        </is>
      </c>
      <c r="H205" t="inlineStr">
        <is>
          <t>Bergvik skog väst AB</t>
        </is>
      </c>
      <c r="I205" t="n">
        <v>10</v>
      </c>
      <c r="J205" t="n">
        <v>0</v>
      </c>
      <c r="K205" t="n">
        <v>0</v>
      </c>
      <c r="L205" t="n">
        <v>0</v>
      </c>
      <c r="M205" t="n">
        <v>0</v>
      </c>
      <c r="N205" t="n">
        <v>0</v>
      </c>
      <c r="O205" t="n">
        <v>0</v>
      </c>
      <c r="P205" t="n">
        <v>0</v>
      </c>
      <c r="Q205" t="n">
        <v>0</v>
      </c>
      <c r="R205" t="n">
        <v>0</v>
      </c>
      <c r="S205" t="n">
        <v>0</v>
      </c>
      <c r="T205" t="n">
        <v>0</v>
      </c>
      <c r="U205" s="2" t="inlineStr"/>
    </row>
    <row r="206" ht="15" customHeight="1">
      <c r="A206" t="inlineStr">
        <is>
          <t>A 25928-2025</t>
        </is>
      </c>
      <c r="B206" t="inlineStr">
        <is>
          <t>avverkningsanmälan</t>
        </is>
      </c>
      <c r="C206" t="inlineStr">
        <is>
          <t>Avverkning för annat ändamål</t>
        </is>
      </c>
      <c r="D206" s="1" t="n">
        <v>45804</v>
      </c>
      <c r="E206" s="1" t="n">
        <v>46223</v>
      </c>
      <c r="F206" t="inlineStr">
        <is>
          <t>DALARNAS LÄN</t>
        </is>
      </c>
      <c r="G206" t="inlineStr">
        <is>
          <t>MALUNG-SÄLEN</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15334-2025</t>
        </is>
      </c>
      <c r="B207" t="inlineStr">
        <is>
          <t>avverkningsanmälan</t>
        </is>
      </c>
      <c r="C207" t="inlineStr">
        <is>
          <t>Föryngringsavverkning</t>
        </is>
      </c>
      <c r="D207" s="1" t="n">
        <v>45747</v>
      </c>
      <c r="E207" s="1" t="n">
        <v>46223</v>
      </c>
      <c r="F207" t="inlineStr">
        <is>
          <t>DALARNAS LÄN</t>
        </is>
      </c>
      <c r="G207" t="inlineStr">
        <is>
          <t>MALUNG-SÄLEN</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26138-2025</t>
        </is>
      </c>
      <c r="B208" t="inlineStr">
        <is>
          <t>avverkningsanmälan</t>
        </is>
      </c>
      <c r="C208" t="inlineStr">
        <is>
          <t>Föryngringsavverkning</t>
        </is>
      </c>
      <c r="D208" s="1" t="n">
        <v>45805</v>
      </c>
      <c r="E208" s="1" t="n">
        <v>46223</v>
      </c>
      <c r="F208" t="inlineStr">
        <is>
          <t>DALARNAS LÄN</t>
        </is>
      </c>
      <c r="G208" t="inlineStr">
        <is>
          <t>MALUNG-SÄLEN</t>
        </is>
      </c>
      <c r="H208" t="inlineStr">
        <is>
          <t>Bergvik skog öst AB</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26142-2025</t>
        </is>
      </c>
      <c r="B209" t="inlineStr">
        <is>
          <t>avverkningsanmälan</t>
        </is>
      </c>
      <c r="C209" t="inlineStr">
        <is>
          <t>Föryngringsavverkning</t>
        </is>
      </c>
      <c r="D209" s="1" t="n">
        <v>45805</v>
      </c>
      <c r="E209" s="1" t="n">
        <v>46223</v>
      </c>
      <c r="F209" t="inlineStr">
        <is>
          <t>DALARNAS LÄN</t>
        </is>
      </c>
      <c r="G209" t="inlineStr">
        <is>
          <t>MALUNG-SÄLEN</t>
        </is>
      </c>
      <c r="H209" t="inlineStr">
        <is>
          <t>Bergvik skog öst AB</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24066-2024</t>
        </is>
      </c>
      <c r="B210" t="inlineStr">
        <is>
          <t>avverkningsanmälan</t>
        </is>
      </c>
      <c r="C210" t="inlineStr">
        <is>
          <t>Föryngringsavverkning</t>
        </is>
      </c>
      <c r="D210" s="1" t="n">
        <v>45456</v>
      </c>
      <c r="E210" s="1" t="n">
        <v>46223</v>
      </c>
      <c r="F210" t="inlineStr">
        <is>
          <t>DALARNAS LÄN</t>
        </is>
      </c>
      <c r="G210" t="inlineStr">
        <is>
          <t>MALUNG-SÄLEN</t>
        </is>
      </c>
      <c r="H210" t="inlineStr">
        <is>
          <t>Bergvik skog väst AB</t>
        </is>
      </c>
      <c r="I210" t="n">
        <v>15.1</v>
      </c>
      <c r="J210" t="n">
        <v>0</v>
      </c>
      <c r="K210" t="n">
        <v>0</v>
      </c>
      <c r="L210" t="n">
        <v>0</v>
      </c>
      <c r="M210" t="n">
        <v>0</v>
      </c>
      <c r="N210" t="n">
        <v>0</v>
      </c>
      <c r="O210" t="n">
        <v>0</v>
      </c>
      <c r="P210" t="n">
        <v>0</v>
      </c>
      <c r="Q210" t="n">
        <v>0</v>
      </c>
      <c r="R210" t="n">
        <v>0</v>
      </c>
      <c r="S210" t="n">
        <v>0</v>
      </c>
      <c r="T210" t="n">
        <v>0</v>
      </c>
      <c r="U210" s="2" t="inlineStr"/>
    </row>
    <row r="211" ht="15" customHeight="1">
      <c r="A211" t="inlineStr">
        <is>
          <t>A 30366-2024</t>
        </is>
      </c>
      <c r="B211" t="inlineStr">
        <is>
          <t>avverkningsanmälan</t>
        </is>
      </c>
      <c r="C211" t="inlineStr">
        <is>
          <t>Föryngringsavverkning</t>
        </is>
      </c>
      <c r="D211" s="1" t="n">
        <v>45491</v>
      </c>
      <c r="E211" s="1" t="n">
        <v>46223</v>
      </c>
      <c r="F211" t="inlineStr">
        <is>
          <t>DALARNAS LÄN</t>
        </is>
      </c>
      <c r="G211" t="inlineStr">
        <is>
          <t>MALUNG-SÄLEN</t>
        </is>
      </c>
      <c r="H211" t="inlineStr">
        <is>
          <t>Bergvik skog öst AB</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30372-2024</t>
        </is>
      </c>
      <c r="B212" t="inlineStr">
        <is>
          <t>avverkningsanmälan</t>
        </is>
      </c>
      <c r="C212" t="inlineStr">
        <is>
          <t>Föryngringsavverkning</t>
        </is>
      </c>
      <c r="D212" s="1" t="n">
        <v>45491</v>
      </c>
      <c r="E212" s="1" t="n">
        <v>46223</v>
      </c>
      <c r="F212" t="inlineStr">
        <is>
          <t>DALARNAS LÄN</t>
        </is>
      </c>
      <c r="G212" t="inlineStr">
        <is>
          <t>MALUNG-SÄLEN</t>
        </is>
      </c>
      <c r="H212" t="inlineStr">
        <is>
          <t>Bergvik skog öst AB</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38376-2025</t>
        </is>
      </c>
      <c r="B213" t="inlineStr">
        <is>
          <t>avverkningsanmälan</t>
        </is>
      </c>
      <c r="C213" t="inlineStr">
        <is>
          <t>Avverkning för annat ändamål</t>
        </is>
      </c>
      <c r="D213" s="1" t="n">
        <v>45883</v>
      </c>
      <c r="E213" s="1" t="n">
        <v>46223</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28055-2024</t>
        </is>
      </c>
      <c r="B214" t="inlineStr">
        <is>
          <t>avverkningsanmälan</t>
        </is>
      </c>
      <c r="C214" t="inlineStr">
        <is>
          <t>Föryngringsavverkning</t>
        </is>
      </c>
      <c r="D214" s="1" t="n">
        <v>45476</v>
      </c>
      <c r="E214" s="1" t="n">
        <v>46223</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26460-2025</t>
        </is>
      </c>
      <c r="B215" t="inlineStr">
        <is>
          <t>avverkningsanmälan</t>
        </is>
      </c>
      <c r="C215" t="inlineStr">
        <is>
          <t>Föryngringsavverkning</t>
        </is>
      </c>
      <c r="D215" s="1" t="n">
        <v>45807</v>
      </c>
      <c r="E215" s="1" t="n">
        <v>46223</v>
      </c>
      <c r="F215" t="inlineStr">
        <is>
          <t>DALARNAS LÄN</t>
        </is>
      </c>
      <c r="G215" t="inlineStr">
        <is>
          <t>MALUNG-SÄLEN</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3849-2024</t>
        </is>
      </c>
      <c r="B216" t="inlineStr">
        <is>
          <t>avverkningsanmälan</t>
        </is>
      </c>
      <c r="C216" t="inlineStr">
        <is>
          <t>Föryngringsavverkning</t>
        </is>
      </c>
      <c r="D216" s="1" t="n">
        <v>45322</v>
      </c>
      <c r="E216" s="1" t="n">
        <v>46223</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26454-2025</t>
        </is>
      </c>
      <c r="B217" t="inlineStr">
        <is>
          <t>avverkningsanmälan</t>
        </is>
      </c>
      <c r="C217" t="inlineStr">
        <is>
          <t>Föryngringsavverkning</t>
        </is>
      </c>
      <c r="D217" s="1" t="n">
        <v>45807</v>
      </c>
      <c r="E217" s="1" t="n">
        <v>46223</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58004-2025</t>
        </is>
      </c>
      <c r="B218" t="inlineStr">
        <is>
          <t>avverkningsanmälan</t>
        </is>
      </c>
      <c r="C218" t="inlineStr">
        <is>
          <t>Föryngringsavverkning</t>
        </is>
      </c>
      <c r="D218" s="1" t="n">
        <v>45982</v>
      </c>
      <c r="E218" s="1" t="n">
        <v>46223</v>
      </c>
      <c r="F218" t="inlineStr">
        <is>
          <t>DALARNAS LÄN</t>
        </is>
      </c>
      <c r="G218" t="inlineStr">
        <is>
          <t>MALUNG-SÄLEN</t>
        </is>
      </c>
      <c r="H218" t="inlineStr">
        <is>
          <t>Bergvik skog väst AB</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26852-2025</t>
        </is>
      </c>
      <c r="B219" t="inlineStr">
        <is>
          <t>avverkningsanmälan</t>
        </is>
      </c>
      <c r="C219" t="inlineStr">
        <is>
          <t>Föryngringsavverkning</t>
        </is>
      </c>
      <c r="D219" s="1" t="n">
        <v>45810</v>
      </c>
      <c r="E219" s="1" t="n">
        <v>46223</v>
      </c>
      <c r="F219" t="inlineStr">
        <is>
          <t>DALARNAS LÄN</t>
        </is>
      </c>
      <c r="G219" t="inlineStr">
        <is>
          <t>MALUNG-SÄLEN</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4177-2026</t>
        </is>
      </c>
      <c r="B220" t="inlineStr">
        <is>
          <t>avverkningsanmälan</t>
        </is>
      </c>
      <c r="C220" t="inlineStr">
        <is>
          <t>Föryngringsavverkning</t>
        </is>
      </c>
      <c r="D220" s="1" t="n">
        <v>46044</v>
      </c>
      <c r="E220" s="1" t="n">
        <v>46223</v>
      </c>
      <c r="F220" t="inlineStr">
        <is>
          <t>DALARNAS LÄN</t>
        </is>
      </c>
      <c r="G220" t="inlineStr">
        <is>
          <t>MALUNG-SÄLEN</t>
        </is>
      </c>
      <c r="I220" t="n">
        <v>7.9</v>
      </c>
      <c r="J220" t="n">
        <v>0</v>
      </c>
      <c r="K220" t="n">
        <v>0</v>
      </c>
      <c r="L220" t="n">
        <v>0</v>
      </c>
      <c r="M220" t="n">
        <v>0</v>
      </c>
      <c r="N220" t="n">
        <v>0</v>
      </c>
      <c r="O220" t="n">
        <v>0</v>
      </c>
      <c r="P220" t="n">
        <v>0</v>
      </c>
      <c r="Q220" t="n">
        <v>0</v>
      </c>
      <c r="R220" t="n">
        <v>0</v>
      </c>
      <c r="S220" t="n">
        <v>0</v>
      </c>
      <c r="T220" t="n">
        <v>0</v>
      </c>
      <c r="U220" s="2" t="inlineStr"/>
    </row>
    <row r="221" ht="15" customHeight="1">
      <c r="A221" t="inlineStr">
        <is>
          <t>A 34395-2024</t>
        </is>
      </c>
      <c r="B221" t="inlineStr">
        <is>
          <t>avverkningsanmälan</t>
        </is>
      </c>
      <c r="C221" t="inlineStr">
        <is>
          <t>Föryngringsavverkning</t>
        </is>
      </c>
      <c r="D221" s="1" t="n">
        <v>45525</v>
      </c>
      <c r="E221" s="1" t="n">
        <v>46223</v>
      </c>
      <c r="F221" t="inlineStr">
        <is>
          <t>DALARNAS LÄN</t>
        </is>
      </c>
      <c r="G221" t="inlineStr">
        <is>
          <t>MALUNG-SÄLEN</t>
        </is>
      </c>
      <c r="H221" t="inlineStr">
        <is>
          <t>Bergvik skog väst AB</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52141-2024</t>
        </is>
      </c>
      <c r="B222" t="inlineStr">
        <is>
          <t>avverkningsanmälan</t>
        </is>
      </c>
      <c r="C222" t="inlineStr">
        <is>
          <t>Föryngringsavverkning</t>
        </is>
      </c>
      <c r="D222" s="1" t="n">
        <v>45608</v>
      </c>
      <c r="E222" s="1" t="n">
        <v>46223</v>
      </c>
      <c r="F222" t="inlineStr">
        <is>
          <t>DALARNAS LÄN</t>
        </is>
      </c>
      <c r="G222" t="inlineStr">
        <is>
          <t>MALUNG-SÄLEN</t>
        </is>
      </c>
      <c r="I222" t="n">
        <v>5.2</v>
      </c>
      <c r="J222" t="n">
        <v>0</v>
      </c>
      <c r="K222" t="n">
        <v>0</v>
      </c>
      <c r="L222" t="n">
        <v>0</v>
      </c>
      <c r="M222" t="n">
        <v>0</v>
      </c>
      <c r="N222" t="n">
        <v>0</v>
      </c>
      <c r="O222" t="n">
        <v>0</v>
      </c>
      <c r="P222" t="n">
        <v>0</v>
      </c>
      <c r="Q222" t="n">
        <v>0</v>
      </c>
      <c r="R222" t="n">
        <v>0</v>
      </c>
      <c r="S222" t="n">
        <v>0</v>
      </c>
      <c r="T222" t="n">
        <v>0</v>
      </c>
      <c r="U222" s="2" t="inlineStr"/>
    </row>
    <row r="223" ht="15" customHeight="1">
      <c r="A223" t="inlineStr">
        <is>
          <t>A 34397-2024</t>
        </is>
      </c>
      <c r="B223" t="inlineStr">
        <is>
          <t>avverkningsanmälan</t>
        </is>
      </c>
      <c r="C223" t="inlineStr">
        <is>
          <t>Föryngringsavverkning</t>
        </is>
      </c>
      <c r="D223" s="1" t="n">
        <v>45525</v>
      </c>
      <c r="E223" s="1" t="n">
        <v>46223</v>
      </c>
      <c r="F223" t="inlineStr">
        <is>
          <t>DALARNAS LÄN</t>
        </is>
      </c>
      <c r="G223" t="inlineStr">
        <is>
          <t>MALUNG-SÄLEN</t>
        </is>
      </c>
      <c r="H223" t="inlineStr">
        <is>
          <t>Bergvik skog väst AB</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38795-2024</t>
        </is>
      </c>
      <c r="B224" t="inlineStr">
        <is>
          <t>avverkningsanmälan</t>
        </is>
      </c>
      <c r="C224" t="inlineStr">
        <is>
          <t>Föryngringsavverkning</t>
        </is>
      </c>
      <c r="D224" s="1" t="n">
        <v>45547</v>
      </c>
      <c r="E224" s="1" t="n">
        <v>46223</v>
      </c>
      <c r="F224" t="inlineStr">
        <is>
          <t>DALARNAS LÄN</t>
        </is>
      </c>
      <c r="G224" t="inlineStr">
        <is>
          <t>MALUNG-SÄLEN</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206-2023</t>
        </is>
      </c>
      <c r="B225" t="inlineStr">
        <is>
          <t>avverkningsanmälan</t>
        </is>
      </c>
      <c r="C225" t="inlineStr">
        <is>
          <t>Föryngringsavverkning</t>
        </is>
      </c>
      <c r="D225" s="1" t="n">
        <v>44928</v>
      </c>
      <c r="E225" s="1" t="n">
        <v>46223</v>
      </c>
      <c r="F225" t="inlineStr">
        <is>
          <t>DALARNAS LÄN</t>
        </is>
      </c>
      <c r="G225" t="inlineStr">
        <is>
          <t>MALUNG-SÄLEN</t>
        </is>
      </c>
      <c r="I225" t="n">
        <v>7.6</v>
      </c>
      <c r="J225" t="n">
        <v>0</v>
      </c>
      <c r="K225" t="n">
        <v>0</v>
      </c>
      <c r="L225" t="n">
        <v>0</v>
      </c>
      <c r="M225" t="n">
        <v>0</v>
      </c>
      <c r="N225" t="n">
        <v>0</v>
      </c>
      <c r="O225" t="n">
        <v>0</v>
      </c>
      <c r="P225" t="n">
        <v>0</v>
      </c>
      <c r="Q225" t="n">
        <v>0</v>
      </c>
      <c r="R225" t="n">
        <v>0</v>
      </c>
      <c r="S225" t="n">
        <v>0</v>
      </c>
      <c r="T225" t="n">
        <v>0</v>
      </c>
      <c r="U225" s="2" t="inlineStr"/>
    </row>
    <row r="226" ht="15" customHeight="1">
      <c r="A226" t="inlineStr">
        <is>
          <t>A 41880-2024</t>
        </is>
      </c>
      <c r="B226" t="inlineStr">
        <is>
          <t>avverkningsanmälan</t>
        </is>
      </c>
      <c r="C226" t="inlineStr">
        <is>
          <t>Föryngringsavverkning</t>
        </is>
      </c>
      <c r="D226" s="1" t="n">
        <v>45561</v>
      </c>
      <c r="E226" s="1" t="n">
        <v>46223</v>
      </c>
      <c r="F226" t="inlineStr">
        <is>
          <t>DALARNAS LÄN</t>
        </is>
      </c>
      <c r="G226" t="inlineStr">
        <is>
          <t>MALUNG-SÄLEN</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28083-2025</t>
        </is>
      </c>
      <c r="B227" t="inlineStr">
        <is>
          <t>avverkningsanmälan</t>
        </is>
      </c>
      <c r="C227" t="inlineStr">
        <is>
          <t>Föryngringsavverkning</t>
        </is>
      </c>
      <c r="D227" s="1" t="n">
        <v>45817</v>
      </c>
      <c r="E227" s="1" t="n">
        <v>46223</v>
      </c>
      <c r="F227" t="inlineStr">
        <is>
          <t>DALARNAS LÄN</t>
        </is>
      </c>
      <c r="G227" t="inlineStr">
        <is>
          <t>MALUNG-SÄLEN</t>
        </is>
      </c>
      <c r="H227" t="inlineStr">
        <is>
          <t>Allmännings- och besparingsskogar</t>
        </is>
      </c>
      <c r="I227" t="n">
        <v>28.4</v>
      </c>
      <c r="J227" t="n">
        <v>0</v>
      </c>
      <c r="K227" t="n">
        <v>0</v>
      </c>
      <c r="L227" t="n">
        <v>0</v>
      </c>
      <c r="M227" t="n">
        <v>0</v>
      </c>
      <c r="N227" t="n">
        <v>0</v>
      </c>
      <c r="O227" t="n">
        <v>0</v>
      </c>
      <c r="P227" t="n">
        <v>0</v>
      </c>
      <c r="Q227" t="n">
        <v>0</v>
      </c>
      <c r="R227" t="n">
        <v>0</v>
      </c>
      <c r="S227" t="n">
        <v>0</v>
      </c>
      <c r="T227" t="n">
        <v>0</v>
      </c>
      <c r="U227" s="2" t="inlineStr"/>
    </row>
    <row r="228" ht="15" customHeight="1">
      <c r="A228" t="inlineStr">
        <is>
          <t>A 28133-2025</t>
        </is>
      </c>
      <c r="B228" t="inlineStr">
        <is>
          <t>avverkningsanmälan</t>
        </is>
      </c>
      <c r="C228" t="inlineStr">
        <is>
          <t>Föryngringsavverkning</t>
        </is>
      </c>
      <c r="D228" s="1" t="n">
        <v>45818</v>
      </c>
      <c r="E228" s="1" t="n">
        <v>46223</v>
      </c>
      <c r="F228" t="inlineStr">
        <is>
          <t>DALARNAS LÄN</t>
        </is>
      </c>
      <c r="G228" t="inlineStr">
        <is>
          <t>MALUNG-SÄLEN</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18249-2025</t>
        </is>
      </c>
      <c r="B229" t="inlineStr">
        <is>
          <t>avverkningsanmälan</t>
        </is>
      </c>
      <c r="C229" t="inlineStr">
        <is>
          <t>Föryngringsavverkning</t>
        </is>
      </c>
      <c r="D229" s="1" t="n">
        <v>45762</v>
      </c>
      <c r="E229" s="1" t="n">
        <v>46223</v>
      </c>
      <c r="F229" t="inlineStr">
        <is>
          <t>DALARNAS LÄN</t>
        </is>
      </c>
      <c r="G229" t="inlineStr">
        <is>
          <t>MALUNG-SÄLEN</t>
        </is>
      </c>
      <c r="I229" t="n">
        <v>8.5</v>
      </c>
      <c r="J229" t="n">
        <v>0</v>
      </c>
      <c r="K229" t="n">
        <v>0</v>
      </c>
      <c r="L229" t="n">
        <v>0</v>
      </c>
      <c r="M229" t="n">
        <v>0</v>
      </c>
      <c r="N229" t="n">
        <v>0</v>
      </c>
      <c r="O229" t="n">
        <v>0</v>
      </c>
      <c r="P229" t="n">
        <v>0</v>
      </c>
      <c r="Q229" t="n">
        <v>0</v>
      </c>
      <c r="R229" t="n">
        <v>0</v>
      </c>
      <c r="S229" t="n">
        <v>0</v>
      </c>
      <c r="T229" t="n">
        <v>0</v>
      </c>
      <c r="U229" s="2" t="inlineStr"/>
    </row>
    <row r="230" ht="15" customHeight="1">
      <c r="A230" t="inlineStr">
        <is>
          <t>A 14077-2025</t>
        </is>
      </c>
      <c r="B230" t="inlineStr">
        <is>
          <t>avverkningsanmälan</t>
        </is>
      </c>
      <c r="C230" t="inlineStr">
        <is>
          <t>Föryngringsavverkning</t>
        </is>
      </c>
      <c r="D230" s="1" t="n">
        <v>45740</v>
      </c>
      <c r="E230" s="1" t="n">
        <v>46223</v>
      </c>
      <c r="F230" t="inlineStr">
        <is>
          <t>DALARNAS LÄN</t>
        </is>
      </c>
      <c r="G230" t="inlineStr">
        <is>
          <t>MALUNG-SÄLEN</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52429-2023</t>
        </is>
      </c>
      <c r="B231" t="inlineStr">
        <is>
          <t>avverkningsanmälan</t>
        </is>
      </c>
      <c r="C231" t="inlineStr">
        <is>
          <t>Föryngringsavverkning</t>
        </is>
      </c>
      <c r="D231" s="1" t="n">
        <v>45225</v>
      </c>
      <c r="E231" s="1" t="n">
        <v>46223</v>
      </c>
      <c r="F231" t="inlineStr">
        <is>
          <t>DALARNAS LÄN</t>
        </is>
      </c>
      <c r="G231" t="inlineStr">
        <is>
          <t>MALUNG-SÄLEN</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4019-2026</t>
        </is>
      </c>
      <c r="B232" t="inlineStr">
        <is>
          <t>avverkningsanmälan</t>
        </is>
      </c>
      <c r="C232" t="inlineStr">
        <is>
          <t>Föryngringsavverkning</t>
        </is>
      </c>
      <c r="D232" s="1" t="n">
        <v>46044</v>
      </c>
      <c r="E232" s="1" t="n">
        <v>46223</v>
      </c>
      <c r="F232" t="inlineStr">
        <is>
          <t>DALARNAS LÄN</t>
        </is>
      </c>
      <c r="G232" t="inlineStr">
        <is>
          <t>MALUNG-SÄLEN</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28542-2025</t>
        </is>
      </c>
      <c r="B233" t="inlineStr">
        <is>
          <t>avverkningsanmälan</t>
        </is>
      </c>
      <c r="C233" t="inlineStr">
        <is>
          <t>Föryngringsavverkning</t>
        </is>
      </c>
      <c r="D233" s="1" t="n">
        <v>45818</v>
      </c>
      <c r="E233" s="1" t="n">
        <v>46223</v>
      </c>
      <c r="F233" t="inlineStr">
        <is>
          <t>DALARNAS LÄN</t>
        </is>
      </c>
      <c r="G233" t="inlineStr">
        <is>
          <t>MALUNG-SÄLEN</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58913-2024</t>
        </is>
      </c>
      <c r="B234" t="inlineStr">
        <is>
          <t>avverkningsanmälan</t>
        </is>
      </c>
      <c r="C234" t="inlineStr">
        <is>
          <t>Föryngringsavverkning</t>
        </is>
      </c>
      <c r="D234" s="1" t="n">
        <v>45636</v>
      </c>
      <c r="E234" s="1" t="n">
        <v>46223</v>
      </c>
      <c r="F234" t="inlineStr">
        <is>
          <t>DALARNAS LÄN</t>
        </is>
      </c>
      <c r="G234" t="inlineStr">
        <is>
          <t>MALUNG-SÄLEN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18584-2023</t>
        </is>
      </c>
      <c r="B235" t="inlineStr">
        <is>
          <t>avverkningsanmälan</t>
        </is>
      </c>
      <c r="C235" t="inlineStr">
        <is>
          <t>Avverkning för annat ändamål</t>
        </is>
      </c>
      <c r="D235" s="1" t="n">
        <v>45041</v>
      </c>
      <c r="E235" s="1" t="n">
        <v>46223</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28192-2025</t>
        </is>
      </c>
      <c r="B236" t="inlineStr">
        <is>
          <t>avverkningsanmälan</t>
        </is>
      </c>
      <c r="C236" t="inlineStr">
        <is>
          <t>Föryngringsavverkning</t>
        </is>
      </c>
      <c r="D236" s="1" t="n">
        <v>45818</v>
      </c>
      <c r="E236" s="1" t="n">
        <v>46223</v>
      </c>
      <c r="F236" t="inlineStr">
        <is>
          <t>DALARNAS LÄN</t>
        </is>
      </c>
      <c r="G236" t="inlineStr">
        <is>
          <t>MALUNG-SÄLEN</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28850-2025</t>
        </is>
      </c>
      <c r="B237" t="inlineStr">
        <is>
          <t>avverkningsanmälan</t>
        </is>
      </c>
      <c r="C237" t="inlineStr">
        <is>
          <t>Föryngringsavverkning</t>
        </is>
      </c>
      <c r="D237" s="1" t="n">
        <v>45820</v>
      </c>
      <c r="E237" s="1" t="n">
        <v>46223</v>
      </c>
      <c r="F237" t="inlineStr">
        <is>
          <t>DALARNAS LÄN</t>
        </is>
      </c>
      <c r="G237" t="inlineStr">
        <is>
          <t>MALUNG-SÄLEN</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1771-2026</t>
        </is>
      </c>
      <c r="B238" t="inlineStr">
        <is>
          <t>avverkningsanmälan</t>
        </is>
      </c>
      <c r="C238" t="inlineStr">
        <is>
          <t>Föryngringsavverkning</t>
        </is>
      </c>
      <c r="D238" s="1" t="n">
        <v>46034</v>
      </c>
      <c r="E238" s="1" t="n">
        <v>46223</v>
      </c>
      <c r="F238" t="inlineStr">
        <is>
          <t>DALARNAS LÄN</t>
        </is>
      </c>
      <c r="G238" t="inlineStr">
        <is>
          <t>MALUNG-SÄLEN</t>
        </is>
      </c>
      <c r="I238" t="n">
        <v>13.2</v>
      </c>
      <c r="J238" t="n">
        <v>0</v>
      </c>
      <c r="K238" t="n">
        <v>0</v>
      </c>
      <c r="L238" t="n">
        <v>0</v>
      </c>
      <c r="M238" t="n">
        <v>0</v>
      </c>
      <c r="N238" t="n">
        <v>0</v>
      </c>
      <c r="O238" t="n">
        <v>0</v>
      </c>
      <c r="P238" t="n">
        <v>0</v>
      </c>
      <c r="Q238" t="n">
        <v>0</v>
      </c>
      <c r="R238" t="n">
        <v>0</v>
      </c>
      <c r="S238" t="n">
        <v>0</v>
      </c>
      <c r="T238" t="n">
        <v>0</v>
      </c>
      <c r="U238" s="2" t="inlineStr"/>
    </row>
    <row r="239" ht="15" customHeight="1">
      <c r="A239" t="inlineStr">
        <is>
          <t>A 16035-2025</t>
        </is>
      </c>
      <c r="B239" t="inlineStr">
        <is>
          <t>avverkningsanmälan</t>
        </is>
      </c>
      <c r="C239" t="inlineStr">
        <is>
          <t>Föryngringsavverkning</t>
        </is>
      </c>
      <c r="D239" s="1" t="n">
        <v>45749</v>
      </c>
      <c r="E239" s="1" t="n">
        <v>46223</v>
      </c>
      <c r="F239" t="inlineStr">
        <is>
          <t>DALARNAS LÄN</t>
        </is>
      </c>
      <c r="G239" t="inlineStr">
        <is>
          <t>MALUNG-SÄLEN</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39564-2025</t>
        </is>
      </c>
      <c r="B240" t="inlineStr">
        <is>
          <t>avverkningsanmälan</t>
        </is>
      </c>
      <c r="C240" t="inlineStr">
        <is>
          <t>Föryngringsavverkning</t>
        </is>
      </c>
      <c r="D240" s="1" t="n">
        <v>45890</v>
      </c>
      <c r="E240" s="1" t="n">
        <v>46223</v>
      </c>
      <c r="F240" t="inlineStr">
        <is>
          <t>DALARNAS LÄN</t>
        </is>
      </c>
      <c r="G240" t="inlineStr">
        <is>
          <t>MALUNG-SÄLEN</t>
        </is>
      </c>
      <c r="H240" t="inlineStr">
        <is>
          <t>Naturvårdsverket</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39574-2025</t>
        </is>
      </c>
      <c r="B241" t="inlineStr">
        <is>
          <t>avverkningsanmälan</t>
        </is>
      </c>
      <c r="C241" t="inlineStr">
        <is>
          <t>Föryngringsavverkning</t>
        </is>
      </c>
      <c r="D241" s="1" t="n">
        <v>45890</v>
      </c>
      <c r="E241" s="1" t="n">
        <v>46223</v>
      </c>
      <c r="F241" t="inlineStr">
        <is>
          <t>DALARNAS LÄN</t>
        </is>
      </c>
      <c r="G241" t="inlineStr">
        <is>
          <t>MALUNG-SÄLEN</t>
        </is>
      </c>
      <c r="H241" t="inlineStr">
        <is>
          <t>Bergvik skog väst AB</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29398-2025</t>
        </is>
      </c>
      <c r="B242" t="inlineStr">
        <is>
          <t>avverkningsanmälan</t>
        </is>
      </c>
      <c r="C242" t="inlineStr">
        <is>
          <t>Föryngringsavverkning</t>
        </is>
      </c>
      <c r="D242" s="1" t="n">
        <v>45824</v>
      </c>
      <c r="E242" s="1" t="n">
        <v>46223</v>
      </c>
      <c r="F242" t="inlineStr">
        <is>
          <t>DALARNAS LÄN</t>
        </is>
      </c>
      <c r="G242" t="inlineStr">
        <is>
          <t>MALUNG-SÄLEN</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36181-2024</t>
        </is>
      </c>
      <c r="B243" t="inlineStr">
        <is>
          <t>avverkningsanmälan</t>
        </is>
      </c>
      <c r="C243" t="inlineStr">
        <is>
          <t>Föryngringsavverkning</t>
        </is>
      </c>
      <c r="D243" s="1" t="n">
        <v>45534</v>
      </c>
      <c r="E243" s="1" t="n">
        <v>46223</v>
      </c>
      <c r="F243" t="inlineStr">
        <is>
          <t>DALARNAS LÄN</t>
        </is>
      </c>
      <c r="G243" t="inlineStr">
        <is>
          <t>MALUNG-SÄLEN</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29041-2025</t>
        </is>
      </c>
      <c r="B244" t="inlineStr">
        <is>
          <t>avverkningsanmälan</t>
        </is>
      </c>
      <c r="C244" t="inlineStr">
        <is>
          <t>Föryngringsavverkning</t>
        </is>
      </c>
      <c r="D244" s="1" t="n">
        <v>45821</v>
      </c>
      <c r="E244" s="1" t="n">
        <v>46223</v>
      </c>
      <c r="F244" t="inlineStr">
        <is>
          <t>DALARNAS LÄN</t>
        </is>
      </c>
      <c r="G244" t="inlineStr">
        <is>
          <t>MALUNG-SÄLEN</t>
        </is>
      </c>
      <c r="H244" t="inlineStr">
        <is>
          <t>Bergvik skog öst AB</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29040-2025</t>
        </is>
      </c>
      <c r="B245" t="inlineStr">
        <is>
          <t>avverkningsanmälan</t>
        </is>
      </c>
      <c r="C245" t="inlineStr">
        <is>
          <t>Föryngringsavverkning</t>
        </is>
      </c>
      <c r="D245" s="1" t="n">
        <v>45821</v>
      </c>
      <c r="E245" s="1" t="n">
        <v>46223</v>
      </c>
      <c r="F245" t="inlineStr">
        <is>
          <t>DALARNAS LÄN</t>
        </is>
      </c>
      <c r="G245" t="inlineStr">
        <is>
          <t>MALUNG-SÄLEN</t>
        </is>
      </c>
      <c r="H245" t="inlineStr">
        <is>
          <t>Bergvik skog öst AB</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29052-2025</t>
        </is>
      </c>
      <c r="B246" t="inlineStr">
        <is>
          <t>avverkningsanmälan</t>
        </is>
      </c>
      <c r="C246" t="inlineStr">
        <is>
          <t>Föryngringsavverkning</t>
        </is>
      </c>
      <c r="D246" s="1" t="n">
        <v>45821</v>
      </c>
      <c r="E246" s="1" t="n">
        <v>46223</v>
      </c>
      <c r="F246" t="inlineStr">
        <is>
          <t>DALARNAS LÄN</t>
        </is>
      </c>
      <c r="G246" t="inlineStr">
        <is>
          <t>MALUNG-SÄLEN</t>
        </is>
      </c>
      <c r="H246" t="inlineStr">
        <is>
          <t>Bergvik skog öst AB</t>
        </is>
      </c>
      <c r="I246" t="n">
        <v>6.2</v>
      </c>
      <c r="J246" t="n">
        <v>0</v>
      </c>
      <c r="K246" t="n">
        <v>0</v>
      </c>
      <c r="L246" t="n">
        <v>0</v>
      </c>
      <c r="M246" t="n">
        <v>0</v>
      </c>
      <c r="N246" t="n">
        <v>0</v>
      </c>
      <c r="O246" t="n">
        <v>0</v>
      </c>
      <c r="P246" t="n">
        <v>0</v>
      </c>
      <c r="Q246" t="n">
        <v>0</v>
      </c>
      <c r="R246" t="n">
        <v>0</v>
      </c>
      <c r="S246" t="n">
        <v>0</v>
      </c>
      <c r="T246" t="n">
        <v>0</v>
      </c>
      <c r="U246" s="2" t="inlineStr"/>
    </row>
    <row r="247" ht="15" customHeight="1">
      <c r="A247" t="inlineStr">
        <is>
          <t>A 39942-2025</t>
        </is>
      </c>
      <c r="B247" t="inlineStr">
        <is>
          <t>avverkningsanmälan</t>
        </is>
      </c>
      <c r="C247" t="inlineStr">
        <is>
          <t>Föryngringsavverkning</t>
        </is>
      </c>
      <c r="D247" s="1" t="n">
        <v>45891</v>
      </c>
      <c r="E247" s="1" t="n">
        <v>46223</v>
      </c>
      <c r="F247" t="inlineStr">
        <is>
          <t>DALARNAS LÄN</t>
        </is>
      </c>
      <c r="G247" t="inlineStr">
        <is>
          <t>MALUNG-SÄLEN</t>
        </is>
      </c>
      <c r="H247" t="inlineStr">
        <is>
          <t>Kommuner</t>
        </is>
      </c>
      <c r="I247" t="n">
        <v>3.2</v>
      </c>
      <c r="J247" t="n">
        <v>0</v>
      </c>
      <c r="K247" t="n">
        <v>0</v>
      </c>
      <c r="L247" t="n">
        <v>0</v>
      </c>
      <c r="M247" t="n">
        <v>0</v>
      </c>
      <c r="N247" t="n">
        <v>0</v>
      </c>
      <c r="O247" t="n">
        <v>0</v>
      </c>
      <c r="P247" t="n">
        <v>0</v>
      </c>
      <c r="Q247" t="n">
        <v>0</v>
      </c>
      <c r="R247" t="n">
        <v>0</v>
      </c>
      <c r="S247" t="n">
        <v>0</v>
      </c>
      <c r="T247" t="n">
        <v>0</v>
      </c>
      <c r="U247" s="2" t="inlineStr"/>
    </row>
    <row r="248" ht="15" customHeight="1">
      <c r="A248" t="inlineStr">
        <is>
          <t>A 29365-2025</t>
        </is>
      </c>
      <c r="B248" t="inlineStr">
        <is>
          <t>avverkningsanmälan</t>
        </is>
      </c>
      <c r="C248" t="inlineStr">
        <is>
          <t>Föryngringsavverkning</t>
        </is>
      </c>
      <c r="D248" s="1" t="n">
        <v>45824</v>
      </c>
      <c r="E248" s="1" t="n">
        <v>46223</v>
      </c>
      <c r="F248" t="inlineStr">
        <is>
          <t>DALARNAS LÄN</t>
        </is>
      </c>
      <c r="G248" t="inlineStr">
        <is>
          <t>MALUNG-SÄLEN</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39941-2025</t>
        </is>
      </c>
      <c r="B249" t="inlineStr">
        <is>
          <t>avverkningsanmälan</t>
        </is>
      </c>
      <c r="C249" t="inlineStr">
        <is>
          <t>Föryngringsavverkning</t>
        </is>
      </c>
      <c r="D249" s="1" t="n">
        <v>45891</v>
      </c>
      <c r="E249" s="1" t="n">
        <v>46223</v>
      </c>
      <c r="F249" t="inlineStr">
        <is>
          <t>DALARNAS LÄN</t>
        </is>
      </c>
      <c r="G249" t="inlineStr">
        <is>
          <t>MALUNG-SÄLEN</t>
        </is>
      </c>
      <c r="H249" t="inlineStr">
        <is>
          <t>Kommuner</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39972-2025</t>
        </is>
      </c>
      <c r="B250" t="inlineStr">
        <is>
          <t>avverkningsanmälan</t>
        </is>
      </c>
      <c r="C250" t="inlineStr">
        <is>
          <t>Föryngringsavverkning</t>
        </is>
      </c>
      <c r="D250" s="1" t="n">
        <v>45892</v>
      </c>
      <c r="E250" s="1" t="n">
        <v>46223</v>
      </c>
      <c r="F250" t="inlineStr">
        <is>
          <t>DALARNAS LÄN</t>
        </is>
      </c>
      <c r="G250" t="inlineStr">
        <is>
          <t>MALUNG-SÄLEN</t>
        </is>
      </c>
      <c r="I250" t="n">
        <v>9.199999999999999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39939-2025</t>
        </is>
      </c>
      <c r="B251" t="inlineStr">
        <is>
          <t>avverkningsanmälan</t>
        </is>
      </c>
      <c r="C251" t="inlineStr">
        <is>
          <t>Föryngringsavverkning</t>
        </is>
      </c>
      <c r="D251" s="1" t="n">
        <v>45891</v>
      </c>
      <c r="E251" s="1" t="n">
        <v>46223</v>
      </c>
      <c r="F251" t="inlineStr">
        <is>
          <t>DALARNAS LÄN</t>
        </is>
      </c>
      <c r="G251" t="inlineStr">
        <is>
          <t>MALUNG-SÄLEN</t>
        </is>
      </c>
      <c r="H251" t="inlineStr">
        <is>
          <t>Kommuner</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39940-2025</t>
        </is>
      </c>
      <c r="B252" t="inlineStr">
        <is>
          <t>avverkningsanmälan</t>
        </is>
      </c>
      <c r="C252" t="inlineStr">
        <is>
          <t>Föryngringsavverkning</t>
        </is>
      </c>
      <c r="D252" s="1" t="n">
        <v>45891</v>
      </c>
      <c r="E252" s="1" t="n">
        <v>46223</v>
      </c>
      <c r="F252" t="inlineStr">
        <is>
          <t>DALARNAS LÄN</t>
        </is>
      </c>
      <c r="G252" t="inlineStr">
        <is>
          <t>MALUNG-SÄLEN</t>
        </is>
      </c>
      <c r="H252" t="inlineStr">
        <is>
          <t>Kommuner</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40155-2025</t>
        </is>
      </c>
      <c r="B253" t="inlineStr">
        <is>
          <t>avverkningsanmälan</t>
        </is>
      </c>
      <c r="C253" t="inlineStr">
        <is>
          <t>Föryngringsavverkning</t>
        </is>
      </c>
      <c r="D253" s="1" t="n">
        <v>45894</v>
      </c>
      <c r="E253" s="1" t="n">
        <v>46223</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58345-2024</t>
        </is>
      </c>
      <c r="B254" t="inlineStr">
        <is>
          <t>avverkningsanmälan</t>
        </is>
      </c>
      <c r="C254" t="inlineStr">
        <is>
          <t>Föryngringsavverkning</t>
        </is>
      </c>
      <c r="D254" s="1" t="n">
        <v>45632</v>
      </c>
      <c r="E254" s="1" t="n">
        <v>46223</v>
      </c>
      <c r="F254" t="inlineStr">
        <is>
          <t>DALARNAS LÄN</t>
        </is>
      </c>
      <c r="G254" t="inlineStr">
        <is>
          <t>MALUNG-SÄLEN</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22957-2024</t>
        </is>
      </c>
      <c r="B255" t="inlineStr">
        <is>
          <t>avverkningsanmälan</t>
        </is>
      </c>
      <c r="C255" t="inlineStr">
        <is>
          <t>Föryngringsavverkning</t>
        </is>
      </c>
      <c r="D255" s="1" t="n">
        <v>45449</v>
      </c>
      <c r="E255" s="1" t="n">
        <v>46223</v>
      </c>
      <c r="F255" t="inlineStr">
        <is>
          <t>DALARNAS LÄN</t>
        </is>
      </c>
      <c r="G255" t="inlineStr">
        <is>
          <t>MALUNG-SÄLEN</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40255-2025</t>
        </is>
      </c>
      <c r="B256" t="inlineStr">
        <is>
          <t>avverkningsanmälan</t>
        </is>
      </c>
      <c r="C256" t="inlineStr">
        <is>
          <t>Föryngringsavverkning</t>
        </is>
      </c>
      <c r="D256" s="1" t="n">
        <v>45895</v>
      </c>
      <c r="E256" s="1" t="n">
        <v>46223</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21794-2024</t>
        </is>
      </c>
      <c r="B257" t="inlineStr">
        <is>
          <t>avverkningsanmälan</t>
        </is>
      </c>
      <c r="C257" t="inlineStr">
        <is>
          <t>Föryngringsavverkning</t>
        </is>
      </c>
      <c r="D257" s="1" t="n">
        <v>45442</v>
      </c>
      <c r="E257" s="1" t="n">
        <v>46223</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20545-2025</t>
        </is>
      </c>
      <c r="B258" t="inlineStr">
        <is>
          <t>avverkningsanmälan</t>
        </is>
      </c>
      <c r="C258" t="inlineStr">
        <is>
          <t>Föryngringsavverkning</t>
        </is>
      </c>
      <c r="D258" s="1" t="n">
        <v>45775</v>
      </c>
      <c r="E258" s="1" t="n">
        <v>46223</v>
      </c>
      <c r="F258" t="inlineStr">
        <is>
          <t>DALARNAS LÄN</t>
        </is>
      </c>
      <c r="G258" t="inlineStr">
        <is>
          <t>MALUNG-SÄLEN</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45163-2024</t>
        </is>
      </c>
      <c r="B259" t="inlineStr">
        <is>
          <t>avverkningsanmälan</t>
        </is>
      </c>
      <c r="C259" t="inlineStr">
        <is>
          <t>Avverkning för att bevara och utveckla /försöksver</t>
        </is>
      </c>
      <c r="D259" s="1" t="n">
        <v>45575</v>
      </c>
      <c r="E259" s="1" t="n">
        <v>46223</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61502-2022</t>
        </is>
      </c>
      <c r="B260" t="inlineStr">
        <is>
          <t>avverkningsanmälan</t>
        </is>
      </c>
      <c r="C260" t="inlineStr">
        <is>
          <t>Föryngringsavverkning</t>
        </is>
      </c>
      <c r="D260" s="1" t="n">
        <v>44916</v>
      </c>
      <c r="E260" s="1" t="n">
        <v>46223</v>
      </c>
      <c r="F260" t="inlineStr">
        <is>
          <t>DALARNAS LÄN</t>
        </is>
      </c>
      <c r="G260" t="inlineStr">
        <is>
          <t>MALUNG-SÄLEN</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41235-2025</t>
        </is>
      </c>
      <c r="B261" t="inlineStr">
        <is>
          <t>avverkningsanmälan</t>
        </is>
      </c>
      <c r="C261" t="inlineStr">
        <is>
          <t>Föryngringsavverkning</t>
        </is>
      </c>
      <c r="D261" s="1" t="n">
        <v>45898</v>
      </c>
      <c r="E261" s="1" t="n">
        <v>46223</v>
      </c>
      <c r="F261" t="inlineStr">
        <is>
          <t>DALARNAS LÄN</t>
        </is>
      </c>
      <c r="G261" t="inlineStr">
        <is>
          <t>MALUNG-SÄLEN</t>
        </is>
      </c>
      <c r="H261" t="inlineStr">
        <is>
          <t>Bergvik skog öst AB</t>
        </is>
      </c>
      <c r="I261" t="n">
        <v>13.3</v>
      </c>
      <c r="J261" t="n">
        <v>0</v>
      </c>
      <c r="K261" t="n">
        <v>0</v>
      </c>
      <c r="L261" t="n">
        <v>0</v>
      </c>
      <c r="M261" t="n">
        <v>0</v>
      </c>
      <c r="N261" t="n">
        <v>0</v>
      </c>
      <c r="O261" t="n">
        <v>0</v>
      </c>
      <c r="P261" t="n">
        <v>0</v>
      </c>
      <c r="Q261" t="n">
        <v>0</v>
      </c>
      <c r="R261" t="n">
        <v>0</v>
      </c>
      <c r="S261" t="n">
        <v>0</v>
      </c>
      <c r="T261" t="n">
        <v>0</v>
      </c>
      <c r="U261" s="2" t="inlineStr"/>
    </row>
    <row r="262" ht="15" customHeight="1">
      <c r="A262" t="inlineStr">
        <is>
          <t>A 30176-2025</t>
        </is>
      </c>
      <c r="B262" t="inlineStr">
        <is>
          <t>avverkningsanmälan</t>
        </is>
      </c>
      <c r="C262" t="inlineStr">
        <is>
          <t>Föryngringsavverkning</t>
        </is>
      </c>
      <c r="D262" s="1" t="n">
        <v>45827</v>
      </c>
      <c r="E262" s="1" t="n">
        <v>46223</v>
      </c>
      <c r="F262" t="inlineStr">
        <is>
          <t>DALARNAS LÄN</t>
        </is>
      </c>
      <c r="G262" t="inlineStr">
        <is>
          <t>MALUNG-SÄLEN</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41250-2025</t>
        </is>
      </c>
      <c r="B263" t="inlineStr">
        <is>
          <t>avverkningsanmälan</t>
        </is>
      </c>
      <c r="C263" t="inlineStr">
        <is>
          <t>Föryngringsavverkning</t>
        </is>
      </c>
      <c r="D263" s="1" t="n">
        <v>45898</v>
      </c>
      <c r="E263" s="1" t="n">
        <v>46223</v>
      </c>
      <c r="F263" t="inlineStr">
        <is>
          <t>DALARNAS LÄN</t>
        </is>
      </c>
      <c r="G263" t="inlineStr">
        <is>
          <t>MALUNG-SÄLEN</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37301-2024</t>
        </is>
      </c>
      <c r="B264" t="inlineStr">
        <is>
          <t>avverkningsanmälan</t>
        </is>
      </c>
      <c r="C264" t="inlineStr">
        <is>
          <t>Föryngringsavverkning</t>
        </is>
      </c>
      <c r="D264" s="1" t="n">
        <v>45540</v>
      </c>
      <c r="E264" s="1" t="n">
        <v>46223</v>
      </c>
      <c r="F264" t="inlineStr">
        <is>
          <t>DALARNAS LÄN</t>
        </is>
      </c>
      <c r="G264" t="inlineStr">
        <is>
          <t>MALUNG-SÄLEN</t>
        </is>
      </c>
      <c r="H264" t="inlineStr">
        <is>
          <t>Bergvik skog öst AB</t>
        </is>
      </c>
      <c r="I264" t="n">
        <v>3.4</v>
      </c>
      <c r="J264" t="n">
        <v>0</v>
      </c>
      <c r="K264" t="n">
        <v>0</v>
      </c>
      <c r="L264" t="n">
        <v>0</v>
      </c>
      <c r="M264" t="n">
        <v>0</v>
      </c>
      <c r="N264" t="n">
        <v>0</v>
      </c>
      <c r="O264" t="n">
        <v>0</v>
      </c>
      <c r="P264" t="n">
        <v>0</v>
      </c>
      <c r="Q264" t="n">
        <v>0</v>
      </c>
      <c r="R264" t="n">
        <v>0</v>
      </c>
      <c r="S264" t="n">
        <v>0</v>
      </c>
      <c r="T264" t="n">
        <v>0</v>
      </c>
      <c r="U264" s="2" t="inlineStr"/>
    </row>
    <row r="265" ht="15" customHeight="1">
      <c r="A265" t="inlineStr">
        <is>
          <t>A 19415-2024</t>
        </is>
      </c>
      <c r="B265" t="inlineStr">
        <is>
          <t>avverkningsanmälan</t>
        </is>
      </c>
      <c r="C265" t="inlineStr">
        <is>
          <t>Föryngringsavverkning</t>
        </is>
      </c>
      <c r="D265" s="1" t="n">
        <v>45429</v>
      </c>
      <c r="E265" s="1" t="n">
        <v>46223</v>
      </c>
      <c r="F265" t="inlineStr">
        <is>
          <t>DALARNAS LÄN</t>
        </is>
      </c>
      <c r="G265" t="inlineStr">
        <is>
          <t>MALUNG-SÄLEN</t>
        </is>
      </c>
      <c r="H265" t="inlineStr">
        <is>
          <t>Bergvik skog öst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49798-2021</t>
        </is>
      </c>
      <c r="B266" t="inlineStr">
        <is>
          <t>avverkningsanmälan</t>
        </is>
      </c>
      <c r="C266" t="inlineStr">
        <is>
          <t>Föryngringsavverkning</t>
        </is>
      </c>
      <c r="D266" s="1" t="n">
        <v>44455</v>
      </c>
      <c r="E266" s="1" t="n">
        <v>46223</v>
      </c>
      <c r="F266" t="inlineStr">
        <is>
          <t>DALARNAS LÄN</t>
        </is>
      </c>
      <c r="G266" t="inlineStr">
        <is>
          <t>MALUNG-SÄLEN</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30914-2025</t>
        </is>
      </c>
      <c r="B267" t="inlineStr">
        <is>
          <t>avverkningsanmälan</t>
        </is>
      </c>
      <c r="C267" t="inlineStr">
        <is>
          <t>Föryngringsavverkning</t>
        </is>
      </c>
      <c r="D267" s="1" t="n">
        <v>45832</v>
      </c>
      <c r="E267" s="1" t="n">
        <v>46223</v>
      </c>
      <c r="F267" t="inlineStr">
        <is>
          <t>DALARNAS LÄN</t>
        </is>
      </c>
      <c r="G267" t="inlineStr">
        <is>
          <t>MALUNG-SÄLEN</t>
        </is>
      </c>
      <c r="H267" t="inlineStr">
        <is>
          <t>Bergvik skog öst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41723-2025</t>
        </is>
      </c>
      <c r="B268" t="inlineStr">
        <is>
          <t>avverkningsanmälan</t>
        </is>
      </c>
      <c r="C268" t="inlineStr">
        <is>
          <t>Föryngringsavverkning</t>
        </is>
      </c>
      <c r="D268" s="1" t="n">
        <v>45902</v>
      </c>
      <c r="E268" s="1" t="n">
        <v>46223</v>
      </c>
      <c r="F268" t="inlineStr">
        <is>
          <t>DALARNAS LÄN</t>
        </is>
      </c>
      <c r="G268" t="inlineStr">
        <is>
          <t>MALUNG-SÄLEN</t>
        </is>
      </c>
      <c r="H268" t="inlineStr">
        <is>
          <t>Övriga statliga verk och myndigheter</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30919-2025</t>
        </is>
      </c>
      <c r="B269" t="inlineStr">
        <is>
          <t>avverkningsanmälan</t>
        </is>
      </c>
      <c r="C269" t="inlineStr">
        <is>
          <t>Föryngringsavverkning</t>
        </is>
      </c>
      <c r="D269" s="1" t="n">
        <v>45832</v>
      </c>
      <c r="E269" s="1" t="n">
        <v>46223</v>
      </c>
      <c r="F269" t="inlineStr">
        <is>
          <t>DALARNAS LÄN</t>
        </is>
      </c>
      <c r="G269" t="inlineStr">
        <is>
          <t>MALUNG-SÄLEN</t>
        </is>
      </c>
      <c r="H269" t="inlineStr">
        <is>
          <t>Bergvik skog öst AB</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41736-2025</t>
        </is>
      </c>
      <c r="B270" t="inlineStr">
        <is>
          <t>avverkningsanmälan</t>
        </is>
      </c>
      <c r="C270" t="inlineStr">
        <is>
          <t>Föryngringsavverkning</t>
        </is>
      </c>
      <c r="D270" s="1" t="n">
        <v>45902</v>
      </c>
      <c r="E270" s="1" t="n">
        <v>46223</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30633-2025</t>
        </is>
      </c>
      <c r="B271" t="inlineStr">
        <is>
          <t>avverkningsanmälan</t>
        </is>
      </c>
      <c r="C271" t="inlineStr">
        <is>
          <t>Föryngringsavverkning</t>
        </is>
      </c>
      <c r="D271" s="1" t="n">
        <v>45831</v>
      </c>
      <c r="E271" s="1" t="n">
        <v>46223</v>
      </c>
      <c r="F271" t="inlineStr">
        <is>
          <t>DALARNAS LÄN</t>
        </is>
      </c>
      <c r="G271" t="inlineStr">
        <is>
          <t>MALUNG-SÄLEN</t>
        </is>
      </c>
      <c r="H271" t="inlineStr">
        <is>
          <t>Bergvik skog öst AB</t>
        </is>
      </c>
      <c r="I271" t="n">
        <v>8.6</v>
      </c>
      <c r="J271" t="n">
        <v>0</v>
      </c>
      <c r="K271" t="n">
        <v>0</v>
      </c>
      <c r="L271" t="n">
        <v>0</v>
      </c>
      <c r="M271" t="n">
        <v>0</v>
      </c>
      <c r="N271" t="n">
        <v>0</v>
      </c>
      <c r="O271" t="n">
        <v>0</v>
      </c>
      <c r="P271" t="n">
        <v>0</v>
      </c>
      <c r="Q271" t="n">
        <v>0</v>
      </c>
      <c r="R271" t="n">
        <v>0</v>
      </c>
      <c r="S271" t="n">
        <v>0</v>
      </c>
      <c r="T271" t="n">
        <v>0</v>
      </c>
      <c r="U271" s="2" t="inlineStr"/>
    </row>
    <row r="272" ht="15" customHeight="1">
      <c r="A272" t="inlineStr">
        <is>
          <t>A 30821-2025</t>
        </is>
      </c>
      <c r="B272" t="inlineStr">
        <is>
          <t>avverkningsanmälan</t>
        </is>
      </c>
      <c r="C272" t="inlineStr">
        <is>
          <t>Föryngringsavverkning</t>
        </is>
      </c>
      <c r="D272" s="1" t="n">
        <v>45831</v>
      </c>
      <c r="E272" s="1" t="n">
        <v>46223</v>
      </c>
      <c r="F272" t="inlineStr">
        <is>
          <t>DALARNAS LÄN</t>
        </is>
      </c>
      <c r="G272" t="inlineStr">
        <is>
          <t>MALUNG-SÄLEN</t>
        </is>
      </c>
      <c r="H272" t="inlineStr">
        <is>
          <t>Kommuner</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41815-2025</t>
        </is>
      </c>
      <c r="B273" t="inlineStr">
        <is>
          <t>avverkningsanmälan</t>
        </is>
      </c>
      <c r="C273" t="inlineStr">
        <is>
          <t>Föryngringsavverkning</t>
        </is>
      </c>
      <c r="D273" s="1" t="n">
        <v>45902</v>
      </c>
      <c r="E273" s="1" t="n">
        <v>46223</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41717-2025</t>
        </is>
      </c>
      <c r="B274" t="inlineStr">
        <is>
          <t>avverkningsanmälan</t>
        </is>
      </c>
      <c r="C274" t="inlineStr">
        <is>
          <t>Föryngringsavverkning</t>
        </is>
      </c>
      <c r="D274" s="1" t="n">
        <v>45902</v>
      </c>
      <c r="E274" s="1" t="n">
        <v>46223</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41406-2025</t>
        </is>
      </c>
      <c r="B275" t="inlineStr">
        <is>
          <t>avverkningsanmälan</t>
        </is>
      </c>
      <c r="C275" t="inlineStr">
        <is>
          <t>Föryngringsavverkning</t>
        </is>
      </c>
      <c r="D275" s="1" t="n">
        <v>45901</v>
      </c>
      <c r="E275" s="1" t="n">
        <v>46223</v>
      </c>
      <c r="F275" t="inlineStr">
        <is>
          <t>DALARNAS LÄN</t>
        </is>
      </c>
      <c r="G275" t="inlineStr">
        <is>
          <t>MALUNG-SÄLEN</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31534-2025</t>
        </is>
      </c>
      <c r="B276" t="inlineStr">
        <is>
          <t>avverkningsanmälan</t>
        </is>
      </c>
      <c r="C276" t="inlineStr">
        <is>
          <t>Föryngringsavverkning</t>
        </is>
      </c>
      <c r="D276" s="1" t="n">
        <v>45833</v>
      </c>
      <c r="E276" s="1" t="n">
        <v>46223</v>
      </c>
      <c r="F276" t="inlineStr">
        <is>
          <t>DALARNAS LÄN</t>
        </is>
      </c>
      <c r="G276" t="inlineStr">
        <is>
          <t>MALUNG-SÄLEN</t>
        </is>
      </c>
      <c r="H276" t="inlineStr">
        <is>
          <t>Allmännings- och besparingsskogar</t>
        </is>
      </c>
      <c r="I276" t="n">
        <v>27.3</v>
      </c>
      <c r="J276" t="n">
        <v>0</v>
      </c>
      <c r="K276" t="n">
        <v>0</v>
      </c>
      <c r="L276" t="n">
        <v>0</v>
      </c>
      <c r="M276" t="n">
        <v>0</v>
      </c>
      <c r="N276" t="n">
        <v>0</v>
      </c>
      <c r="O276" t="n">
        <v>0</v>
      </c>
      <c r="P276" t="n">
        <v>0</v>
      </c>
      <c r="Q276" t="n">
        <v>0</v>
      </c>
      <c r="R276" t="n">
        <v>0</v>
      </c>
      <c r="S276" t="n">
        <v>0</v>
      </c>
      <c r="T276" t="n">
        <v>0</v>
      </c>
      <c r="U276" s="2" t="inlineStr"/>
    </row>
    <row r="277" ht="15" customHeight="1">
      <c r="A277" t="inlineStr">
        <is>
          <t>A 64863-2021</t>
        </is>
      </c>
      <c r="B277" t="inlineStr">
        <is>
          <t>avverkningsanmälan</t>
        </is>
      </c>
      <c r="C277" t="inlineStr">
        <is>
          <t>Avverkning för annat ändamål</t>
        </is>
      </c>
      <c r="D277" s="1" t="n">
        <v>44512</v>
      </c>
      <c r="E277" s="1" t="n">
        <v>46223</v>
      </c>
      <c r="F277" t="inlineStr">
        <is>
          <t>DALARNAS LÄN</t>
        </is>
      </c>
      <c r="G277" t="inlineStr">
        <is>
          <t>MALUNG-SÄLEN</t>
        </is>
      </c>
      <c r="H277" t="inlineStr">
        <is>
          <t>Allmännings- och besparingsskogar</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3172-2025</t>
        </is>
      </c>
      <c r="B278" t="inlineStr">
        <is>
          <t>avverkningsanmälan</t>
        </is>
      </c>
      <c r="C278" t="inlineStr">
        <is>
          <t>Föryngringsavverkning</t>
        </is>
      </c>
      <c r="D278" s="1" t="n">
        <v>45679</v>
      </c>
      <c r="E278" s="1" t="n">
        <v>46223</v>
      </c>
      <c r="F278" t="inlineStr">
        <is>
          <t>DALARNAS LÄN</t>
        </is>
      </c>
      <c r="G278" t="inlineStr">
        <is>
          <t>MALUNG-SÄLEN</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56745-2023</t>
        </is>
      </c>
      <c r="B279" t="inlineStr">
        <is>
          <t>avverkningsanmälan</t>
        </is>
      </c>
      <c r="C279" t="inlineStr">
        <is>
          <t>Föryngringsavverkning</t>
        </is>
      </c>
      <c r="D279" s="1" t="n">
        <v>45244</v>
      </c>
      <c r="E279" s="1" t="n">
        <v>46223</v>
      </c>
      <c r="F279" t="inlineStr">
        <is>
          <t>DALARNAS LÄN</t>
        </is>
      </c>
      <c r="G279" t="inlineStr">
        <is>
          <t>MALUNG-SÄLEN</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42139-2025</t>
        </is>
      </c>
      <c r="B280" t="inlineStr">
        <is>
          <t>avverkningsanmälan</t>
        </is>
      </c>
      <c r="C280" t="inlineStr">
        <is>
          <t>Föryngringsavverkning</t>
        </is>
      </c>
      <c r="D280" s="1" t="n">
        <v>45904</v>
      </c>
      <c r="E280" s="1" t="n">
        <v>46223</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62287-2022</t>
        </is>
      </c>
      <c r="B281" t="inlineStr">
        <is>
          <t>avverkningsanmälan</t>
        </is>
      </c>
      <c r="C281" t="inlineStr">
        <is>
          <t>Avverkning för annat ändamål</t>
        </is>
      </c>
      <c r="D281" s="1" t="n">
        <v>44923</v>
      </c>
      <c r="E281" s="1" t="n">
        <v>46223</v>
      </c>
      <c r="F281" t="inlineStr">
        <is>
          <t>DALARNAS LÄN</t>
        </is>
      </c>
      <c r="G281" t="inlineStr">
        <is>
          <t>MALUNG-SÄLEN</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62288-2022</t>
        </is>
      </c>
      <c r="B282" t="inlineStr">
        <is>
          <t>avverkningsanmälan</t>
        </is>
      </c>
      <c r="C282" t="inlineStr">
        <is>
          <t>Föryngringsavverkning</t>
        </is>
      </c>
      <c r="D282" s="1" t="n">
        <v>44923</v>
      </c>
      <c r="E282" s="1" t="n">
        <v>46223</v>
      </c>
      <c r="F282" t="inlineStr">
        <is>
          <t>DALARNAS LÄN</t>
        </is>
      </c>
      <c r="G282" t="inlineStr">
        <is>
          <t>MALUNG-SÄLEN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42138-2025</t>
        </is>
      </c>
      <c r="B283" t="inlineStr">
        <is>
          <t>avverkningsanmälan</t>
        </is>
      </c>
      <c r="C283" t="inlineStr">
        <is>
          <t>Föryngringsavverkning</t>
        </is>
      </c>
      <c r="D283" s="1" t="n">
        <v>45904</v>
      </c>
      <c r="E283" s="1" t="n">
        <v>46223</v>
      </c>
      <c r="F283" t="inlineStr">
        <is>
          <t>DALARNAS LÄN</t>
        </is>
      </c>
      <c r="G283" t="inlineStr">
        <is>
          <t>MALUNG-SÄLEN</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17499-2025</t>
        </is>
      </c>
      <c r="B284" t="inlineStr">
        <is>
          <t>avverkningsanmälan</t>
        </is>
      </c>
      <c r="C284" t="inlineStr">
        <is>
          <t>Föryngringsavverkning</t>
        </is>
      </c>
      <c r="D284" s="1" t="n">
        <v>45757</v>
      </c>
      <c r="E284" s="1" t="n">
        <v>46223</v>
      </c>
      <c r="F284" t="inlineStr">
        <is>
          <t>DALARNAS LÄN</t>
        </is>
      </c>
      <c r="G284" t="inlineStr">
        <is>
          <t>MALUNG-SÄLEN</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31537-2025</t>
        </is>
      </c>
      <c r="B285" t="inlineStr">
        <is>
          <t>avverkningsanmälan</t>
        </is>
      </c>
      <c r="C285" t="inlineStr">
        <is>
          <t>Föryngringsavverkning</t>
        </is>
      </c>
      <c r="D285" s="1" t="n">
        <v>45833</v>
      </c>
      <c r="E285" s="1" t="n">
        <v>46223</v>
      </c>
      <c r="F285" t="inlineStr">
        <is>
          <t>DALARNAS LÄN</t>
        </is>
      </c>
      <c r="G285" t="inlineStr">
        <is>
          <t>MALUNG-SÄLEN</t>
        </is>
      </c>
      <c r="H285" t="inlineStr">
        <is>
          <t>Allmännings- och besparingsskogar</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37166-2025</t>
        </is>
      </c>
      <c r="B286" t="inlineStr">
        <is>
          <t>avverkningsanmälan</t>
        </is>
      </c>
      <c r="C286" t="inlineStr">
        <is>
          <t>Föryngringsavverkning</t>
        </is>
      </c>
      <c r="D286" s="1" t="n">
        <v>45875</v>
      </c>
      <c r="E286" s="1" t="n">
        <v>46223</v>
      </c>
      <c r="F286" t="inlineStr">
        <is>
          <t>DALARNAS LÄN</t>
        </is>
      </c>
      <c r="G286" t="inlineStr">
        <is>
          <t>MALUNG-SÄLEN</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42840-2025</t>
        </is>
      </c>
      <c r="B287" t="inlineStr">
        <is>
          <t>avverkningsanmälan</t>
        </is>
      </c>
      <c r="C287" t="inlineStr">
        <is>
          <t>Föryngringsavverkning</t>
        </is>
      </c>
      <c r="D287" s="1" t="n">
        <v>45908</v>
      </c>
      <c r="E287" s="1" t="n">
        <v>46223</v>
      </c>
      <c r="F287" t="inlineStr">
        <is>
          <t>DALARNAS LÄN</t>
        </is>
      </c>
      <c r="G287" t="inlineStr">
        <is>
          <t>MALUNG-SÄLEN</t>
        </is>
      </c>
      <c r="H287" t="inlineStr">
        <is>
          <t>Bergvik skog öst AB</t>
        </is>
      </c>
      <c r="I287" t="n">
        <v>14.2</v>
      </c>
      <c r="J287" t="n">
        <v>0</v>
      </c>
      <c r="K287" t="n">
        <v>0</v>
      </c>
      <c r="L287" t="n">
        <v>0</v>
      </c>
      <c r="M287" t="n">
        <v>0</v>
      </c>
      <c r="N287" t="n">
        <v>0</v>
      </c>
      <c r="O287" t="n">
        <v>0</v>
      </c>
      <c r="P287" t="n">
        <v>0</v>
      </c>
      <c r="Q287" t="n">
        <v>0</v>
      </c>
      <c r="R287" t="n">
        <v>0</v>
      </c>
      <c r="S287" t="n">
        <v>0</v>
      </c>
      <c r="T287" t="n">
        <v>0</v>
      </c>
      <c r="U287" s="2" t="inlineStr"/>
    </row>
    <row r="288" ht="15" customHeight="1">
      <c r="A288" t="inlineStr">
        <is>
          <t>A 41950-2021</t>
        </is>
      </c>
      <c r="B288" t="inlineStr">
        <is>
          <t>avverkningsanmälan</t>
        </is>
      </c>
      <c r="C288" t="inlineStr">
        <is>
          <t>Föryngringsavverkning</t>
        </is>
      </c>
      <c r="D288" s="1" t="n">
        <v>44426</v>
      </c>
      <c r="E288" s="1" t="n">
        <v>46223</v>
      </c>
      <c r="F288" t="inlineStr">
        <is>
          <t>DALARNAS LÄN</t>
        </is>
      </c>
      <c r="G288" t="inlineStr">
        <is>
          <t>MALUNG-SÄLEN</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29057-2024</t>
        </is>
      </c>
      <c r="B289" t="inlineStr">
        <is>
          <t>avverkningsanmälan</t>
        </is>
      </c>
      <c r="C289" t="inlineStr">
        <is>
          <t>Föryngringsavverkning</t>
        </is>
      </c>
      <c r="D289" s="1" t="n">
        <v>45481</v>
      </c>
      <c r="E289" s="1" t="n">
        <v>46223</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32117-2025</t>
        </is>
      </c>
      <c r="B290" t="inlineStr">
        <is>
          <t>avverkningsanmälan</t>
        </is>
      </c>
      <c r="C290" t="inlineStr">
        <is>
          <t>Föryngringsavverkning</t>
        </is>
      </c>
      <c r="D290" s="1" t="n">
        <v>45835</v>
      </c>
      <c r="E290" s="1" t="n">
        <v>46223</v>
      </c>
      <c r="F290" t="inlineStr">
        <is>
          <t>DALARNAS LÄN</t>
        </is>
      </c>
      <c r="G290" t="inlineStr">
        <is>
          <t>MALUNG-SÄLEN</t>
        </is>
      </c>
      <c r="I290" t="n">
        <v>34.5</v>
      </c>
      <c r="J290" t="n">
        <v>0</v>
      </c>
      <c r="K290" t="n">
        <v>0</v>
      </c>
      <c r="L290" t="n">
        <v>0</v>
      </c>
      <c r="M290" t="n">
        <v>0</v>
      </c>
      <c r="N290" t="n">
        <v>0</v>
      </c>
      <c r="O290" t="n">
        <v>0</v>
      </c>
      <c r="P290" t="n">
        <v>0</v>
      </c>
      <c r="Q290" t="n">
        <v>0</v>
      </c>
      <c r="R290" t="n">
        <v>0</v>
      </c>
      <c r="S290" t="n">
        <v>0</v>
      </c>
      <c r="T290" t="n">
        <v>0</v>
      </c>
      <c r="U290" s="2" t="inlineStr"/>
    </row>
    <row r="291" ht="15" customHeight="1">
      <c r="A291" t="inlineStr">
        <is>
          <t>A 43248-2025</t>
        </is>
      </c>
      <c r="B291" t="inlineStr">
        <is>
          <t>avverkningsanmälan</t>
        </is>
      </c>
      <c r="C291" t="inlineStr">
        <is>
          <t>Föryngringsavverkning</t>
        </is>
      </c>
      <c r="D291" s="1" t="n">
        <v>45910</v>
      </c>
      <c r="E291" s="1" t="n">
        <v>46223</v>
      </c>
      <c r="F291" t="inlineStr">
        <is>
          <t>DALARNAS LÄN</t>
        </is>
      </c>
      <c r="G291" t="inlineStr">
        <is>
          <t>MALUNG-SÄLEN</t>
        </is>
      </c>
      <c r="H291" t="inlineStr">
        <is>
          <t>Allmännings- och besparingsskogar</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32570-2025</t>
        </is>
      </c>
      <c r="B292" t="inlineStr">
        <is>
          <t>avverkningsanmälan</t>
        </is>
      </c>
      <c r="C292" t="inlineStr">
        <is>
          <t>Föryngringsavverkning</t>
        </is>
      </c>
      <c r="D292" s="1" t="n">
        <v>45838</v>
      </c>
      <c r="E292" s="1" t="n">
        <v>46223</v>
      </c>
      <c r="F292" t="inlineStr">
        <is>
          <t>DALARNAS LÄN</t>
        </is>
      </c>
      <c r="G292" t="inlineStr">
        <is>
          <t>MALUNG-SÄLEN</t>
        </is>
      </c>
      <c r="I292" t="n">
        <v>5.6</v>
      </c>
      <c r="J292" t="n">
        <v>0</v>
      </c>
      <c r="K292" t="n">
        <v>0</v>
      </c>
      <c r="L292" t="n">
        <v>0</v>
      </c>
      <c r="M292" t="n">
        <v>0</v>
      </c>
      <c r="N292" t="n">
        <v>0</v>
      </c>
      <c r="O292" t="n">
        <v>0</v>
      </c>
      <c r="P292" t="n">
        <v>0</v>
      </c>
      <c r="Q292" t="n">
        <v>0</v>
      </c>
      <c r="R292" t="n">
        <v>0</v>
      </c>
      <c r="S292" t="n">
        <v>0</v>
      </c>
      <c r="T292" t="n">
        <v>0</v>
      </c>
      <c r="U292" s="2" t="inlineStr"/>
    </row>
    <row r="293" ht="15" customHeight="1">
      <c r="A293" t="inlineStr">
        <is>
          <t>A 43256-2025</t>
        </is>
      </c>
      <c r="B293" t="inlineStr">
        <is>
          <t>avverkningsanmälan</t>
        </is>
      </c>
      <c r="C293" t="inlineStr">
        <is>
          <t>Föryngringsavverkning</t>
        </is>
      </c>
      <c r="D293" s="1" t="n">
        <v>45910</v>
      </c>
      <c r="E293" s="1" t="n">
        <v>46223</v>
      </c>
      <c r="F293" t="inlineStr">
        <is>
          <t>DALARNAS LÄN</t>
        </is>
      </c>
      <c r="G293" t="inlineStr">
        <is>
          <t>MALUNG-SÄLEN</t>
        </is>
      </c>
      <c r="H293" t="inlineStr">
        <is>
          <t>Allmännings- och besparingsskogar</t>
        </is>
      </c>
      <c r="I293" t="n">
        <v>17.6</v>
      </c>
      <c r="J293" t="n">
        <v>0</v>
      </c>
      <c r="K293" t="n">
        <v>0</v>
      </c>
      <c r="L293" t="n">
        <v>0</v>
      </c>
      <c r="M293" t="n">
        <v>0</v>
      </c>
      <c r="N293" t="n">
        <v>0</v>
      </c>
      <c r="O293" t="n">
        <v>0</v>
      </c>
      <c r="P293" t="n">
        <v>0</v>
      </c>
      <c r="Q293" t="n">
        <v>0</v>
      </c>
      <c r="R293" t="n">
        <v>0</v>
      </c>
      <c r="S293" t="n">
        <v>0</v>
      </c>
      <c r="T293" t="n">
        <v>0</v>
      </c>
      <c r="U293" s="2" t="inlineStr"/>
    </row>
    <row r="294" ht="15" customHeight="1">
      <c r="A294" t="inlineStr">
        <is>
          <t>A 61361-2024</t>
        </is>
      </c>
      <c r="B294" t="inlineStr">
        <is>
          <t>avverkningsanmälan</t>
        </is>
      </c>
      <c r="C294" t="inlineStr">
        <is>
          <t>Föryngringsavverkning</t>
        </is>
      </c>
      <c r="D294" s="1" t="n">
        <v>45646</v>
      </c>
      <c r="E294" s="1" t="n">
        <v>46223</v>
      </c>
      <c r="F294" t="inlineStr">
        <is>
          <t>DALARNAS LÄN</t>
        </is>
      </c>
      <c r="G294" t="inlineStr">
        <is>
          <t>MALUNG-SÄLEN</t>
        </is>
      </c>
      <c r="I294" t="n">
        <v>9.4</v>
      </c>
      <c r="J294" t="n">
        <v>0</v>
      </c>
      <c r="K294" t="n">
        <v>0</v>
      </c>
      <c r="L294" t="n">
        <v>0</v>
      </c>
      <c r="M294" t="n">
        <v>0</v>
      </c>
      <c r="N294" t="n">
        <v>0</v>
      </c>
      <c r="O294" t="n">
        <v>0</v>
      </c>
      <c r="P294" t="n">
        <v>0</v>
      </c>
      <c r="Q294" t="n">
        <v>0</v>
      </c>
      <c r="R294" t="n">
        <v>0</v>
      </c>
      <c r="S294" t="n">
        <v>0</v>
      </c>
      <c r="T294" t="n">
        <v>0</v>
      </c>
      <c r="U294" s="2" t="inlineStr"/>
    </row>
    <row r="295" ht="15" customHeight="1">
      <c r="A295" t="inlineStr">
        <is>
          <t>A 61368-2024</t>
        </is>
      </c>
      <c r="B295" t="inlineStr">
        <is>
          <t>avverkningsanmälan</t>
        </is>
      </c>
      <c r="C295" t="inlineStr">
        <is>
          <t>Föryngringsavverkning</t>
        </is>
      </c>
      <c r="D295" s="1" t="n">
        <v>45646</v>
      </c>
      <c r="E295" s="1" t="n">
        <v>46223</v>
      </c>
      <c r="F295" t="inlineStr">
        <is>
          <t>DALARNAS LÄN</t>
        </is>
      </c>
      <c r="G295" t="inlineStr">
        <is>
          <t>MALUNG-SÄLEN</t>
        </is>
      </c>
      <c r="I295" t="n">
        <v>6.1</v>
      </c>
      <c r="J295" t="n">
        <v>0</v>
      </c>
      <c r="K295" t="n">
        <v>0</v>
      </c>
      <c r="L295" t="n">
        <v>0</v>
      </c>
      <c r="M295" t="n">
        <v>0</v>
      </c>
      <c r="N295" t="n">
        <v>0</v>
      </c>
      <c r="O295" t="n">
        <v>0</v>
      </c>
      <c r="P295" t="n">
        <v>0</v>
      </c>
      <c r="Q295" t="n">
        <v>0</v>
      </c>
      <c r="R295" t="n">
        <v>0</v>
      </c>
      <c r="S295" t="n">
        <v>0</v>
      </c>
      <c r="T295" t="n">
        <v>0</v>
      </c>
      <c r="U295" s="2" t="inlineStr"/>
    </row>
    <row r="296" ht="15" customHeight="1">
      <c r="A296" t="inlineStr">
        <is>
          <t>A 32420-2025</t>
        </is>
      </c>
      <c r="B296" t="inlineStr">
        <is>
          <t>avverkningsanmälan</t>
        </is>
      </c>
      <c r="C296" t="inlineStr">
        <is>
          <t>Föryngringsavverkning</t>
        </is>
      </c>
      <c r="D296" s="1" t="n">
        <v>45838</v>
      </c>
      <c r="E296" s="1" t="n">
        <v>46223</v>
      </c>
      <c r="F296" t="inlineStr">
        <is>
          <t>DALARNAS LÄN</t>
        </is>
      </c>
      <c r="G296" t="inlineStr">
        <is>
          <t>MALUNG-SÄLEN</t>
        </is>
      </c>
      <c r="H296" t="inlineStr">
        <is>
          <t>Bergvik skog öst AB</t>
        </is>
      </c>
      <c r="I296" t="n">
        <v>4.3</v>
      </c>
      <c r="J296" t="n">
        <v>0</v>
      </c>
      <c r="K296" t="n">
        <v>0</v>
      </c>
      <c r="L296" t="n">
        <v>0</v>
      </c>
      <c r="M296" t="n">
        <v>0</v>
      </c>
      <c r="N296" t="n">
        <v>0</v>
      </c>
      <c r="O296" t="n">
        <v>0</v>
      </c>
      <c r="P296" t="n">
        <v>0</v>
      </c>
      <c r="Q296" t="n">
        <v>0</v>
      </c>
      <c r="R296" t="n">
        <v>0</v>
      </c>
      <c r="S296" t="n">
        <v>0</v>
      </c>
      <c r="T296" t="n">
        <v>0</v>
      </c>
      <c r="U296" s="2" t="inlineStr"/>
    </row>
    <row r="297" ht="15" customHeight="1">
      <c r="A297" t="inlineStr">
        <is>
          <t>A 58840-2022</t>
        </is>
      </c>
      <c r="B297" t="inlineStr">
        <is>
          <t>avverkningsanmälan</t>
        </is>
      </c>
      <c r="C297" t="inlineStr">
        <is>
          <t>Föryngringsavverkning</t>
        </is>
      </c>
      <c r="D297" s="1" t="n">
        <v>44903</v>
      </c>
      <c r="E297" s="1" t="n">
        <v>46223</v>
      </c>
      <c r="F297" t="inlineStr">
        <is>
          <t>DALARNAS LÄN</t>
        </is>
      </c>
      <c r="G297" t="inlineStr">
        <is>
          <t>MALUNG-SÄLEN</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13812-2023</t>
        </is>
      </c>
      <c r="B298" t="inlineStr">
        <is>
          <t>avverkningsanmälan</t>
        </is>
      </c>
      <c r="C298" t="inlineStr">
        <is>
          <t>Föryngringsavverkning</t>
        </is>
      </c>
      <c r="D298" s="1" t="n">
        <v>45007</v>
      </c>
      <c r="E298" s="1" t="n">
        <v>46223</v>
      </c>
      <c r="F298" t="inlineStr">
        <is>
          <t>DALARNAS LÄN</t>
        </is>
      </c>
      <c r="G298" t="inlineStr">
        <is>
          <t>MALUNG-SÄLEN</t>
        </is>
      </c>
      <c r="I298" t="n">
        <v>18.7</v>
      </c>
      <c r="J298" t="n">
        <v>0</v>
      </c>
      <c r="K298" t="n">
        <v>0</v>
      </c>
      <c r="L298" t="n">
        <v>0</v>
      </c>
      <c r="M298" t="n">
        <v>0</v>
      </c>
      <c r="N298" t="n">
        <v>0</v>
      </c>
      <c r="O298" t="n">
        <v>0</v>
      </c>
      <c r="P298" t="n">
        <v>0</v>
      </c>
      <c r="Q298" t="n">
        <v>0</v>
      </c>
      <c r="R298" t="n">
        <v>0</v>
      </c>
      <c r="S298" t="n">
        <v>0</v>
      </c>
      <c r="T298" t="n">
        <v>0</v>
      </c>
      <c r="U298" s="2" t="inlineStr"/>
    </row>
    <row r="299" ht="15" customHeight="1">
      <c r="A299" t="inlineStr">
        <is>
          <t>A 43693-2025</t>
        </is>
      </c>
      <c r="B299" t="inlineStr">
        <is>
          <t>avverkningsanmälan</t>
        </is>
      </c>
      <c r="C299" t="inlineStr">
        <is>
          <t>Föryngringsavverkning</t>
        </is>
      </c>
      <c r="D299" s="1" t="n">
        <v>45912</v>
      </c>
      <c r="E299" s="1" t="n">
        <v>46223</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43589-2025</t>
        </is>
      </c>
      <c r="B300" t="inlineStr">
        <is>
          <t>avverkningsanmälan</t>
        </is>
      </c>
      <c r="C300" t="inlineStr">
        <is>
          <t>Föryngringsavverkning</t>
        </is>
      </c>
      <c r="D300" s="1" t="n">
        <v>45911</v>
      </c>
      <c r="E300" s="1" t="n">
        <v>46223</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43851-2025</t>
        </is>
      </c>
      <c r="B301" t="inlineStr">
        <is>
          <t>avverkningsanmälan</t>
        </is>
      </c>
      <c r="C301" t="inlineStr">
        <is>
          <t>Föryngringsavverkning</t>
        </is>
      </c>
      <c r="D301" s="1" t="n">
        <v>45912</v>
      </c>
      <c r="E301" s="1" t="n">
        <v>46223</v>
      </c>
      <c r="F301" t="inlineStr">
        <is>
          <t>DALARNAS LÄN</t>
        </is>
      </c>
      <c r="G301" t="inlineStr">
        <is>
          <t>MALUNG-SÄLEN</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33086-2025</t>
        </is>
      </c>
      <c r="B302" t="inlineStr">
        <is>
          <t>avverkningsanmälan</t>
        </is>
      </c>
      <c r="C302" t="inlineStr">
        <is>
          <t>Föryngringsavverkning</t>
        </is>
      </c>
      <c r="D302" s="1" t="n">
        <v>45840</v>
      </c>
      <c r="E302" s="1" t="n">
        <v>46223</v>
      </c>
      <c r="F302" t="inlineStr">
        <is>
          <t>DALARNAS LÄN</t>
        </is>
      </c>
      <c r="G302" t="inlineStr">
        <is>
          <t>MALUNG-SÄLEN</t>
        </is>
      </c>
      <c r="H302" t="inlineStr">
        <is>
          <t>Kommuner</t>
        </is>
      </c>
      <c r="I302" t="n">
        <v>4.4</v>
      </c>
      <c r="J302" t="n">
        <v>0</v>
      </c>
      <c r="K302" t="n">
        <v>0</v>
      </c>
      <c r="L302" t="n">
        <v>0</v>
      </c>
      <c r="M302" t="n">
        <v>0</v>
      </c>
      <c r="N302" t="n">
        <v>0</v>
      </c>
      <c r="O302" t="n">
        <v>0</v>
      </c>
      <c r="P302" t="n">
        <v>0</v>
      </c>
      <c r="Q302" t="n">
        <v>0</v>
      </c>
      <c r="R302" t="n">
        <v>0</v>
      </c>
      <c r="S302" t="n">
        <v>0</v>
      </c>
      <c r="T302" t="n">
        <v>0</v>
      </c>
      <c r="U302" s="2" t="inlineStr"/>
    </row>
    <row r="303" ht="15" customHeight="1">
      <c r="A303" t="inlineStr">
        <is>
          <t>A 33190-2025</t>
        </is>
      </c>
      <c r="B303" t="inlineStr">
        <is>
          <t>avverkningsanmälan</t>
        </is>
      </c>
      <c r="C303" t="inlineStr">
        <is>
          <t>Föryngringsavverkning</t>
        </is>
      </c>
      <c r="D303" s="1" t="n">
        <v>45840</v>
      </c>
      <c r="E303" s="1" t="n">
        <v>46223</v>
      </c>
      <c r="F303" t="inlineStr">
        <is>
          <t>DALARNAS LÄN</t>
        </is>
      </c>
      <c r="G303" t="inlineStr">
        <is>
          <t>MALUNG-SÄLEN</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44324-2025</t>
        </is>
      </c>
      <c r="B304" t="inlineStr">
        <is>
          <t>avverkningsanmälan</t>
        </is>
      </c>
      <c r="C304" t="inlineStr">
        <is>
          <t>Föryngringsavverkning</t>
        </is>
      </c>
      <c r="D304" s="1" t="n">
        <v>45916</v>
      </c>
      <c r="E304" s="1" t="n">
        <v>46223</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32700-2025</t>
        </is>
      </c>
      <c r="B305" t="inlineStr">
        <is>
          <t>avverkningsanmälan</t>
        </is>
      </c>
      <c r="C305" t="inlineStr">
        <is>
          <t>Föryngringsavverkning</t>
        </is>
      </c>
      <c r="D305" s="1" t="n">
        <v>45839</v>
      </c>
      <c r="E305" s="1" t="n">
        <v>46223</v>
      </c>
      <c r="F305" t="inlineStr">
        <is>
          <t>DALARNAS LÄN</t>
        </is>
      </c>
      <c r="G305" t="inlineStr">
        <is>
          <t>MALUNG-SÄLEN</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44204-2025</t>
        </is>
      </c>
      <c r="B306" t="inlineStr">
        <is>
          <t>avverkningsanmälan</t>
        </is>
      </c>
      <c r="C306" t="inlineStr">
        <is>
          <t>Föryngringsavverkning</t>
        </is>
      </c>
      <c r="D306" s="1" t="n">
        <v>45915</v>
      </c>
      <c r="E306" s="1" t="n">
        <v>46223</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44268-2025</t>
        </is>
      </c>
      <c r="B307" t="inlineStr">
        <is>
          <t>avverkningsanmälan</t>
        </is>
      </c>
      <c r="C307" t="inlineStr">
        <is>
          <t>Föryngringsavverkning</t>
        </is>
      </c>
      <c r="D307" s="1" t="n">
        <v>45916</v>
      </c>
      <c r="E307" s="1" t="n">
        <v>46223</v>
      </c>
      <c r="F307" t="inlineStr">
        <is>
          <t>DALARNAS LÄN</t>
        </is>
      </c>
      <c r="G307" t="inlineStr">
        <is>
          <t>MALUNG-SÄLEN</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32702-2025</t>
        </is>
      </c>
      <c r="B308" t="inlineStr">
        <is>
          <t>avverkningsanmälan</t>
        </is>
      </c>
      <c r="C308" t="inlineStr">
        <is>
          <t>Föryngringsavverkning</t>
        </is>
      </c>
      <c r="D308" s="1" t="n">
        <v>45839</v>
      </c>
      <c r="E308" s="1" t="n">
        <v>46223</v>
      </c>
      <c r="F308" t="inlineStr">
        <is>
          <t>DALARNAS LÄN</t>
        </is>
      </c>
      <c r="G308" t="inlineStr">
        <is>
          <t>MALUNG-SÄLEN</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44320-2025</t>
        </is>
      </c>
      <c r="B309" t="inlineStr">
        <is>
          <t>avverkningsanmälan</t>
        </is>
      </c>
      <c r="C309" t="inlineStr">
        <is>
          <t>Föryngringsavverkning</t>
        </is>
      </c>
      <c r="D309" s="1" t="n">
        <v>45916</v>
      </c>
      <c r="E309" s="1" t="n">
        <v>46223</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45207-2023</t>
        </is>
      </c>
      <c r="B310" t="inlineStr">
        <is>
          <t>avverkningsanmälan</t>
        </is>
      </c>
      <c r="C310" t="inlineStr">
        <is>
          <t>Avverkning för att bevara och utveckla /försöksver</t>
        </is>
      </c>
      <c r="D310" s="1" t="n">
        <v>45191</v>
      </c>
      <c r="E310" s="1" t="n">
        <v>46223</v>
      </c>
      <c r="F310" t="inlineStr">
        <is>
          <t>DALARNAS LÄN</t>
        </is>
      </c>
      <c r="G310" t="inlineStr">
        <is>
          <t>MALUNG-SÄLEN</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24140-2022</t>
        </is>
      </c>
      <c r="B311" t="inlineStr">
        <is>
          <t>avverkningsanmälan</t>
        </is>
      </c>
      <c r="C311" t="inlineStr">
        <is>
          <t>Föryngringsavverkning</t>
        </is>
      </c>
      <c r="D311" s="1" t="n">
        <v>44725</v>
      </c>
      <c r="E311" s="1" t="n">
        <v>46223</v>
      </c>
      <c r="F311" t="inlineStr">
        <is>
          <t>DALARNAS LÄN</t>
        </is>
      </c>
      <c r="G311" t="inlineStr">
        <is>
          <t>MALUNG-SÄLEN</t>
        </is>
      </c>
      <c r="H311" t="inlineStr">
        <is>
          <t>Kommuner</t>
        </is>
      </c>
      <c r="I311" t="n">
        <v>10.2</v>
      </c>
      <c r="J311" t="n">
        <v>0</v>
      </c>
      <c r="K311" t="n">
        <v>0</v>
      </c>
      <c r="L311" t="n">
        <v>0</v>
      </c>
      <c r="M311" t="n">
        <v>0</v>
      </c>
      <c r="N311" t="n">
        <v>0</v>
      </c>
      <c r="O311" t="n">
        <v>0</v>
      </c>
      <c r="P311" t="n">
        <v>0</v>
      </c>
      <c r="Q311" t="n">
        <v>0</v>
      </c>
      <c r="R311" t="n">
        <v>0</v>
      </c>
      <c r="S311" t="n">
        <v>0</v>
      </c>
      <c r="T311" t="n">
        <v>0</v>
      </c>
      <c r="U311" s="2" t="inlineStr"/>
    </row>
    <row r="312" ht="15" customHeight="1">
      <c r="A312" t="inlineStr">
        <is>
          <t>A 52857-2023</t>
        </is>
      </c>
      <c r="B312" t="inlineStr">
        <is>
          <t>avverkningsanmälan</t>
        </is>
      </c>
      <c r="C312" t="inlineStr">
        <is>
          <t>Föryngringsavverkning</t>
        </is>
      </c>
      <c r="D312" s="1" t="n">
        <v>45226</v>
      </c>
      <c r="E312" s="1" t="n">
        <v>46223</v>
      </c>
      <c r="F312" t="inlineStr">
        <is>
          <t>DALARNAS LÄN</t>
        </is>
      </c>
      <c r="G312" t="inlineStr">
        <is>
          <t>MALUNG-SÄLEN</t>
        </is>
      </c>
      <c r="H312" t="inlineStr">
        <is>
          <t>Bergvik skog öst AB</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33659-2025</t>
        </is>
      </c>
      <c r="B313" t="inlineStr">
        <is>
          <t>avverkningsanmälan</t>
        </is>
      </c>
      <c r="C313" t="inlineStr">
        <is>
          <t>Föryngringsavverkning</t>
        </is>
      </c>
      <c r="D313" s="1" t="n">
        <v>45841</v>
      </c>
      <c r="E313" s="1" t="n">
        <v>46223</v>
      </c>
      <c r="F313" t="inlineStr">
        <is>
          <t>DALARNAS LÄN</t>
        </is>
      </c>
      <c r="G313" t="inlineStr">
        <is>
          <t>MALUNG-SÄLEN</t>
        </is>
      </c>
      <c r="H313" t="inlineStr">
        <is>
          <t>Bergvik skog väst AB</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33306-2025</t>
        </is>
      </c>
      <c r="B314" t="inlineStr">
        <is>
          <t>avverkningsanmälan</t>
        </is>
      </c>
      <c r="C314" t="inlineStr">
        <is>
          <t>Föryngringsavverkning</t>
        </is>
      </c>
      <c r="D314" s="1" t="n">
        <v>45841</v>
      </c>
      <c r="E314" s="1" t="n">
        <v>46223</v>
      </c>
      <c r="F314" t="inlineStr">
        <is>
          <t>DALARNAS LÄN</t>
        </is>
      </c>
      <c r="G314" t="inlineStr">
        <is>
          <t>MALUNG-SÄLEN</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33880-2025</t>
        </is>
      </c>
      <c r="B315" t="inlineStr">
        <is>
          <t>avverkningsanmälan</t>
        </is>
      </c>
      <c r="C315" t="inlineStr">
        <is>
          <t>Föryngringsavverkning</t>
        </is>
      </c>
      <c r="D315" s="1" t="n">
        <v>45842</v>
      </c>
      <c r="E315" s="1" t="n">
        <v>46223</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33670-2025</t>
        </is>
      </c>
      <c r="B316" t="inlineStr">
        <is>
          <t>avverkningsanmälan</t>
        </is>
      </c>
      <c r="C316" t="inlineStr">
        <is>
          <t>Föryngringsavverkning</t>
        </is>
      </c>
      <c r="D316" s="1" t="n">
        <v>45841</v>
      </c>
      <c r="E316" s="1" t="n">
        <v>46223</v>
      </c>
      <c r="F316" t="inlineStr">
        <is>
          <t>DALARNAS LÄN</t>
        </is>
      </c>
      <c r="G316" t="inlineStr">
        <is>
          <t>MALUNG-SÄLEN</t>
        </is>
      </c>
      <c r="H316" t="inlineStr">
        <is>
          <t>Bergvik skog väst AB</t>
        </is>
      </c>
      <c r="I316" t="n">
        <v>8.5</v>
      </c>
      <c r="J316" t="n">
        <v>0</v>
      </c>
      <c r="K316" t="n">
        <v>0</v>
      </c>
      <c r="L316" t="n">
        <v>0</v>
      </c>
      <c r="M316" t="n">
        <v>0</v>
      </c>
      <c r="N316" t="n">
        <v>0</v>
      </c>
      <c r="O316" t="n">
        <v>0</v>
      </c>
      <c r="P316" t="n">
        <v>0</v>
      </c>
      <c r="Q316" t="n">
        <v>0</v>
      </c>
      <c r="R316" t="n">
        <v>0</v>
      </c>
      <c r="S316" t="n">
        <v>0</v>
      </c>
      <c r="T316" t="n">
        <v>0</v>
      </c>
      <c r="U316" s="2" t="inlineStr"/>
    </row>
    <row r="317" ht="15" customHeight="1">
      <c r="A317" t="inlineStr">
        <is>
          <t>A 33403-2025</t>
        </is>
      </c>
      <c r="B317" t="inlineStr">
        <is>
          <t>avverkningsanmälan</t>
        </is>
      </c>
      <c r="C317" t="inlineStr">
        <is>
          <t>Föryngringsavverkning</t>
        </is>
      </c>
      <c r="D317" s="1" t="n">
        <v>45841</v>
      </c>
      <c r="E317" s="1" t="n">
        <v>46223</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43808-2023</t>
        </is>
      </c>
      <c r="B318" t="inlineStr">
        <is>
          <t>avverkningsanmälan</t>
        </is>
      </c>
      <c r="C318" t="inlineStr">
        <is>
          <t>Föryngringsavverkning</t>
        </is>
      </c>
      <c r="D318" s="1" t="n">
        <v>45187</v>
      </c>
      <c r="E318" s="1" t="n">
        <v>46223</v>
      </c>
      <c r="F318" t="inlineStr">
        <is>
          <t>DALARNAS LÄN</t>
        </is>
      </c>
      <c r="G318" t="inlineStr">
        <is>
          <t>MALUNG-SÄLEN</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9170-2025</t>
        </is>
      </c>
      <c r="B319" t="inlineStr">
        <is>
          <t>avverkningsanmälan</t>
        </is>
      </c>
      <c r="C319" t="inlineStr">
        <is>
          <t>Avverkning för annat ändamål</t>
        </is>
      </c>
      <c r="D319" s="1" t="n">
        <v>45713</v>
      </c>
      <c r="E319" s="1" t="n">
        <v>46223</v>
      </c>
      <c r="F319" t="inlineStr">
        <is>
          <t>DALARNAS LÄN</t>
        </is>
      </c>
      <c r="G319" t="inlineStr">
        <is>
          <t>MALUNG-SÄLEN</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11594-2023</t>
        </is>
      </c>
      <c r="B320" t="inlineStr">
        <is>
          <t>avverkningsanmälan</t>
        </is>
      </c>
      <c r="C320" t="inlineStr">
        <is>
          <t>Föryngringsavverkning</t>
        </is>
      </c>
      <c r="D320" s="1" t="n">
        <v>44994</v>
      </c>
      <c r="E320" s="1" t="n">
        <v>46223</v>
      </c>
      <c r="F320" t="inlineStr">
        <is>
          <t>DALARNAS LÄN</t>
        </is>
      </c>
      <c r="G320" t="inlineStr">
        <is>
          <t>MALUNG-SÄLEN</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33647-2025</t>
        </is>
      </c>
      <c r="B321" t="inlineStr">
        <is>
          <t>avverkningsanmälan</t>
        </is>
      </c>
      <c r="C321" t="inlineStr">
        <is>
          <t>Föryngringsavverkning</t>
        </is>
      </c>
      <c r="D321" s="1" t="n">
        <v>45841</v>
      </c>
      <c r="E321" s="1" t="n">
        <v>46223</v>
      </c>
      <c r="F321" t="inlineStr">
        <is>
          <t>DALARNAS LÄN</t>
        </is>
      </c>
      <c r="G321" t="inlineStr">
        <is>
          <t>MALUNG-SÄLEN</t>
        </is>
      </c>
      <c r="H321" t="inlineStr">
        <is>
          <t>Övriga statliga verk och myndigheter</t>
        </is>
      </c>
      <c r="I321" t="n">
        <v>5.2</v>
      </c>
      <c r="J321" t="n">
        <v>0</v>
      </c>
      <c r="K321" t="n">
        <v>0</v>
      </c>
      <c r="L321" t="n">
        <v>0</v>
      </c>
      <c r="M321" t="n">
        <v>0</v>
      </c>
      <c r="N321" t="n">
        <v>0</v>
      </c>
      <c r="O321" t="n">
        <v>0</v>
      </c>
      <c r="P321" t="n">
        <v>0</v>
      </c>
      <c r="Q321" t="n">
        <v>0</v>
      </c>
      <c r="R321" t="n">
        <v>0</v>
      </c>
      <c r="S321" t="n">
        <v>0</v>
      </c>
      <c r="T321" t="n">
        <v>0</v>
      </c>
      <c r="U321" s="2" t="inlineStr"/>
    </row>
    <row r="322" ht="15" customHeight="1">
      <c r="A322" t="inlineStr">
        <is>
          <t>A 8905-2024</t>
        </is>
      </c>
      <c r="B322" t="inlineStr">
        <is>
          <t>avverkningsanmälan</t>
        </is>
      </c>
      <c r="C322" t="inlineStr">
        <is>
          <t>Föryngringsavverkning</t>
        </is>
      </c>
      <c r="D322" s="1" t="n">
        <v>45357</v>
      </c>
      <c r="E322" s="1" t="n">
        <v>46223</v>
      </c>
      <c r="F322" t="inlineStr">
        <is>
          <t>DALARNAS LÄN</t>
        </is>
      </c>
      <c r="G322" t="inlineStr">
        <is>
          <t>MALUNG-SÄLEN</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45207-2025</t>
        </is>
      </c>
      <c r="B323" t="inlineStr">
        <is>
          <t>avverkningsanmälan</t>
        </is>
      </c>
      <c r="C323" t="inlineStr">
        <is>
          <t>Föryngringsavverkning</t>
        </is>
      </c>
      <c r="D323" s="1" t="n">
        <v>45919</v>
      </c>
      <c r="E323" s="1" t="n">
        <v>46223</v>
      </c>
      <c r="F323" t="inlineStr">
        <is>
          <t>DALARNAS LÄN</t>
        </is>
      </c>
      <c r="G323" t="inlineStr">
        <is>
          <t>MALUNG-SÄLEN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45233-2025</t>
        </is>
      </c>
      <c r="B324" t="inlineStr">
        <is>
          <t>avverkningsanmälan</t>
        </is>
      </c>
      <c r="C324" t="inlineStr">
        <is>
          <t>Föryngringsavverkning</t>
        </is>
      </c>
      <c r="D324" s="1" t="n">
        <v>45919</v>
      </c>
      <c r="E324" s="1" t="n">
        <v>46223</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45205-2025</t>
        </is>
      </c>
      <c r="B325" t="inlineStr">
        <is>
          <t>avverkningsanmälan</t>
        </is>
      </c>
      <c r="C325" t="inlineStr">
        <is>
          <t>Föryngringsavverkning</t>
        </is>
      </c>
      <c r="D325" s="1" t="n">
        <v>45919</v>
      </c>
      <c r="E325" s="1" t="n">
        <v>46223</v>
      </c>
      <c r="F325" t="inlineStr">
        <is>
          <t>DALARNAS LÄN</t>
        </is>
      </c>
      <c r="G325" t="inlineStr">
        <is>
          <t>MALUNG-SÄLEN</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34378-2025</t>
        </is>
      </c>
      <c r="B326" t="inlineStr">
        <is>
          <t>avverkningsanmälan</t>
        </is>
      </c>
      <c r="C326" t="inlineStr">
        <is>
          <t>Föryngringsavverkning</t>
        </is>
      </c>
      <c r="D326" s="1" t="n">
        <v>45846</v>
      </c>
      <c r="E326" s="1" t="n">
        <v>46223</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41324-2024</t>
        </is>
      </c>
      <c r="B327" t="inlineStr">
        <is>
          <t>avverkningsanmälan</t>
        </is>
      </c>
      <c r="C327" t="inlineStr">
        <is>
          <t>Föryngringsavverkning</t>
        </is>
      </c>
      <c r="D327" s="1" t="n">
        <v>45559</v>
      </c>
      <c r="E327" s="1" t="n">
        <v>46223</v>
      </c>
      <c r="F327" t="inlineStr">
        <is>
          <t>DALARNAS LÄN</t>
        </is>
      </c>
      <c r="G327" t="inlineStr">
        <is>
          <t>MALUNG-SÄLEN</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34906-2025</t>
        </is>
      </c>
      <c r="B328" t="inlineStr">
        <is>
          <t>avverkningsanmälan</t>
        </is>
      </c>
      <c r="C328" t="inlineStr">
        <is>
          <t>Föryngringsavverkning</t>
        </is>
      </c>
      <c r="D328" s="1" t="n">
        <v>45849</v>
      </c>
      <c r="E328" s="1" t="n">
        <v>46223</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6163-2026</t>
        </is>
      </c>
      <c r="B329" t="inlineStr">
        <is>
          <t>avverkningsanmälan</t>
        </is>
      </c>
      <c r="C329" t="inlineStr">
        <is>
          <t>Föryngringsavverkning</t>
        </is>
      </c>
      <c r="D329" s="1" t="n">
        <v>46055</v>
      </c>
      <c r="E329" s="1" t="n">
        <v>46223</v>
      </c>
      <c r="F329" t="inlineStr">
        <is>
          <t>DALARNAS LÄN</t>
        </is>
      </c>
      <c r="G329" t="inlineStr">
        <is>
          <t>MALUNG-SÄLEN</t>
        </is>
      </c>
      <c r="H329" t="inlineStr">
        <is>
          <t>Kommuner</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46470-2025</t>
        </is>
      </c>
      <c r="B330" t="inlineStr">
        <is>
          <t>avverkningsanmälan</t>
        </is>
      </c>
      <c r="C330" t="inlineStr">
        <is>
          <t>Föryngringsavverkning</t>
        </is>
      </c>
      <c r="D330" s="1" t="n">
        <v>45925</v>
      </c>
      <c r="E330" s="1" t="n">
        <v>46223</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34901-2025</t>
        </is>
      </c>
      <c r="B331" t="inlineStr">
        <is>
          <t>avverkningsanmälan</t>
        </is>
      </c>
      <c r="C331" t="inlineStr">
        <is>
          <t>Föryngringsavverkning</t>
        </is>
      </c>
      <c r="D331" s="1" t="n">
        <v>45849</v>
      </c>
      <c r="E331" s="1" t="n">
        <v>46223</v>
      </c>
      <c r="F331" t="inlineStr">
        <is>
          <t>DALARNAS LÄN</t>
        </is>
      </c>
      <c r="G331" t="inlineStr">
        <is>
          <t>MALUNG-SÄLEN</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46638-2025</t>
        </is>
      </c>
      <c r="B332" t="inlineStr">
        <is>
          <t>avverkningsanmälan</t>
        </is>
      </c>
      <c r="C332" t="inlineStr">
        <is>
          <t>Föryngringsavverkning</t>
        </is>
      </c>
      <c r="D332" s="1" t="n">
        <v>45926</v>
      </c>
      <c r="E332" s="1" t="n">
        <v>46223</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s="2" t="inlineStr"/>
    </row>
    <row r="333" ht="15" customHeight="1">
      <c r="A333" t="inlineStr">
        <is>
          <t>A 34894-2025</t>
        </is>
      </c>
      <c r="B333" t="inlineStr">
        <is>
          <t>avverkningsanmälan</t>
        </is>
      </c>
      <c r="C333" t="inlineStr">
        <is>
          <t>Föryngringsavverkning</t>
        </is>
      </c>
      <c r="D333" s="1" t="n">
        <v>45849</v>
      </c>
      <c r="E333" s="1" t="n">
        <v>46223</v>
      </c>
      <c r="F333" t="inlineStr">
        <is>
          <t>DALARNAS LÄN</t>
        </is>
      </c>
      <c r="G333" t="inlineStr">
        <is>
          <t>MALUNG-SÄLEN</t>
        </is>
      </c>
      <c r="H333" t="inlineStr">
        <is>
          <t>Bergvik skog väst AB</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34898-2025</t>
        </is>
      </c>
      <c r="B334" t="inlineStr">
        <is>
          <t>avverkningsanmälan</t>
        </is>
      </c>
      <c r="C334" t="inlineStr">
        <is>
          <t>Föryngringsavverkning</t>
        </is>
      </c>
      <c r="D334" s="1" t="n">
        <v>45849</v>
      </c>
      <c r="E334" s="1" t="n">
        <v>46223</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35240-2025</t>
        </is>
      </c>
      <c r="B335" t="inlineStr">
        <is>
          <t>avverkningsanmälan</t>
        </is>
      </c>
      <c r="C335" t="inlineStr">
        <is>
          <t>Föryngringsavverkning</t>
        </is>
      </c>
      <c r="D335" s="1" t="n">
        <v>45853</v>
      </c>
      <c r="E335" s="1" t="n">
        <v>46223</v>
      </c>
      <c r="F335" t="inlineStr">
        <is>
          <t>DALARNAS LÄN</t>
        </is>
      </c>
      <c r="G335" t="inlineStr">
        <is>
          <t>MALUNG-SÄLEN</t>
        </is>
      </c>
      <c r="H335" t="inlineStr">
        <is>
          <t>Bergvik skog öst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62369-2022</t>
        </is>
      </c>
      <c r="B336" t="inlineStr">
        <is>
          <t>avverkningsanmälan</t>
        </is>
      </c>
      <c r="C336" t="inlineStr">
        <is>
          <t>Föryngringsavverkning</t>
        </is>
      </c>
      <c r="D336" s="1" t="n">
        <v>44923</v>
      </c>
      <c r="E336" s="1" t="n">
        <v>46223</v>
      </c>
      <c r="F336" t="inlineStr">
        <is>
          <t>DALARNAS LÄN</t>
        </is>
      </c>
      <c r="G336" t="inlineStr">
        <is>
          <t>MALUNG-SÄLEN</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46557-2025</t>
        </is>
      </c>
      <c r="B337" t="inlineStr">
        <is>
          <t>avverkningsanmälan</t>
        </is>
      </c>
      <c r="C337" t="inlineStr">
        <is>
          <t>Föryngringsavverkning</t>
        </is>
      </c>
      <c r="D337" s="1" t="n">
        <v>45926</v>
      </c>
      <c r="E337" s="1" t="n">
        <v>46223</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47058-2025</t>
        </is>
      </c>
      <c r="B338" t="inlineStr">
        <is>
          <t>avverkningsanmälan</t>
        </is>
      </c>
      <c r="C338" t="inlineStr">
        <is>
          <t>Föryngringsavverkning</t>
        </is>
      </c>
      <c r="D338" s="1" t="n">
        <v>45929</v>
      </c>
      <c r="E338" s="1" t="n">
        <v>46223</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s="2" t="inlineStr"/>
    </row>
    <row r="339" ht="15" customHeight="1">
      <c r="A339" t="inlineStr">
        <is>
          <t>A 35452-2025</t>
        </is>
      </c>
      <c r="B339" t="inlineStr">
        <is>
          <t>avverkningsanmälan</t>
        </is>
      </c>
      <c r="C339" t="inlineStr">
        <is>
          <t>Föryngringsavverkning</t>
        </is>
      </c>
      <c r="D339" s="1" t="n">
        <v>45855</v>
      </c>
      <c r="E339" s="1" t="n">
        <v>46223</v>
      </c>
      <c r="F339" t="inlineStr">
        <is>
          <t>DALARNAS LÄN</t>
        </is>
      </c>
      <c r="G339" t="inlineStr">
        <is>
          <t>MALUNG-SÄLEN</t>
        </is>
      </c>
      <c r="H339" t="inlineStr">
        <is>
          <t>Bergvik skog öst AB</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35493-2025</t>
        </is>
      </c>
      <c r="B340" t="inlineStr">
        <is>
          <t>avverkningsanmälan</t>
        </is>
      </c>
      <c r="C340" t="inlineStr">
        <is>
          <t>Föryngringsavverkning</t>
        </is>
      </c>
      <c r="D340" s="1" t="n">
        <v>45855</v>
      </c>
      <c r="E340" s="1" t="n">
        <v>46223</v>
      </c>
      <c r="F340" t="inlineStr">
        <is>
          <t>DALARNAS LÄN</t>
        </is>
      </c>
      <c r="G340" t="inlineStr">
        <is>
          <t>MALUNG-SÄLEN</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45616-2024</t>
        </is>
      </c>
      <c r="B341" t="inlineStr">
        <is>
          <t>avverkningsanmälan</t>
        </is>
      </c>
      <c r="C341" t="inlineStr">
        <is>
          <t>Föryngringsavverkning</t>
        </is>
      </c>
      <c r="D341" s="1" t="n">
        <v>45579</v>
      </c>
      <c r="E341" s="1" t="n">
        <v>46223</v>
      </c>
      <c r="F341" t="inlineStr">
        <is>
          <t>DALARNAS LÄN</t>
        </is>
      </c>
      <c r="G341" t="inlineStr">
        <is>
          <t>MALUNG-SÄLEN</t>
        </is>
      </c>
      <c r="H341" t="inlineStr">
        <is>
          <t>Bergvik skog väst AB</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47034-2025</t>
        </is>
      </c>
      <c r="B342" t="inlineStr">
        <is>
          <t>avverkningsanmälan</t>
        </is>
      </c>
      <c r="C342" t="inlineStr">
        <is>
          <t>Föryngringsavverkning</t>
        </is>
      </c>
      <c r="D342" s="1" t="n">
        <v>45929</v>
      </c>
      <c r="E342" s="1" t="n">
        <v>46223</v>
      </c>
      <c r="F342" t="inlineStr">
        <is>
          <t>DALARNAS LÄN</t>
        </is>
      </c>
      <c r="G342" t="inlineStr">
        <is>
          <t>MALUNG-SÄLEN</t>
        </is>
      </c>
      <c r="I342" t="n">
        <v>12.1</v>
      </c>
      <c r="J342" t="n">
        <v>0</v>
      </c>
      <c r="K342" t="n">
        <v>0</v>
      </c>
      <c r="L342" t="n">
        <v>0</v>
      </c>
      <c r="M342" t="n">
        <v>0</v>
      </c>
      <c r="N342" t="n">
        <v>0</v>
      </c>
      <c r="O342" t="n">
        <v>0</v>
      </c>
      <c r="P342" t="n">
        <v>0</v>
      </c>
      <c r="Q342" t="n">
        <v>0</v>
      </c>
      <c r="R342" t="n">
        <v>0</v>
      </c>
      <c r="S342" t="n">
        <v>0</v>
      </c>
      <c r="T342" t="n">
        <v>0</v>
      </c>
      <c r="U342" s="2" t="inlineStr"/>
    </row>
    <row r="343" ht="15" customHeight="1">
      <c r="A343" t="inlineStr">
        <is>
          <t>A 47284-2025</t>
        </is>
      </c>
      <c r="B343" t="inlineStr">
        <is>
          <t>avverkningsanmälan</t>
        </is>
      </c>
      <c r="C343" t="inlineStr">
        <is>
          <t>Föryngringsavverkning</t>
        </is>
      </c>
      <c r="D343" s="1" t="n">
        <v>45930</v>
      </c>
      <c r="E343" s="1" t="n">
        <v>46223</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s="2" t="inlineStr"/>
    </row>
    <row r="344" ht="15" customHeight="1">
      <c r="A344" t="inlineStr">
        <is>
          <t>A 45963-2024</t>
        </is>
      </c>
      <c r="B344" t="inlineStr">
        <is>
          <t>avverkningsanmälan</t>
        </is>
      </c>
      <c r="C344" t="inlineStr">
        <is>
          <t>Föryngringsavverkning</t>
        </is>
      </c>
      <c r="D344" s="1" t="n">
        <v>45580</v>
      </c>
      <c r="E344" s="1" t="n">
        <v>46223</v>
      </c>
      <c r="F344" t="inlineStr">
        <is>
          <t>DALARNAS LÄN</t>
        </is>
      </c>
      <c r="G344" t="inlineStr">
        <is>
          <t>MALUNG-SÄLEN</t>
        </is>
      </c>
      <c r="I344" t="n">
        <v>3.6</v>
      </c>
      <c r="J344" t="n">
        <v>0</v>
      </c>
      <c r="K344" t="n">
        <v>0</v>
      </c>
      <c r="L344" t="n">
        <v>0</v>
      </c>
      <c r="M344" t="n">
        <v>0</v>
      </c>
      <c r="N344" t="n">
        <v>0</v>
      </c>
      <c r="O344" t="n">
        <v>0</v>
      </c>
      <c r="P344" t="n">
        <v>0</v>
      </c>
      <c r="Q344" t="n">
        <v>0</v>
      </c>
      <c r="R344" t="n">
        <v>0</v>
      </c>
      <c r="S344" t="n">
        <v>0</v>
      </c>
      <c r="T344" t="n">
        <v>0</v>
      </c>
      <c r="U344" s="2" t="inlineStr"/>
    </row>
    <row r="345" ht="15" customHeight="1">
      <c r="A345" t="inlineStr">
        <is>
          <t>A 47742-2025</t>
        </is>
      </c>
      <c r="B345" t="inlineStr">
        <is>
          <t>avverkningsanmälan</t>
        </is>
      </c>
      <c r="C345" t="inlineStr">
        <is>
          <t>Föryngringsavverkning</t>
        </is>
      </c>
      <c r="D345" s="1" t="n">
        <v>45931</v>
      </c>
      <c r="E345" s="1" t="n">
        <v>46223</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58871-2024</t>
        </is>
      </c>
      <c r="B346" t="inlineStr">
        <is>
          <t>avverkningsanmälan</t>
        </is>
      </c>
      <c r="C346" t="inlineStr">
        <is>
          <t>Föryngringsavverkning</t>
        </is>
      </c>
      <c r="D346" s="1" t="n">
        <v>45636</v>
      </c>
      <c r="E346" s="1" t="n">
        <v>46223</v>
      </c>
      <c r="F346" t="inlineStr">
        <is>
          <t>DALARNAS LÄN</t>
        </is>
      </c>
      <c r="G346" t="inlineStr">
        <is>
          <t>MALUNG-SÄLEN</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44574-2024</t>
        </is>
      </c>
      <c r="B347" t="inlineStr">
        <is>
          <t>avverkningsanmälan</t>
        </is>
      </c>
      <c r="C347" t="inlineStr">
        <is>
          <t>Föryngringsavverkning</t>
        </is>
      </c>
      <c r="D347" s="1" t="n">
        <v>45574</v>
      </c>
      <c r="E347" s="1" t="n">
        <v>46223</v>
      </c>
      <c r="F347" t="inlineStr">
        <is>
          <t>DALARNAS LÄN</t>
        </is>
      </c>
      <c r="G347" t="inlineStr">
        <is>
          <t>MALUNG-SÄLEN</t>
        </is>
      </c>
      <c r="H347" t="inlineStr">
        <is>
          <t>Bergvik skog öst AB</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47755-2025</t>
        </is>
      </c>
      <c r="B348" t="inlineStr">
        <is>
          <t>avverkningsanmälan</t>
        </is>
      </c>
      <c r="C348" t="inlineStr">
        <is>
          <t>Föryngringsavverkning</t>
        </is>
      </c>
      <c r="D348" s="1" t="n">
        <v>45931</v>
      </c>
      <c r="E348" s="1" t="n">
        <v>46223</v>
      </c>
      <c r="F348" t="inlineStr">
        <is>
          <t>DALARNAS LÄN</t>
        </is>
      </c>
      <c r="G348" t="inlineStr">
        <is>
          <t>MALUNG-SÄLEN</t>
        </is>
      </c>
      <c r="I348" t="n">
        <v>2.6</v>
      </c>
      <c r="J348" t="n">
        <v>0</v>
      </c>
      <c r="K348" t="n">
        <v>0</v>
      </c>
      <c r="L348" t="n">
        <v>0</v>
      </c>
      <c r="M348" t="n">
        <v>0</v>
      </c>
      <c r="N348" t="n">
        <v>0</v>
      </c>
      <c r="O348" t="n">
        <v>0</v>
      </c>
      <c r="P348" t="n">
        <v>0</v>
      </c>
      <c r="Q348" t="n">
        <v>0</v>
      </c>
      <c r="R348" t="n">
        <v>0</v>
      </c>
      <c r="S348" t="n">
        <v>0</v>
      </c>
      <c r="T348" t="n">
        <v>0</v>
      </c>
      <c r="U348" s="2" t="inlineStr"/>
    </row>
    <row r="349" ht="15" customHeight="1">
      <c r="A349" t="inlineStr">
        <is>
          <t>A 47677-2025</t>
        </is>
      </c>
      <c r="B349" t="inlineStr">
        <is>
          <t>avverkningsanmälan</t>
        </is>
      </c>
      <c r="C349" t="inlineStr">
        <is>
          <t>Föryngringsavverkning</t>
        </is>
      </c>
      <c r="D349" s="1" t="n">
        <v>45931</v>
      </c>
      <c r="E349" s="1" t="n">
        <v>46223</v>
      </c>
      <c r="F349" t="inlineStr">
        <is>
          <t>DALARNAS LÄN</t>
        </is>
      </c>
      <c r="G349" t="inlineStr">
        <is>
          <t>MALUNG-SÄLEN</t>
        </is>
      </c>
      <c r="H349" t="inlineStr">
        <is>
          <t>Bergvik skog öst AB</t>
        </is>
      </c>
      <c r="I349" t="n">
        <v>3.7</v>
      </c>
      <c r="J349" t="n">
        <v>0</v>
      </c>
      <c r="K349" t="n">
        <v>0</v>
      </c>
      <c r="L349" t="n">
        <v>0</v>
      </c>
      <c r="M349" t="n">
        <v>0</v>
      </c>
      <c r="N349" t="n">
        <v>0</v>
      </c>
      <c r="O349" t="n">
        <v>0</v>
      </c>
      <c r="P349" t="n">
        <v>0</v>
      </c>
      <c r="Q349" t="n">
        <v>0</v>
      </c>
      <c r="R349" t="n">
        <v>0</v>
      </c>
      <c r="S349" t="n">
        <v>0</v>
      </c>
      <c r="T349" t="n">
        <v>0</v>
      </c>
      <c r="U349" s="2" t="inlineStr"/>
    </row>
    <row r="350" ht="15" customHeight="1">
      <c r="A350" t="inlineStr">
        <is>
          <t>A 48296-2025</t>
        </is>
      </c>
      <c r="B350" t="inlineStr">
        <is>
          <t>avverkningsanmälan</t>
        </is>
      </c>
      <c r="C350" t="inlineStr">
        <is>
          <t>Föryngringsavverkning</t>
        </is>
      </c>
      <c r="D350" s="1" t="n">
        <v>45933</v>
      </c>
      <c r="E350" s="1" t="n">
        <v>46223</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s="2" t="inlineStr"/>
    </row>
    <row r="351" ht="15" customHeight="1">
      <c r="A351" t="inlineStr">
        <is>
          <t>A 5837-2025</t>
        </is>
      </c>
      <c r="B351" t="inlineStr">
        <is>
          <t>avverkningsanmälan</t>
        </is>
      </c>
      <c r="C351" t="inlineStr">
        <is>
          <t>Föryngringsavverkning</t>
        </is>
      </c>
      <c r="D351" s="1" t="n">
        <v>45694</v>
      </c>
      <c r="E351" s="1" t="n">
        <v>46223</v>
      </c>
      <c r="F351" t="inlineStr">
        <is>
          <t>DALARNAS LÄN</t>
        </is>
      </c>
      <c r="G351" t="inlineStr">
        <is>
          <t>MALUNG-SÄLEN</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52526-2023</t>
        </is>
      </c>
      <c r="B352" t="inlineStr">
        <is>
          <t>avverkningsanmälan</t>
        </is>
      </c>
      <c r="C352" t="inlineStr">
        <is>
          <t>Föryngringsavverkning</t>
        </is>
      </c>
      <c r="D352" s="1" t="n">
        <v>45225</v>
      </c>
      <c r="E352" s="1" t="n">
        <v>46223</v>
      </c>
      <c r="F352" t="inlineStr">
        <is>
          <t>DALARNAS LÄN</t>
        </is>
      </c>
      <c r="G352" t="inlineStr">
        <is>
          <t>MALUNG-SÄLEN</t>
        </is>
      </c>
      <c r="H352" t="inlineStr">
        <is>
          <t>Allmännings- och besparingsskogar</t>
        </is>
      </c>
      <c r="I352" t="n">
        <v>13.7</v>
      </c>
      <c r="J352" t="n">
        <v>0</v>
      </c>
      <c r="K352" t="n">
        <v>0</v>
      </c>
      <c r="L352" t="n">
        <v>0</v>
      </c>
      <c r="M352" t="n">
        <v>0</v>
      </c>
      <c r="N352" t="n">
        <v>0</v>
      </c>
      <c r="O352" t="n">
        <v>0</v>
      </c>
      <c r="P352" t="n">
        <v>0</v>
      </c>
      <c r="Q352" t="n">
        <v>0</v>
      </c>
      <c r="R352" t="n">
        <v>0</v>
      </c>
      <c r="S352" t="n">
        <v>0</v>
      </c>
      <c r="T352" t="n">
        <v>0</v>
      </c>
      <c r="U352" s="2" t="inlineStr"/>
    </row>
    <row r="353" ht="15" customHeight="1">
      <c r="A353" t="inlineStr">
        <is>
          <t>A 24962-2024</t>
        </is>
      </c>
      <c r="B353" t="inlineStr">
        <is>
          <t>avverkningsanmälan</t>
        </is>
      </c>
      <c r="C353" t="inlineStr">
        <is>
          <t>Föryngringsavverkning</t>
        </is>
      </c>
      <c r="D353" s="1" t="n">
        <v>45461</v>
      </c>
      <c r="E353" s="1" t="n">
        <v>46223</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48356-2025</t>
        </is>
      </c>
      <c r="B354" t="inlineStr">
        <is>
          <t>avverkningsanmälan</t>
        </is>
      </c>
      <c r="C354" t="inlineStr">
        <is>
          <t>Avverkning för annat ändamål</t>
        </is>
      </c>
      <c r="D354" s="1" t="n">
        <v>45933</v>
      </c>
      <c r="E354" s="1" t="n">
        <v>46223</v>
      </c>
      <c r="F354" t="inlineStr">
        <is>
          <t>DALARNAS LÄN</t>
        </is>
      </c>
      <c r="G354" t="inlineStr">
        <is>
          <t>MALUNG-SÄLEN</t>
        </is>
      </c>
      <c r="I354" t="n">
        <v>2.8</v>
      </c>
      <c r="J354" t="n">
        <v>0</v>
      </c>
      <c r="K354" t="n">
        <v>0</v>
      </c>
      <c r="L354" t="n">
        <v>0</v>
      </c>
      <c r="M354" t="n">
        <v>0</v>
      </c>
      <c r="N354" t="n">
        <v>0</v>
      </c>
      <c r="O354" t="n">
        <v>0</v>
      </c>
      <c r="P354" t="n">
        <v>0</v>
      </c>
      <c r="Q354" t="n">
        <v>0</v>
      </c>
      <c r="R354" t="n">
        <v>0</v>
      </c>
      <c r="S354" t="n">
        <v>0</v>
      </c>
      <c r="T354" t="n">
        <v>0</v>
      </c>
      <c r="U354" s="2" t="inlineStr"/>
    </row>
    <row r="355" ht="15" customHeight="1">
      <c r="A355" t="inlineStr">
        <is>
          <t>A 48624-2025</t>
        </is>
      </c>
      <c r="B355" t="inlineStr">
        <is>
          <t>avverkningsanmälan</t>
        </is>
      </c>
      <c r="C355" t="inlineStr">
        <is>
          <t>Föryngringsavverkning</t>
        </is>
      </c>
      <c r="D355" s="1" t="n">
        <v>45936</v>
      </c>
      <c r="E355" s="1" t="n">
        <v>46223</v>
      </c>
      <c r="F355" t="inlineStr">
        <is>
          <t>DALARNAS LÄN</t>
        </is>
      </c>
      <c r="G355" t="inlineStr">
        <is>
          <t>MALUNG-SÄLEN</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36261-2025</t>
        </is>
      </c>
      <c r="B356" t="inlineStr">
        <is>
          <t>avverkningsanmälan</t>
        </is>
      </c>
      <c r="C356" t="inlineStr">
        <is>
          <t>Föryngringsavverkning</t>
        </is>
      </c>
      <c r="D356" s="1" t="n">
        <v>45867</v>
      </c>
      <c r="E356" s="1" t="n">
        <v>46223</v>
      </c>
      <c r="F356" t="inlineStr">
        <is>
          <t>DALARNAS LÄN</t>
        </is>
      </c>
      <c r="G356" t="inlineStr">
        <is>
          <t>MALUNG-SÄLEN</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48653-2025</t>
        </is>
      </c>
      <c r="B357" t="inlineStr">
        <is>
          <t>avverkningsanmälan</t>
        </is>
      </c>
      <c r="C357" t="inlineStr">
        <is>
          <t>Föryngringsavverkning</t>
        </is>
      </c>
      <c r="D357" s="1" t="n">
        <v>45936</v>
      </c>
      <c r="E357" s="1" t="n">
        <v>46223</v>
      </c>
      <c r="F357" t="inlineStr">
        <is>
          <t>DALARNAS LÄN</t>
        </is>
      </c>
      <c r="G357" t="inlineStr">
        <is>
          <t>MALUNG-SÄLEN</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48673-2025</t>
        </is>
      </c>
      <c r="B358" t="inlineStr">
        <is>
          <t>avverkningsanmälan</t>
        </is>
      </c>
      <c r="C358" t="inlineStr">
        <is>
          <t>Föryngringsavverkning</t>
        </is>
      </c>
      <c r="D358" s="1" t="n">
        <v>45936</v>
      </c>
      <c r="E358" s="1" t="n">
        <v>46223</v>
      </c>
      <c r="F358" t="inlineStr">
        <is>
          <t>DALARNAS LÄN</t>
        </is>
      </c>
      <c r="G358" t="inlineStr">
        <is>
          <t>MALUNG-SÄLEN</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48837-2025</t>
        </is>
      </c>
      <c r="B359" t="inlineStr">
        <is>
          <t>avverkningsanmälan</t>
        </is>
      </c>
      <c r="C359" t="inlineStr">
        <is>
          <t>Föryngringsavverkning</t>
        </is>
      </c>
      <c r="D359" s="1" t="n">
        <v>45937</v>
      </c>
      <c r="E359" s="1" t="n">
        <v>46223</v>
      </c>
      <c r="F359" t="inlineStr">
        <is>
          <t>DALARNAS LÄN</t>
        </is>
      </c>
      <c r="G359" t="inlineStr">
        <is>
          <t>MALUNG-SÄLEN</t>
        </is>
      </c>
      <c r="H359" t="inlineStr">
        <is>
          <t>Bergvik skog väst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48908-2025</t>
        </is>
      </c>
      <c r="B360" t="inlineStr">
        <is>
          <t>avverkningsanmälan</t>
        </is>
      </c>
      <c r="C360" t="inlineStr">
        <is>
          <t>Föryngringsavverkning</t>
        </is>
      </c>
      <c r="D360" s="1" t="n">
        <v>45937</v>
      </c>
      <c r="E360" s="1" t="n">
        <v>46223</v>
      </c>
      <c r="F360" t="inlineStr">
        <is>
          <t>DALARNAS LÄN</t>
        </is>
      </c>
      <c r="G360" t="inlineStr">
        <is>
          <t>MALUNG-SÄLEN</t>
        </is>
      </c>
      <c r="H360" t="inlineStr">
        <is>
          <t>Bergvik skog väst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33426-2024</t>
        </is>
      </c>
      <c r="B361" t="inlineStr">
        <is>
          <t>avverkningsanmälan</t>
        </is>
      </c>
      <c r="C361" t="inlineStr">
        <is>
          <t>Föryngringsavverkning</t>
        </is>
      </c>
      <c r="D361" s="1" t="n">
        <v>45519</v>
      </c>
      <c r="E361" s="1" t="n">
        <v>46223</v>
      </c>
      <c r="F361" t="inlineStr">
        <is>
          <t>DALARNAS LÄN</t>
        </is>
      </c>
      <c r="G361" t="inlineStr">
        <is>
          <t>MALUNG-SÄLEN</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48834-2025</t>
        </is>
      </c>
      <c r="B362" t="inlineStr">
        <is>
          <t>avverkningsanmälan</t>
        </is>
      </c>
      <c r="C362" t="inlineStr">
        <is>
          <t>Föryngringsavverkning</t>
        </is>
      </c>
      <c r="D362" s="1" t="n">
        <v>45937</v>
      </c>
      <c r="E362" s="1" t="n">
        <v>46223</v>
      </c>
      <c r="F362" t="inlineStr">
        <is>
          <t>DALARNAS LÄN</t>
        </is>
      </c>
      <c r="G362" t="inlineStr">
        <is>
          <t>MALUNG-SÄLEN</t>
        </is>
      </c>
      <c r="H362" t="inlineStr">
        <is>
          <t>Bergvik skog väst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48944-2025</t>
        </is>
      </c>
      <c r="B363" t="inlineStr">
        <is>
          <t>avverkningsanmälan</t>
        </is>
      </c>
      <c r="C363" t="inlineStr">
        <is>
          <t>Föryngringsavverkning</t>
        </is>
      </c>
      <c r="D363" s="1" t="n">
        <v>45937</v>
      </c>
      <c r="E363" s="1" t="n">
        <v>46223</v>
      </c>
      <c r="F363" t="inlineStr">
        <is>
          <t>DALARNAS LÄN</t>
        </is>
      </c>
      <c r="G363" t="inlineStr">
        <is>
          <t>MALUNG-SÄLEN</t>
        </is>
      </c>
      <c r="H363" t="inlineStr">
        <is>
          <t>Bergvik skog väst AB</t>
        </is>
      </c>
      <c r="I363" t="n">
        <v>9.9</v>
      </c>
      <c r="J363" t="n">
        <v>0</v>
      </c>
      <c r="K363" t="n">
        <v>0</v>
      </c>
      <c r="L363" t="n">
        <v>0</v>
      </c>
      <c r="M363" t="n">
        <v>0</v>
      </c>
      <c r="N363" t="n">
        <v>0</v>
      </c>
      <c r="O363" t="n">
        <v>0</v>
      </c>
      <c r="P363" t="n">
        <v>0</v>
      </c>
      <c r="Q363" t="n">
        <v>0</v>
      </c>
      <c r="R363" t="n">
        <v>0</v>
      </c>
      <c r="S363" t="n">
        <v>0</v>
      </c>
      <c r="T363" t="n">
        <v>0</v>
      </c>
      <c r="U363" s="2" t="inlineStr"/>
    </row>
    <row r="364" ht="15" customHeight="1">
      <c r="A364" t="inlineStr">
        <is>
          <t>A 47963-2023</t>
        </is>
      </c>
      <c r="B364" t="inlineStr">
        <is>
          <t>avverkningsanmälan</t>
        </is>
      </c>
      <c r="C364" t="inlineStr">
        <is>
          <t>Föryngringsavverkning</t>
        </is>
      </c>
      <c r="D364" s="1" t="n">
        <v>45204</v>
      </c>
      <c r="E364" s="1" t="n">
        <v>46223</v>
      </c>
      <c r="F364" t="inlineStr">
        <is>
          <t>DALARNAS LÄN</t>
        </is>
      </c>
      <c r="G364" t="inlineStr">
        <is>
          <t>MALUNG-SÄLEN</t>
        </is>
      </c>
      <c r="H364" t="inlineStr">
        <is>
          <t>Bergvik skog öst AB</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9380-2023</t>
        </is>
      </c>
      <c r="B365" t="inlineStr">
        <is>
          <t>avverkningsanmälan</t>
        </is>
      </c>
      <c r="C365" t="inlineStr">
        <is>
          <t>Föryngringsavverkning</t>
        </is>
      </c>
      <c r="D365" s="1" t="n">
        <v>44981</v>
      </c>
      <c r="E365" s="1" t="n">
        <v>46223</v>
      </c>
      <c r="F365" t="inlineStr">
        <is>
          <t>DALARNAS LÄN</t>
        </is>
      </c>
      <c r="G365" t="inlineStr">
        <is>
          <t>MALUNG-SÄLEN</t>
        </is>
      </c>
      <c r="H365" t="inlineStr">
        <is>
          <t>Bergvik skog öst AB</t>
        </is>
      </c>
      <c r="I365" t="n">
        <v>5.1</v>
      </c>
      <c r="J365" t="n">
        <v>0</v>
      </c>
      <c r="K365" t="n">
        <v>0</v>
      </c>
      <c r="L365" t="n">
        <v>0</v>
      </c>
      <c r="M365" t="n">
        <v>0</v>
      </c>
      <c r="N365" t="n">
        <v>0</v>
      </c>
      <c r="O365" t="n">
        <v>0</v>
      </c>
      <c r="P365" t="n">
        <v>0</v>
      </c>
      <c r="Q365" t="n">
        <v>0</v>
      </c>
      <c r="R365" t="n">
        <v>0</v>
      </c>
      <c r="S365" t="n">
        <v>0</v>
      </c>
      <c r="T365" t="n">
        <v>0</v>
      </c>
      <c r="U365" s="2" t="inlineStr"/>
    </row>
    <row r="366" ht="15" customHeight="1">
      <c r="A366" t="inlineStr">
        <is>
          <t>A 48781-2025</t>
        </is>
      </c>
      <c r="B366" t="inlineStr">
        <is>
          <t>avverkningsanmälan</t>
        </is>
      </c>
      <c r="C366" t="inlineStr">
        <is>
          <t>Föryngringsavverkning</t>
        </is>
      </c>
      <c r="D366" s="1" t="n">
        <v>45937</v>
      </c>
      <c r="E366" s="1" t="n">
        <v>46223</v>
      </c>
      <c r="F366" t="inlineStr">
        <is>
          <t>DALARNAS LÄN</t>
        </is>
      </c>
      <c r="G366" t="inlineStr">
        <is>
          <t>MALUNG-SÄLEN</t>
        </is>
      </c>
      <c r="I366" t="n">
        <v>14.9</v>
      </c>
      <c r="J366" t="n">
        <v>0</v>
      </c>
      <c r="K366" t="n">
        <v>0</v>
      </c>
      <c r="L366" t="n">
        <v>0</v>
      </c>
      <c r="M366" t="n">
        <v>0</v>
      </c>
      <c r="N366" t="n">
        <v>0</v>
      </c>
      <c r="O366" t="n">
        <v>0</v>
      </c>
      <c r="P366" t="n">
        <v>0</v>
      </c>
      <c r="Q366" t="n">
        <v>0</v>
      </c>
      <c r="R366" t="n">
        <v>0</v>
      </c>
      <c r="S366" t="n">
        <v>0</v>
      </c>
      <c r="T366" t="n">
        <v>0</v>
      </c>
      <c r="U366" s="2" t="inlineStr"/>
    </row>
    <row r="367" ht="15" customHeight="1">
      <c r="A367" t="inlineStr">
        <is>
          <t>A 2209-2025</t>
        </is>
      </c>
      <c r="B367" t="inlineStr">
        <is>
          <t>avverkningsanmälan</t>
        </is>
      </c>
      <c r="C367" t="inlineStr">
        <is>
          <t>Föryngringsavverkning</t>
        </is>
      </c>
      <c r="D367" s="1" t="n">
        <v>45673</v>
      </c>
      <c r="E367" s="1" t="n">
        <v>46223</v>
      </c>
      <c r="F367" t="inlineStr">
        <is>
          <t>DALARNAS LÄN</t>
        </is>
      </c>
      <c r="G367" t="inlineStr">
        <is>
          <t>MALUNG-SÄLEN</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49787-2025</t>
        </is>
      </c>
      <c r="B368" t="inlineStr">
        <is>
          <t>avverkningsanmälan</t>
        </is>
      </c>
      <c r="C368" t="inlineStr">
        <is>
          <t>Föryngringsavverkning</t>
        </is>
      </c>
      <c r="D368" s="1" t="n">
        <v>45940</v>
      </c>
      <c r="E368" s="1" t="n">
        <v>46223</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49800-2025</t>
        </is>
      </c>
      <c r="B369" t="inlineStr">
        <is>
          <t>avverkningsanmälan</t>
        </is>
      </c>
      <c r="C369" t="inlineStr">
        <is>
          <t>Föryngringsavverkning</t>
        </is>
      </c>
      <c r="D369" s="1" t="n">
        <v>45940</v>
      </c>
      <c r="E369" s="1" t="n">
        <v>46223</v>
      </c>
      <c r="F369" t="inlineStr">
        <is>
          <t>DALARNAS LÄN</t>
        </is>
      </c>
      <c r="G369" t="inlineStr">
        <is>
          <t>MALUNG-SÄLEN</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49655-2025</t>
        </is>
      </c>
      <c r="B370" t="inlineStr">
        <is>
          <t>avverkningsanmälan</t>
        </is>
      </c>
      <c r="C370" t="inlineStr">
        <is>
          <t>Föryngringsavverkning</t>
        </is>
      </c>
      <c r="D370" s="1" t="n">
        <v>45939</v>
      </c>
      <c r="E370" s="1" t="n">
        <v>46223</v>
      </c>
      <c r="F370" t="inlineStr">
        <is>
          <t>DALARNAS LÄN</t>
        </is>
      </c>
      <c r="G370" t="inlineStr">
        <is>
          <t>MALUNG-SÄLEN</t>
        </is>
      </c>
      <c r="H370" t="inlineStr">
        <is>
          <t>Bergvik skog öst AB</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47281-2025</t>
        </is>
      </c>
      <c r="B371" t="inlineStr">
        <is>
          <t>avverkningsanmälan</t>
        </is>
      </c>
      <c r="C371" t="inlineStr">
        <is>
          <t>Föryngringsavverkning</t>
        </is>
      </c>
      <c r="D371" s="1" t="n">
        <v>45930</v>
      </c>
      <c r="E371" s="1" t="n">
        <v>46223</v>
      </c>
      <c r="F371" t="inlineStr">
        <is>
          <t>DALARNAS LÄN</t>
        </is>
      </c>
      <c r="G371" t="inlineStr">
        <is>
          <t>MALUNG-SÄLEN</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11875-2025</t>
        </is>
      </c>
      <c r="B372" t="inlineStr">
        <is>
          <t>avverkningsanmälan</t>
        </is>
      </c>
      <c r="C372" t="inlineStr">
        <is>
          <t>Föryngringsavverkning</t>
        </is>
      </c>
      <c r="D372" s="1" t="n">
        <v>45728</v>
      </c>
      <c r="E372" s="1" t="n">
        <v>46223</v>
      </c>
      <c r="F372" t="inlineStr">
        <is>
          <t>DALARNAS LÄN</t>
        </is>
      </c>
      <c r="G372" t="inlineStr">
        <is>
          <t>MALUNG-SÄLEN</t>
        </is>
      </c>
      <c r="I372" t="n">
        <v>4.6</v>
      </c>
      <c r="J372" t="n">
        <v>0</v>
      </c>
      <c r="K372" t="n">
        <v>0</v>
      </c>
      <c r="L372" t="n">
        <v>0</v>
      </c>
      <c r="M372" t="n">
        <v>0</v>
      </c>
      <c r="N372" t="n">
        <v>0</v>
      </c>
      <c r="O372" t="n">
        <v>0</v>
      </c>
      <c r="P372" t="n">
        <v>0</v>
      </c>
      <c r="Q372" t="n">
        <v>0</v>
      </c>
      <c r="R372" t="n">
        <v>0</v>
      </c>
      <c r="S372" t="n">
        <v>0</v>
      </c>
      <c r="T372" t="n">
        <v>0</v>
      </c>
      <c r="U372" s="2" t="inlineStr"/>
    </row>
    <row r="373" ht="15" customHeight="1">
      <c r="A373" t="inlineStr">
        <is>
          <t>A 58920-2024</t>
        </is>
      </c>
      <c r="B373" t="inlineStr">
        <is>
          <t>avverkningsanmälan</t>
        </is>
      </c>
      <c r="C373" t="inlineStr">
        <is>
          <t>Föryngringsavverkning</t>
        </is>
      </c>
      <c r="D373" s="1" t="n">
        <v>45636</v>
      </c>
      <c r="E373" s="1" t="n">
        <v>46223</v>
      </c>
      <c r="F373" t="inlineStr">
        <is>
          <t>DALARNAS LÄN</t>
        </is>
      </c>
      <c r="G373" t="inlineStr">
        <is>
          <t>MALUNG-SÄLEN</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19316-2025</t>
        </is>
      </c>
      <c r="B374" t="inlineStr">
        <is>
          <t>avverkningsanmälan</t>
        </is>
      </c>
      <c r="C374" t="inlineStr">
        <is>
          <t>Föryngringsavverkning</t>
        </is>
      </c>
      <c r="D374" s="1" t="n">
        <v>45769</v>
      </c>
      <c r="E374" s="1" t="n">
        <v>46223</v>
      </c>
      <c r="F374" t="inlineStr">
        <is>
          <t>DALARNAS LÄN</t>
        </is>
      </c>
      <c r="G374" t="inlineStr">
        <is>
          <t>MALUNG-SÄLEN</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138-2025</t>
        </is>
      </c>
      <c r="B375" t="inlineStr">
        <is>
          <t>avverkningsanmälan</t>
        </is>
      </c>
      <c r="C375" t="inlineStr">
        <is>
          <t>Föryngringsavverkning</t>
        </is>
      </c>
      <c r="D375" s="1" t="n">
        <v>45659</v>
      </c>
      <c r="E375" s="1" t="n">
        <v>46223</v>
      </c>
      <c r="F375" t="inlineStr">
        <is>
          <t>DALARNAS LÄN</t>
        </is>
      </c>
      <c r="G375" t="inlineStr">
        <is>
          <t>MALUNG-SÄLEN</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37634-2025</t>
        </is>
      </c>
      <c r="B376" t="inlineStr">
        <is>
          <t>avverkningsanmälan</t>
        </is>
      </c>
      <c r="C376" t="inlineStr">
        <is>
          <t>Föryngringsavverkning</t>
        </is>
      </c>
      <c r="D376" s="1" t="n">
        <v>45880</v>
      </c>
      <c r="E376" s="1" t="n">
        <v>46223</v>
      </c>
      <c r="F376" t="inlineStr">
        <is>
          <t>DALARNAS LÄN</t>
        </is>
      </c>
      <c r="G376" t="inlineStr">
        <is>
          <t>MALUNG-SÄLEN</t>
        </is>
      </c>
      <c r="I376" t="n">
        <v>10.3</v>
      </c>
      <c r="J376" t="n">
        <v>0</v>
      </c>
      <c r="K376" t="n">
        <v>0</v>
      </c>
      <c r="L376" t="n">
        <v>0</v>
      </c>
      <c r="M376" t="n">
        <v>0</v>
      </c>
      <c r="N376" t="n">
        <v>0</v>
      </c>
      <c r="O376" t="n">
        <v>0</v>
      </c>
      <c r="P376" t="n">
        <v>0</v>
      </c>
      <c r="Q376" t="n">
        <v>0</v>
      </c>
      <c r="R376" t="n">
        <v>0</v>
      </c>
      <c r="S376" t="n">
        <v>0</v>
      </c>
      <c r="T376" t="n">
        <v>0</v>
      </c>
      <c r="U376" s="2" t="inlineStr"/>
    </row>
    <row r="377" ht="15" customHeight="1">
      <c r="A377" t="inlineStr">
        <is>
          <t>A 37636-2025</t>
        </is>
      </c>
      <c r="B377" t="inlineStr">
        <is>
          <t>avverkningsanmälan</t>
        </is>
      </c>
      <c r="C377" t="inlineStr">
        <is>
          <t>Föryngringsavverkning</t>
        </is>
      </c>
      <c r="D377" s="1" t="n">
        <v>45880</v>
      </c>
      <c r="E377" s="1" t="n">
        <v>46223</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7353-2026</t>
        </is>
      </c>
      <c r="B378" t="inlineStr">
        <is>
          <t>avverkningsanmälan</t>
        </is>
      </c>
      <c r="C378" t="inlineStr">
        <is>
          <t>Föryngringsavverkning</t>
        </is>
      </c>
      <c r="D378" s="1" t="n">
        <v>46059</v>
      </c>
      <c r="E378" s="1" t="n">
        <v>46223</v>
      </c>
      <c r="F378" t="inlineStr">
        <is>
          <t>DALARNAS LÄN</t>
        </is>
      </c>
      <c r="G378" t="inlineStr">
        <is>
          <t>MALUNG-SÄLEN</t>
        </is>
      </c>
      <c r="I378" t="n">
        <v>7</v>
      </c>
      <c r="J378" t="n">
        <v>0</v>
      </c>
      <c r="K378" t="n">
        <v>0</v>
      </c>
      <c r="L378" t="n">
        <v>0</v>
      </c>
      <c r="M378" t="n">
        <v>0</v>
      </c>
      <c r="N378" t="n">
        <v>0</v>
      </c>
      <c r="O378" t="n">
        <v>0</v>
      </c>
      <c r="P378" t="n">
        <v>0</v>
      </c>
      <c r="Q378" t="n">
        <v>0</v>
      </c>
      <c r="R378" t="n">
        <v>0</v>
      </c>
      <c r="S378" t="n">
        <v>0</v>
      </c>
      <c r="T378" t="n">
        <v>0</v>
      </c>
      <c r="U378" s="2" t="inlineStr"/>
    </row>
    <row r="379" ht="15" customHeight="1">
      <c r="A379" t="inlineStr">
        <is>
          <t>A 37642-2025</t>
        </is>
      </c>
      <c r="B379" t="inlineStr">
        <is>
          <t>avverkningsanmälan</t>
        </is>
      </c>
      <c r="C379" t="inlineStr">
        <is>
          <t>Föryngringsavverkning</t>
        </is>
      </c>
      <c r="D379" s="1" t="n">
        <v>45880</v>
      </c>
      <c r="E379" s="1" t="n">
        <v>46223</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8735-2025</t>
        </is>
      </c>
      <c r="B380" t="inlineStr">
        <is>
          <t>avverkningsanmälan</t>
        </is>
      </c>
      <c r="C380" t="inlineStr">
        <is>
          <t>Föryngringsavverkning</t>
        </is>
      </c>
      <c r="D380" s="1" t="n">
        <v>45712</v>
      </c>
      <c r="E380" s="1" t="n">
        <v>46223</v>
      </c>
      <c r="F380" t="inlineStr">
        <is>
          <t>DALARNAS LÄN</t>
        </is>
      </c>
      <c r="G380" t="inlineStr">
        <is>
          <t>MALUNG-SÄLEN</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7424-2026</t>
        </is>
      </c>
      <c r="B381" t="inlineStr">
        <is>
          <t>avverkningsanmälan</t>
        </is>
      </c>
      <c r="C381" t="inlineStr">
        <is>
          <t>Föryngringsavverkning</t>
        </is>
      </c>
      <c r="D381" s="1" t="n">
        <v>46059</v>
      </c>
      <c r="E381" s="1" t="n">
        <v>46223</v>
      </c>
      <c r="F381" t="inlineStr">
        <is>
          <t>DALARNAS LÄN</t>
        </is>
      </c>
      <c r="G381" t="inlineStr">
        <is>
          <t>MALUNG-SÄLEN</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60046-2024</t>
        </is>
      </c>
      <c r="B382" t="inlineStr">
        <is>
          <t>avverkningsanmälan</t>
        </is>
      </c>
      <c r="C382" t="inlineStr">
        <is>
          <t>Föryngringsavverkning</t>
        </is>
      </c>
      <c r="D382" s="1" t="n">
        <v>45642</v>
      </c>
      <c r="E382" s="1" t="n">
        <v>46223</v>
      </c>
      <c r="F382" t="inlineStr">
        <is>
          <t>DALARNAS LÄN</t>
        </is>
      </c>
      <c r="G382" t="inlineStr">
        <is>
          <t>MALUNG-SÄLEN</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47553-2025</t>
        </is>
      </c>
      <c r="B383" t="inlineStr">
        <is>
          <t>avverkningsanmälan</t>
        </is>
      </c>
      <c r="C383" t="inlineStr">
        <is>
          <t>Föryngringsavverkning</t>
        </is>
      </c>
      <c r="D383" s="1" t="n">
        <v>45931</v>
      </c>
      <c r="E383" s="1" t="n">
        <v>46223</v>
      </c>
      <c r="F383" t="inlineStr">
        <is>
          <t>DALARNAS LÄN</t>
        </is>
      </c>
      <c r="G383" t="inlineStr">
        <is>
          <t>MALUNG-SÄLEN</t>
        </is>
      </c>
      <c r="H383" t="inlineStr">
        <is>
          <t>Bergvik skog väst AB</t>
        </is>
      </c>
      <c r="I383" t="n">
        <v>15.4</v>
      </c>
      <c r="J383" t="n">
        <v>0</v>
      </c>
      <c r="K383" t="n">
        <v>0</v>
      </c>
      <c r="L383" t="n">
        <v>0</v>
      </c>
      <c r="M383" t="n">
        <v>0</v>
      </c>
      <c r="N383" t="n">
        <v>0</v>
      </c>
      <c r="O383" t="n">
        <v>0</v>
      </c>
      <c r="P383" t="n">
        <v>0</v>
      </c>
      <c r="Q383" t="n">
        <v>0</v>
      </c>
      <c r="R383" t="n">
        <v>0</v>
      </c>
      <c r="S383" t="n">
        <v>0</v>
      </c>
      <c r="T383" t="n">
        <v>0</v>
      </c>
      <c r="U383" s="2" t="inlineStr"/>
    </row>
    <row r="384" ht="15" customHeight="1">
      <c r="A384" t="inlineStr">
        <is>
          <t>A 59357-2024</t>
        </is>
      </c>
      <c r="B384" t="inlineStr">
        <is>
          <t>avverkningsanmälan</t>
        </is>
      </c>
      <c r="C384" t="inlineStr">
        <is>
          <t>Föryngringsavverkning</t>
        </is>
      </c>
      <c r="D384" s="1" t="n">
        <v>45638</v>
      </c>
      <c r="E384" s="1" t="n">
        <v>46223</v>
      </c>
      <c r="F384" t="inlineStr">
        <is>
          <t>DALARNAS LÄN</t>
        </is>
      </c>
      <c r="G384" t="inlineStr">
        <is>
          <t>MALUNG-SÄLEN</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7423-2026</t>
        </is>
      </c>
      <c r="B385" t="inlineStr">
        <is>
          <t>avverkningsanmälan</t>
        </is>
      </c>
      <c r="C385" t="inlineStr">
        <is>
          <t>Föryngringsavverkning</t>
        </is>
      </c>
      <c r="D385" s="1" t="n">
        <v>46059</v>
      </c>
      <c r="E385" s="1" t="n">
        <v>46223</v>
      </c>
      <c r="F385" t="inlineStr">
        <is>
          <t>DALARNAS LÄN</t>
        </is>
      </c>
      <c r="G385" t="inlineStr">
        <is>
          <t>MALUNG-SÄLEN</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7422-2026</t>
        </is>
      </c>
      <c r="B386" t="inlineStr">
        <is>
          <t>avverkningsanmälan</t>
        </is>
      </c>
      <c r="C386" t="inlineStr">
        <is>
          <t>Föryngringsavverkning</t>
        </is>
      </c>
      <c r="D386" s="1" t="n">
        <v>46059</v>
      </c>
      <c r="E386" s="1" t="n">
        <v>46223</v>
      </c>
      <c r="F386" t="inlineStr">
        <is>
          <t>DALARNAS LÄN</t>
        </is>
      </c>
      <c r="G386" t="inlineStr">
        <is>
          <t>MALUNG-SÄLEN</t>
        </is>
      </c>
      <c r="I386" t="n">
        <v>11.4</v>
      </c>
      <c r="J386" t="n">
        <v>0</v>
      </c>
      <c r="K386" t="n">
        <v>0</v>
      </c>
      <c r="L386" t="n">
        <v>0</v>
      </c>
      <c r="M386" t="n">
        <v>0</v>
      </c>
      <c r="N386" t="n">
        <v>0</v>
      </c>
      <c r="O386" t="n">
        <v>0</v>
      </c>
      <c r="P386" t="n">
        <v>0</v>
      </c>
      <c r="Q386" t="n">
        <v>0</v>
      </c>
      <c r="R386" t="n">
        <v>0</v>
      </c>
      <c r="S386" t="n">
        <v>0</v>
      </c>
      <c r="T386" t="n">
        <v>0</v>
      </c>
      <c r="U386" s="2" t="inlineStr"/>
    </row>
    <row r="387" ht="15" customHeight="1">
      <c r="A387" t="inlineStr">
        <is>
          <t>A 17165-2023</t>
        </is>
      </c>
      <c r="B387" t="inlineStr">
        <is>
          <t>avverkningsanmälan</t>
        </is>
      </c>
      <c r="C387" t="inlineStr">
        <is>
          <t>Föryngringsavverkning</t>
        </is>
      </c>
      <c r="D387" s="1" t="n">
        <v>45034</v>
      </c>
      <c r="E387" s="1" t="n">
        <v>46223</v>
      </c>
      <c r="F387" t="inlineStr">
        <is>
          <t>DALARNAS LÄN</t>
        </is>
      </c>
      <c r="G387" t="inlineStr">
        <is>
          <t>MALUNG-SÄLEN</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17167-2023</t>
        </is>
      </c>
      <c r="B388" t="inlineStr">
        <is>
          <t>avverkningsanmälan</t>
        </is>
      </c>
      <c r="C388" t="inlineStr">
        <is>
          <t>Föryngringsavverkning</t>
        </is>
      </c>
      <c r="D388" s="1" t="n">
        <v>45034</v>
      </c>
      <c r="E388" s="1" t="n">
        <v>46223</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57423-2024</t>
        </is>
      </c>
      <c r="B389" t="inlineStr">
        <is>
          <t>avverkningsanmälan</t>
        </is>
      </c>
      <c r="C389" t="inlineStr">
        <is>
          <t>Föryngringsavverkning</t>
        </is>
      </c>
      <c r="D389" s="1" t="n">
        <v>45629</v>
      </c>
      <c r="E389" s="1" t="n">
        <v>46223</v>
      </c>
      <c r="F389" t="inlineStr">
        <is>
          <t>DALARNAS LÄN</t>
        </is>
      </c>
      <c r="G389" t="inlineStr">
        <is>
          <t>MALUNG-SÄLEN</t>
        </is>
      </c>
      <c r="I389" t="n">
        <v>5</v>
      </c>
      <c r="J389" t="n">
        <v>0</v>
      </c>
      <c r="K389" t="n">
        <v>0</v>
      </c>
      <c r="L389" t="n">
        <v>0</v>
      </c>
      <c r="M389" t="n">
        <v>0</v>
      </c>
      <c r="N389" t="n">
        <v>0</v>
      </c>
      <c r="O389" t="n">
        <v>0</v>
      </c>
      <c r="P389" t="n">
        <v>0</v>
      </c>
      <c r="Q389" t="n">
        <v>0</v>
      </c>
      <c r="R389" t="n">
        <v>0</v>
      </c>
      <c r="S389" t="n">
        <v>0</v>
      </c>
      <c r="T389" t="n">
        <v>0</v>
      </c>
      <c r="U389" s="2" t="inlineStr"/>
    </row>
    <row r="390" ht="15" customHeight="1">
      <c r="A390" t="inlineStr">
        <is>
          <t>A 50984-2025</t>
        </is>
      </c>
      <c r="B390" t="inlineStr">
        <is>
          <t>avverkningsanmälan</t>
        </is>
      </c>
      <c r="C390" t="inlineStr">
        <is>
          <t>Föryngringsavverkning</t>
        </is>
      </c>
      <c r="D390" s="1" t="n">
        <v>45947</v>
      </c>
      <c r="E390" s="1" t="n">
        <v>46223</v>
      </c>
      <c r="F390" t="inlineStr">
        <is>
          <t>DALARNAS LÄN</t>
        </is>
      </c>
      <c r="G390" t="inlineStr">
        <is>
          <t>MALUNG-SÄLEN</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51835-2025</t>
        </is>
      </c>
      <c r="B391" t="inlineStr">
        <is>
          <t>avverkningsanmälan</t>
        </is>
      </c>
      <c r="C391" t="inlineStr">
        <is>
          <t>Föryngringsavverkning</t>
        </is>
      </c>
      <c r="D391" s="1" t="n">
        <v>45952</v>
      </c>
      <c r="E391" s="1" t="n">
        <v>46223</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s="2" t="inlineStr"/>
    </row>
    <row r="392" ht="15" customHeight="1">
      <c r="A392" t="inlineStr">
        <is>
          <t>A 59643-2024</t>
        </is>
      </c>
      <c r="B392" t="inlineStr">
        <is>
          <t>avverkningsanmälan</t>
        </is>
      </c>
      <c r="C392" t="inlineStr">
        <is>
          <t>Föryngringsavverkning</t>
        </is>
      </c>
      <c r="D392" s="1" t="n">
        <v>45639</v>
      </c>
      <c r="E392" s="1" t="n">
        <v>46223</v>
      </c>
      <c r="F392" t="inlineStr">
        <is>
          <t>DALARNAS LÄN</t>
        </is>
      </c>
      <c r="G392" t="inlineStr">
        <is>
          <t>MALUNG-SÄLEN</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51600-2025</t>
        </is>
      </c>
      <c r="B393" t="inlineStr">
        <is>
          <t>avverkningsanmälan</t>
        </is>
      </c>
      <c r="C393" t="inlineStr">
        <is>
          <t>Föryngringsavverkning</t>
        </is>
      </c>
      <c r="D393" s="1" t="n">
        <v>45951</v>
      </c>
      <c r="E393" s="1" t="n">
        <v>46223</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11589-2025</t>
        </is>
      </c>
      <c r="B394" t="inlineStr">
        <is>
          <t>avverkningsanmälan</t>
        </is>
      </c>
      <c r="C394" t="inlineStr">
        <is>
          <t>Föryngringsavverkning</t>
        </is>
      </c>
      <c r="D394" s="1" t="n">
        <v>45727</v>
      </c>
      <c r="E394" s="1" t="n">
        <v>46223</v>
      </c>
      <c r="F394" t="inlineStr">
        <is>
          <t>DALARNAS LÄN</t>
        </is>
      </c>
      <c r="G394" t="inlineStr">
        <is>
          <t>MALUNG-SÄLEN</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18273-2025</t>
        </is>
      </c>
      <c r="B395" t="inlineStr">
        <is>
          <t>avverkningsanmälan</t>
        </is>
      </c>
      <c r="C395" t="inlineStr">
        <is>
          <t>Föryngringsavverkning</t>
        </is>
      </c>
      <c r="D395" s="1" t="n">
        <v>45762</v>
      </c>
      <c r="E395" s="1" t="n">
        <v>46223</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51845-2025</t>
        </is>
      </c>
      <c r="B396" t="inlineStr">
        <is>
          <t>avverkningsanmälan</t>
        </is>
      </c>
      <c r="C396" t="inlineStr">
        <is>
          <t>Föryngringsavverkning</t>
        </is>
      </c>
      <c r="D396" s="1" t="n">
        <v>45952</v>
      </c>
      <c r="E396" s="1" t="n">
        <v>46223</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8335-2026</t>
        </is>
      </c>
      <c r="B397" t="inlineStr">
        <is>
          <t>avverkningsanmälan</t>
        </is>
      </c>
      <c r="C397" t="inlineStr">
        <is>
          <t>Föryngringsavverkning</t>
        </is>
      </c>
      <c r="D397" s="1" t="n">
        <v>46064</v>
      </c>
      <c r="E397" s="1" t="n">
        <v>46223</v>
      </c>
      <c r="F397" t="inlineStr">
        <is>
          <t>DALARNAS LÄN</t>
        </is>
      </c>
      <c r="G397" t="inlineStr">
        <is>
          <t>MALUNG-SÄLEN</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8360-2026</t>
        </is>
      </c>
      <c r="B398" t="inlineStr">
        <is>
          <t>avverkningsanmälan</t>
        </is>
      </c>
      <c r="C398" t="inlineStr">
        <is>
          <t>Föryngringsavverkning</t>
        </is>
      </c>
      <c r="D398" s="1" t="n">
        <v>46064</v>
      </c>
      <c r="E398" s="1" t="n">
        <v>46223</v>
      </c>
      <c r="F398" t="inlineStr">
        <is>
          <t>DALARNAS LÄN</t>
        </is>
      </c>
      <c r="G398" t="inlineStr">
        <is>
          <t>MALUNG-SÄLEN</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52969-2025</t>
        </is>
      </c>
      <c r="B399" t="inlineStr">
        <is>
          <t>avverkningsanmälan</t>
        </is>
      </c>
      <c r="C399" t="inlineStr">
        <is>
          <t>Föryngringsavverkning</t>
        </is>
      </c>
      <c r="D399" s="1" t="n">
        <v>45957</v>
      </c>
      <c r="E399" s="1" t="n">
        <v>46223</v>
      </c>
      <c r="F399" t="inlineStr">
        <is>
          <t>DALARNAS LÄN</t>
        </is>
      </c>
      <c r="G399" t="inlineStr">
        <is>
          <t>MALUNG-SÄLEN</t>
        </is>
      </c>
      <c r="H399" t="inlineStr">
        <is>
          <t>Bergvik skog väst AB</t>
        </is>
      </c>
      <c r="I399" t="n">
        <v>8.6</v>
      </c>
      <c r="J399" t="n">
        <v>0</v>
      </c>
      <c r="K399" t="n">
        <v>0</v>
      </c>
      <c r="L399" t="n">
        <v>0</v>
      </c>
      <c r="M399" t="n">
        <v>0</v>
      </c>
      <c r="N399" t="n">
        <v>0</v>
      </c>
      <c r="O399" t="n">
        <v>0</v>
      </c>
      <c r="P399" t="n">
        <v>0</v>
      </c>
      <c r="Q399" t="n">
        <v>0</v>
      </c>
      <c r="R399" t="n">
        <v>0</v>
      </c>
      <c r="S399" t="n">
        <v>0</v>
      </c>
      <c r="T399" t="n">
        <v>0</v>
      </c>
      <c r="U399" s="2" t="inlineStr"/>
    </row>
    <row r="400" ht="15" customHeight="1">
      <c r="A400" t="inlineStr">
        <is>
          <t>A 52983-2025</t>
        </is>
      </c>
      <c r="B400" t="inlineStr">
        <is>
          <t>avverkningsanmälan</t>
        </is>
      </c>
      <c r="C400" t="inlineStr">
        <is>
          <t>Föryngringsavverkning</t>
        </is>
      </c>
      <c r="D400" s="1" t="n">
        <v>45957</v>
      </c>
      <c r="E400" s="1" t="n">
        <v>46223</v>
      </c>
      <c r="F400" t="inlineStr">
        <is>
          <t>DALARNAS LÄN</t>
        </is>
      </c>
      <c r="G400" t="inlineStr">
        <is>
          <t>MALUNG-SÄLEN</t>
        </is>
      </c>
      <c r="H400" t="inlineStr">
        <is>
          <t>Bergvik skog väst AB</t>
        </is>
      </c>
      <c r="I400" t="n">
        <v>8.5</v>
      </c>
      <c r="J400" t="n">
        <v>0</v>
      </c>
      <c r="K400" t="n">
        <v>0</v>
      </c>
      <c r="L400" t="n">
        <v>0</v>
      </c>
      <c r="M400" t="n">
        <v>0</v>
      </c>
      <c r="N400" t="n">
        <v>0</v>
      </c>
      <c r="O400" t="n">
        <v>0</v>
      </c>
      <c r="P400" t="n">
        <v>0</v>
      </c>
      <c r="Q400" t="n">
        <v>0</v>
      </c>
      <c r="R400" t="n">
        <v>0</v>
      </c>
      <c r="S400" t="n">
        <v>0</v>
      </c>
      <c r="T400" t="n">
        <v>0</v>
      </c>
      <c r="U400" s="2" t="inlineStr"/>
    </row>
    <row r="401" ht="15" customHeight="1">
      <c r="A401" t="inlineStr">
        <is>
          <t>A 52792-2025</t>
        </is>
      </c>
      <c r="B401" t="inlineStr">
        <is>
          <t>avverkningsanmälan</t>
        </is>
      </c>
      <c r="C401" t="inlineStr">
        <is>
          <t>Föryngringsavverkning</t>
        </is>
      </c>
      <c r="D401" s="1" t="n">
        <v>45957</v>
      </c>
      <c r="E401" s="1" t="n">
        <v>46223</v>
      </c>
      <c r="F401" t="inlineStr">
        <is>
          <t>DALARNAS LÄN</t>
        </is>
      </c>
      <c r="G401" t="inlineStr">
        <is>
          <t>MALUNG-SÄLEN</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52794-2025</t>
        </is>
      </c>
      <c r="B402" t="inlineStr">
        <is>
          <t>avverkningsanmälan</t>
        </is>
      </c>
      <c r="C402" t="inlineStr">
        <is>
          <t>Föryngringsavverkning</t>
        </is>
      </c>
      <c r="D402" s="1" t="n">
        <v>45957</v>
      </c>
      <c r="E402" s="1" t="n">
        <v>46223</v>
      </c>
      <c r="F402" t="inlineStr">
        <is>
          <t>DALARNAS LÄN</t>
        </is>
      </c>
      <c r="G402" t="inlineStr">
        <is>
          <t>MALUNG-SÄLEN</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52907-2025</t>
        </is>
      </c>
      <c r="B403" t="inlineStr">
        <is>
          <t>avverkningsanmälan</t>
        </is>
      </c>
      <c r="C403" t="inlineStr">
        <is>
          <t>Avverkning för annat ändamål</t>
        </is>
      </c>
      <c r="D403" s="1" t="n">
        <v>45957</v>
      </c>
      <c r="E403" s="1" t="n">
        <v>46223</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51533-2021</t>
        </is>
      </c>
      <c r="B404" t="inlineStr">
        <is>
          <t>avverkningsanmälan</t>
        </is>
      </c>
      <c r="C404" t="inlineStr">
        <is>
          <t>Föryngringsavverkning</t>
        </is>
      </c>
      <c r="D404" s="1" t="n">
        <v>44462</v>
      </c>
      <c r="E404" s="1" t="n">
        <v>46223</v>
      </c>
      <c r="F404" t="inlineStr">
        <is>
          <t>DALARNAS LÄN</t>
        </is>
      </c>
      <c r="G404" t="inlineStr">
        <is>
          <t>MALUNG-SÄLEN</t>
        </is>
      </c>
      <c r="I404" t="n">
        <v>6.6</v>
      </c>
      <c r="J404" t="n">
        <v>0</v>
      </c>
      <c r="K404" t="n">
        <v>0</v>
      </c>
      <c r="L404" t="n">
        <v>0</v>
      </c>
      <c r="M404" t="n">
        <v>0</v>
      </c>
      <c r="N404" t="n">
        <v>0</v>
      </c>
      <c r="O404" t="n">
        <v>0</v>
      </c>
      <c r="P404" t="n">
        <v>0</v>
      </c>
      <c r="Q404" t="n">
        <v>0</v>
      </c>
      <c r="R404" t="n">
        <v>0</v>
      </c>
      <c r="S404" t="n">
        <v>0</v>
      </c>
      <c r="T404" t="n">
        <v>0</v>
      </c>
      <c r="U404" s="2" t="inlineStr"/>
    </row>
    <row r="405" ht="15" customHeight="1">
      <c r="A405" t="inlineStr">
        <is>
          <t>A 52756-2025</t>
        </is>
      </c>
      <c r="B405" t="inlineStr">
        <is>
          <t>avverkningsanmälan</t>
        </is>
      </c>
      <c r="C405" t="inlineStr">
        <is>
          <t>Föryngringsavverkning</t>
        </is>
      </c>
      <c r="D405" s="1" t="n">
        <v>45957</v>
      </c>
      <c r="E405" s="1" t="n">
        <v>46223</v>
      </c>
      <c r="F405" t="inlineStr">
        <is>
          <t>DALARNAS LÄN</t>
        </is>
      </c>
      <c r="G405" t="inlineStr">
        <is>
          <t>MALUNG-SÄLEN</t>
        </is>
      </c>
      <c r="I405" t="n">
        <v>7.7</v>
      </c>
      <c r="J405" t="n">
        <v>0</v>
      </c>
      <c r="K405" t="n">
        <v>0</v>
      </c>
      <c r="L405" t="n">
        <v>0</v>
      </c>
      <c r="M405" t="n">
        <v>0</v>
      </c>
      <c r="N405" t="n">
        <v>0</v>
      </c>
      <c r="O405" t="n">
        <v>0</v>
      </c>
      <c r="P405" t="n">
        <v>0</v>
      </c>
      <c r="Q405" t="n">
        <v>0</v>
      </c>
      <c r="R405" t="n">
        <v>0</v>
      </c>
      <c r="S405" t="n">
        <v>0</v>
      </c>
      <c r="T405" t="n">
        <v>0</v>
      </c>
      <c r="U405" s="2" t="inlineStr"/>
    </row>
    <row r="406" ht="15" customHeight="1">
      <c r="A406" t="inlineStr">
        <is>
          <t>A 8795-2026</t>
        </is>
      </c>
      <c r="B406" t="inlineStr">
        <is>
          <t>avverkningsanmälan</t>
        </is>
      </c>
      <c r="C406" t="inlineStr">
        <is>
          <t>Föryngringsavverkning</t>
        </is>
      </c>
      <c r="D406" s="1" t="n">
        <v>46066</v>
      </c>
      <c r="E406" s="1" t="n">
        <v>46223</v>
      </c>
      <c r="F406" t="inlineStr">
        <is>
          <t>DALARNAS LÄN</t>
        </is>
      </c>
      <c r="G406" t="inlineStr">
        <is>
          <t>MALUNG-SÄLEN</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52967-2025</t>
        </is>
      </c>
      <c r="B407" t="inlineStr">
        <is>
          <t>avverkningsanmälan</t>
        </is>
      </c>
      <c r="C407" t="inlineStr">
        <is>
          <t>Föryngringsavverkning</t>
        </is>
      </c>
      <c r="D407" s="1" t="n">
        <v>45957</v>
      </c>
      <c r="E407" s="1" t="n">
        <v>46223</v>
      </c>
      <c r="F407" t="inlineStr">
        <is>
          <t>DALARNAS LÄN</t>
        </is>
      </c>
      <c r="G407" t="inlineStr">
        <is>
          <t>MALUNG-SÄLEN</t>
        </is>
      </c>
      <c r="H407" t="inlineStr">
        <is>
          <t>Bergvik skog väst AB</t>
        </is>
      </c>
      <c r="I407" t="n">
        <v>5.5</v>
      </c>
      <c r="J407" t="n">
        <v>0</v>
      </c>
      <c r="K407" t="n">
        <v>0</v>
      </c>
      <c r="L407" t="n">
        <v>0</v>
      </c>
      <c r="M407" t="n">
        <v>0</v>
      </c>
      <c r="N407" t="n">
        <v>0</v>
      </c>
      <c r="O407" t="n">
        <v>0</v>
      </c>
      <c r="P407" t="n">
        <v>0</v>
      </c>
      <c r="Q407" t="n">
        <v>0</v>
      </c>
      <c r="R407" t="n">
        <v>0</v>
      </c>
      <c r="S407" t="n">
        <v>0</v>
      </c>
      <c r="T407" t="n">
        <v>0</v>
      </c>
      <c r="U407" s="2" t="inlineStr"/>
    </row>
    <row r="408" ht="15" customHeight="1">
      <c r="A408" t="inlineStr">
        <is>
          <t>A 52977-2025</t>
        </is>
      </c>
      <c r="B408" t="inlineStr">
        <is>
          <t>avverkningsanmälan</t>
        </is>
      </c>
      <c r="C408" t="inlineStr">
        <is>
          <t>Föryngringsavverkning</t>
        </is>
      </c>
      <c r="D408" s="1" t="n">
        <v>45957</v>
      </c>
      <c r="E408" s="1" t="n">
        <v>46223</v>
      </c>
      <c r="F408" t="inlineStr">
        <is>
          <t>DALARNAS LÄN</t>
        </is>
      </c>
      <c r="G408" t="inlineStr">
        <is>
          <t>MALUNG-SÄLEN</t>
        </is>
      </c>
      <c r="H408" t="inlineStr">
        <is>
          <t>Bergvik skog väst AB</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63277-2021</t>
        </is>
      </c>
      <c r="B409" t="inlineStr">
        <is>
          <t>avverkningsanmälan</t>
        </is>
      </c>
      <c r="C409" t="inlineStr">
        <is>
          <t>Föryngringsavverkning</t>
        </is>
      </c>
      <c r="D409" s="1" t="n">
        <v>44508</v>
      </c>
      <c r="E409" s="1" t="n">
        <v>46223</v>
      </c>
      <c r="F409" t="inlineStr">
        <is>
          <t>DALARNAS LÄN</t>
        </is>
      </c>
      <c r="G409" t="inlineStr">
        <is>
          <t>MALUNG-SÄLEN</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52976-2025</t>
        </is>
      </c>
      <c r="B410" t="inlineStr">
        <is>
          <t>avverkningsanmälan</t>
        </is>
      </c>
      <c r="C410" t="inlineStr">
        <is>
          <t>Föryngringsavverkning</t>
        </is>
      </c>
      <c r="D410" s="1" t="n">
        <v>45957</v>
      </c>
      <c r="E410" s="1" t="n">
        <v>46223</v>
      </c>
      <c r="F410" t="inlineStr">
        <is>
          <t>DALARNAS LÄN</t>
        </is>
      </c>
      <c r="G410" t="inlineStr">
        <is>
          <t>MALUNG-SÄLEN</t>
        </is>
      </c>
      <c r="H410" t="inlineStr">
        <is>
          <t>Bergvik skog väst AB</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15340-2025</t>
        </is>
      </c>
      <c r="B411" t="inlineStr">
        <is>
          <t>avverkningsanmälan</t>
        </is>
      </c>
      <c r="C411" t="inlineStr">
        <is>
          <t>Föryngringsavverkning</t>
        </is>
      </c>
      <c r="D411" s="1" t="n">
        <v>45747</v>
      </c>
      <c r="E411" s="1" t="n">
        <v>46223</v>
      </c>
      <c r="F411" t="inlineStr">
        <is>
          <t>DALARNAS LÄN</t>
        </is>
      </c>
      <c r="G411" t="inlineStr">
        <is>
          <t>MALUNG-SÄLEN</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53603-2025</t>
        </is>
      </c>
      <c r="B412" t="inlineStr">
        <is>
          <t>avverkningsanmälan</t>
        </is>
      </c>
      <c r="C412" t="inlineStr">
        <is>
          <t>Föryngringsavverkning</t>
        </is>
      </c>
      <c r="D412" s="1" t="n">
        <v>45960</v>
      </c>
      <c r="E412" s="1" t="n">
        <v>46223</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56388-2023</t>
        </is>
      </c>
      <c r="B413" t="inlineStr">
        <is>
          <t>avverkningsanmälan</t>
        </is>
      </c>
      <c r="C413" t="inlineStr">
        <is>
          <t>Föryngringsavverkning</t>
        </is>
      </c>
      <c r="D413" s="1" t="n">
        <v>45243</v>
      </c>
      <c r="E413" s="1" t="n">
        <v>46223</v>
      </c>
      <c r="F413" t="inlineStr">
        <is>
          <t>DALARNAS LÄN</t>
        </is>
      </c>
      <c r="G413" t="inlineStr">
        <is>
          <t>MALUNG-SÄLEN</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9152-2026</t>
        </is>
      </c>
      <c r="B414" t="inlineStr">
        <is>
          <t>avverkningsanmälan</t>
        </is>
      </c>
      <c r="C414" t="inlineStr">
        <is>
          <t>Föryngringsavverkning</t>
        </is>
      </c>
      <c r="D414" s="1" t="n">
        <v>46070</v>
      </c>
      <c r="E414" s="1" t="n">
        <v>46223</v>
      </c>
      <c r="F414" t="inlineStr">
        <is>
          <t>DALARNAS LÄN</t>
        </is>
      </c>
      <c r="G414" t="inlineStr">
        <is>
          <t>MALUNG-SÄLEN</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53612-2025</t>
        </is>
      </c>
      <c r="B415" t="inlineStr">
        <is>
          <t>avverkningsanmälan</t>
        </is>
      </c>
      <c r="C415" t="inlineStr">
        <is>
          <t>Föryngringsavverkning</t>
        </is>
      </c>
      <c r="D415" s="1" t="n">
        <v>45960</v>
      </c>
      <c r="E415" s="1" t="n">
        <v>46223</v>
      </c>
      <c r="F415" t="inlineStr">
        <is>
          <t>DALARNAS LÄN</t>
        </is>
      </c>
      <c r="G415" t="inlineStr">
        <is>
          <t>MALUNG-SÄLEN</t>
        </is>
      </c>
      <c r="H415" t="inlineStr">
        <is>
          <t>Bergvik skog väst AB</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53344-2025</t>
        </is>
      </c>
      <c r="B416" t="inlineStr">
        <is>
          <t>avverkningsanmälan</t>
        </is>
      </c>
      <c r="C416" t="inlineStr">
        <is>
          <t>Föryngringsavverkning</t>
        </is>
      </c>
      <c r="D416" s="1" t="n">
        <v>45959</v>
      </c>
      <c r="E416" s="1" t="n">
        <v>46223</v>
      </c>
      <c r="F416" t="inlineStr">
        <is>
          <t>DALARNAS LÄN</t>
        </is>
      </c>
      <c r="G416" t="inlineStr">
        <is>
          <t>MALUNG-SÄLEN</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53616-2025</t>
        </is>
      </c>
      <c r="B417" t="inlineStr">
        <is>
          <t>avverkningsanmälan</t>
        </is>
      </c>
      <c r="C417" t="inlineStr">
        <is>
          <t>Föryngringsavverkning</t>
        </is>
      </c>
      <c r="D417" s="1" t="n">
        <v>45960</v>
      </c>
      <c r="E417" s="1" t="n">
        <v>46223</v>
      </c>
      <c r="F417" t="inlineStr">
        <is>
          <t>DALARNAS LÄN</t>
        </is>
      </c>
      <c r="G417" t="inlineStr">
        <is>
          <t>MALUNG-SÄLEN</t>
        </is>
      </c>
      <c r="H417" t="inlineStr">
        <is>
          <t>Bergvik skog väst AB</t>
        </is>
      </c>
      <c r="I417" t="n">
        <v>6.5</v>
      </c>
      <c r="J417" t="n">
        <v>0</v>
      </c>
      <c r="K417" t="n">
        <v>0</v>
      </c>
      <c r="L417" t="n">
        <v>0</v>
      </c>
      <c r="M417" t="n">
        <v>0</v>
      </c>
      <c r="N417" t="n">
        <v>0</v>
      </c>
      <c r="O417" t="n">
        <v>0</v>
      </c>
      <c r="P417" t="n">
        <v>0</v>
      </c>
      <c r="Q417" t="n">
        <v>0</v>
      </c>
      <c r="R417" t="n">
        <v>0</v>
      </c>
      <c r="S417" t="n">
        <v>0</v>
      </c>
      <c r="T417" t="n">
        <v>0</v>
      </c>
      <c r="U417" s="2" t="inlineStr"/>
    </row>
    <row r="418" ht="15" customHeight="1">
      <c r="A418" t="inlineStr">
        <is>
          <t>A 25441-2023</t>
        </is>
      </c>
      <c r="B418" t="inlineStr">
        <is>
          <t>avverkningsanmälan</t>
        </is>
      </c>
      <c r="C418" t="inlineStr">
        <is>
          <t>Föryngringsavverkning</t>
        </is>
      </c>
      <c r="D418" s="1" t="n">
        <v>45089</v>
      </c>
      <c r="E418" s="1" t="n">
        <v>46223</v>
      </c>
      <c r="F418" t="inlineStr">
        <is>
          <t>DALARNAS LÄN</t>
        </is>
      </c>
      <c r="G418" t="inlineStr">
        <is>
          <t>MALUNG-SÄLEN</t>
        </is>
      </c>
      <c r="H418" t="inlineStr">
        <is>
          <t>Bergvik skog öst AB</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54220-2025</t>
        </is>
      </c>
      <c r="B419" t="inlineStr">
        <is>
          <t>avverkningsanmälan</t>
        </is>
      </c>
      <c r="C419" t="inlineStr">
        <is>
          <t>Föryngringsavverkning</t>
        </is>
      </c>
      <c r="D419" s="1" t="n">
        <v>45964</v>
      </c>
      <c r="E419" s="1" t="n">
        <v>46223</v>
      </c>
      <c r="F419" t="inlineStr">
        <is>
          <t>DALARNAS LÄN</t>
        </is>
      </c>
      <c r="G419" t="inlineStr">
        <is>
          <t>MALUNG-SÄLEN</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54113-2025</t>
        </is>
      </c>
      <c r="B420" t="inlineStr">
        <is>
          <t>avverkningsanmälan</t>
        </is>
      </c>
      <c r="C420" t="inlineStr">
        <is>
          <t>Föryngringsavverkning</t>
        </is>
      </c>
      <c r="D420" s="1" t="n">
        <v>45964</v>
      </c>
      <c r="E420" s="1" t="n">
        <v>46223</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54152-2025</t>
        </is>
      </c>
      <c r="B421" t="inlineStr">
        <is>
          <t>avverkningsanmälan</t>
        </is>
      </c>
      <c r="C421" t="inlineStr">
        <is>
          <t>Föryngringsavverkning</t>
        </is>
      </c>
      <c r="D421" s="1" t="n">
        <v>45964</v>
      </c>
      <c r="E421" s="1" t="n">
        <v>46223</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51975-2023</t>
        </is>
      </c>
      <c r="B422" t="inlineStr">
        <is>
          <t>avverkningsanmälan</t>
        </is>
      </c>
      <c r="C422" t="inlineStr">
        <is>
          <t>Föryngringsavverkning</t>
        </is>
      </c>
      <c r="D422" s="1" t="n">
        <v>45219</v>
      </c>
      <c r="E422" s="1" t="n">
        <v>46223</v>
      </c>
      <c r="F422" t="inlineStr">
        <is>
          <t>DALARNAS LÄN</t>
        </is>
      </c>
      <c r="G422" t="inlineStr">
        <is>
          <t>MALUNG-SÄLEN</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54134-2025</t>
        </is>
      </c>
      <c r="B423" t="inlineStr">
        <is>
          <t>avverkningsanmälan</t>
        </is>
      </c>
      <c r="C423" t="inlineStr">
        <is>
          <t>Föryngringsavverkning</t>
        </is>
      </c>
      <c r="D423" s="1" t="n">
        <v>45964</v>
      </c>
      <c r="E423" s="1" t="n">
        <v>46223</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10367-2025</t>
        </is>
      </c>
      <c r="B424" t="inlineStr">
        <is>
          <t>avverkningsanmälan</t>
        </is>
      </c>
      <c r="C424" t="inlineStr">
        <is>
          <t>Föryngringsavverkning</t>
        </is>
      </c>
      <c r="D424" s="1" t="n">
        <v>45720</v>
      </c>
      <c r="E424" s="1" t="n">
        <v>46223</v>
      </c>
      <c r="F424" t="inlineStr">
        <is>
          <t>DALARNAS LÄN</t>
        </is>
      </c>
      <c r="G424" t="inlineStr">
        <is>
          <t>MALUNG-SÄLEN</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8707-2023</t>
        </is>
      </c>
      <c r="B425" t="inlineStr">
        <is>
          <t>avverkningsanmälan</t>
        </is>
      </c>
      <c r="C425" t="inlineStr">
        <is>
          <t>Föryngringsavverkning</t>
        </is>
      </c>
      <c r="D425" s="1" t="n">
        <v>44978</v>
      </c>
      <c r="E425" s="1" t="n">
        <v>46223</v>
      </c>
      <c r="F425" t="inlineStr">
        <is>
          <t>DALARNAS LÄN</t>
        </is>
      </c>
      <c r="G425" t="inlineStr">
        <is>
          <t>MALUNG-SÄLEN</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55202-2023</t>
        </is>
      </c>
      <c r="B426" t="inlineStr">
        <is>
          <t>avverkningsanmälan</t>
        </is>
      </c>
      <c r="C426" t="inlineStr">
        <is>
          <t>Föryngringsavverkning</t>
        </is>
      </c>
      <c r="D426" s="1" t="n">
        <v>45237</v>
      </c>
      <c r="E426" s="1" t="n">
        <v>46223</v>
      </c>
      <c r="F426" t="inlineStr">
        <is>
          <t>DALARNAS LÄN</t>
        </is>
      </c>
      <c r="G426" t="inlineStr">
        <is>
          <t>MALUNG-SÄLEN</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19937-2022</t>
        </is>
      </c>
      <c r="B427" t="inlineStr">
        <is>
          <t>avverkningsanmälan</t>
        </is>
      </c>
      <c r="C427" t="inlineStr">
        <is>
          <t>Föryngringsavverkning</t>
        </is>
      </c>
      <c r="D427" s="1" t="n">
        <v>44697</v>
      </c>
      <c r="E427" s="1" t="n">
        <v>46223</v>
      </c>
      <c r="F427" t="inlineStr">
        <is>
          <t>DALARNAS LÄN</t>
        </is>
      </c>
      <c r="G427" t="inlineStr">
        <is>
          <t>MALUNG-SÄLEN</t>
        </is>
      </c>
      <c r="I427" t="n">
        <v>12.7</v>
      </c>
      <c r="J427" t="n">
        <v>0</v>
      </c>
      <c r="K427" t="n">
        <v>0</v>
      </c>
      <c r="L427" t="n">
        <v>0</v>
      </c>
      <c r="M427" t="n">
        <v>0</v>
      </c>
      <c r="N427" t="n">
        <v>0</v>
      </c>
      <c r="O427" t="n">
        <v>0</v>
      </c>
      <c r="P427" t="n">
        <v>0</v>
      </c>
      <c r="Q427" t="n">
        <v>0</v>
      </c>
      <c r="R427" t="n">
        <v>0</v>
      </c>
      <c r="S427" t="n">
        <v>0</v>
      </c>
      <c r="T427" t="n">
        <v>0</v>
      </c>
      <c r="U427" s="2" t="inlineStr"/>
    </row>
    <row r="428" ht="15" customHeight="1">
      <c r="A428" t="inlineStr">
        <is>
          <t>A 18660-2025</t>
        </is>
      </c>
      <c r="B428" t="inlineStr">
        <is>
          <t>avverkningsanmälan</t>
        </is>
      </c>
      <c r="C428" t="inlineStr">
        <is>
          <t>Föryngringsavverkning</t>
        </is>
      </c>
      <c r="D428" s="1" t="n">
        <v>45763</v>
      </c>
      <c r="E428" s="1" t="n">
        <v>46223</v>
      </c>
      <c r="F428" t="inlineStr">
        <is>
          <t>DALARNAS LÄN</t>
        </is>
      </c>
      <c r="G428" t="inlineStr">
        <is>
          <t>MALUNG-SÄLEN</t>
        </is>
      </c>
      <c r="H428" t="inlineStr">
        <is>
          <t>Bergvik skog öst AB</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54605-2025</t>
        </is>
      </c>
      <c r="B429" t="inlineStr">
        <is>
          <t>avverkningsanmälan</t>
        </is>
      </c>
      <c r="C429" t="inlineStr">
        <is>
          <t>Föryngringsavverkning</t>
        </is>
      </c>
      <c r="D429" s="1" t="n">
        <v>45965</v>
      </c>
      <c r="E429" s="1" t="n">
        <v>46223</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54603-2025</t>
        </is>
      </c>
      <c r="B430" t="inlineStr">
        <is>
          <t>avverkningsanmälan</t>
        </is>
      </c>
      <c r="C430" t="inlineStr">
        <is>
          <t>Föryngringsavverkning</t>
        </is>
      </c>
      <c r="D430" s="1" t="n">
        <v>45965</v>
      </c>
      <c r="E430" s="1" t="n">
        <v>46223</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9931-2026</t>
        </is>
      </c>
      <c r="B431" t="inlineStr">
        <is>
          <t>avverkningsanmälan</t>
        </is>
      </c>
      <c r="C431" t="inlineStr">
        <is>
          <t>Föryngringsavverkning</t>
        </is>
      </c>
      <c r="D431" s="1" t="n">
        <v>46073</v>
      </c>
      <c r="E431" s="1" t="n">
        <v>46223</v>
      </c>
      <c r="F431" t="inlineStr">
        <is>
          <t>DALARNAS LÄN</t>
        </is>
      </c>
      <c r="G431" t="inlineStr">
        <is>
          <t>MALUNG-SÄLEN</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39982-2023</t>
        </is>
      </c>
      <c r="B432" t="inlineStr">
        <is>
          <t>avverkningsanmälan</t>
        </is>
      </c>
      <c r="C432" t="inlineStr">
        <is>
          <t>Föryngringsavverkning</t>
        </is>
      </c>
      <c r="D432" s="1" t="n">
        <v>45168</v>
      </c>
      <c r="E432" s="1" t="n">
        <v>46223</v>
      </c>
      <c r="F432" t="inlineStr">
        <is>
          <t>DALARNAS LÄN</t>
        </is>
      </c>
      <c r="G432" t="inlineStr">
        <is>
          <t>MALUNG-SÄLEN</t>
        </is>
      </c>
      <c r="I432" t="n">
        <v>0.2</v>
      </c>
      <c r="J432" t="n">
        <v>0</v>
      </c>
      <c r="K432" t="n">
        <v>0</v>
      </c>
      <c r="L432" t="n">
        <v>0</v>
      </c>
      <c r="M432" t="n">
        <v>0</v>
      </c>
      <c r="N432" t="n">
        <v>0</v>
      </c>
      <c r="O432" t="n">
        <v>0</v>
      </c>
      <c r="P432" t="n">
        <v>0</v>
      </c>
      <c r="Q432" t="n">
        <v>0</v>
      </c>
      <c r="R432" t="n">
        <v>0</v>
      </c>
      <c r="S432" t="n">
        <v>0</v>
      </c>
      <c r="T432" t="n">
        <v>0</v>
      </c>
      <c r="U432" s="2" t="inlineStr"/>
    </row>
    <row r="433" ht="15" customHeight="1">
      <c r="A433" t="inlineStr">
        <is>
          <t>A 54379-2025</t>
        </is>
      </c>
      <c r="B433" t="inlineStr">
        <is>
          <t>avverkningsanmälan</t>
        </is>
      </c>
      <c r="C433" t="inlineStr">
        <is>
          <t>Avverkning för annat ändamål</t>
        </is>
      </c>
      <c r="D433" s="1" t="n">
        <v>45965</v>
      </c>
      <c r="E433" s="1" t="n">
        <v>46223</v>
      </c>
      <c r="F433" t="inlineStr">
        <is>
          <t>DALARNAS LÄN</t>
        </is>
      </c>
      <c r="G433" t="inlineStr">
        <is>
          <t>MALUNG-SÄLEN</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54532-2025</t>
        </is>
      </c>
      <c r="B434" t="inlineStr">
        <is>
          <t>avverkningsanmälan</t>
        </is>
      </c>
      <c r="C434" t="inlineStr">
        <is>
          <t>Föryngringsavverkning</t>
        </is>
      </c>
      <c r="D434" s="1" t="n">
        <v>45965</v>
      </c>
      <c r="E434" s="1" t="n">
        <v>46223</v>
      </c>
      <c r="F434" t="inlineStr">
        <is>
          <t>DALARNAS LÄN</t>
        </is>
      </c>
      <c r="G434" t="inlineStr">
        <is>
          <t>MALUNG-SÄLEN</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9879-2026</t>
        </is>
      </c>
      <c r="B435" t="inlineStr">
        <is>
          <t>avverkningsanmälan</t>
        </is>
      </c>
      <c r="C435" t="inlineStr">
        <is>
          <t>Föryngringsavverkning</t>
        </is>
      </c>
      <c r="D435" s="1" t="n">
        <v>46073</v>
      </c>
      <c r="E435" s="1" t="n">
        <v>46223</v>
      </c>
      <c r="F435" t="inlineStr">
        <is>
          <t>DALARNAS LÄN</t>
        </is>
      </c>
      <c r="G435" t="inlineStr">
        <is>
          <t>MALUNG-SÄLEN</t>
        </is>
      </c>
      <c r="H435" t="inlineStr">
        <is>
          <t>Övriga statliga verk och myndigheter</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55061-2025</t>
        </is>
      </c>
      <c r="B436" t="inlineStr">
        <is>
          <t>avverkningsanmälan</t>
        </is>
      </c>
      <c r="C436" t="inlineStr">
        <is>
          <t>Föryngringsavverkning</t>
        </is>
      </c>
      <c r="D436" s="1" t="n">
        <v>45967</v>
      </c>
      <c r="E436" s="1" t="n">
        <v>46223</v>
      </c>
      <c r="F436" t="inlineStr">
        <is>
          <t>DALARNAS LÄN</t>
        </is>
      </c>
      <c r="G436" t="inlineStr">
        <is>
          <t>MALUNG-SÄLEN</t>
        </is>
      </c>
      <c r="I436" t="n">
        <v>7.6</v>
      </c>
      <c r="J436" t="n">
        <v>0</v>
      </c>
      <c r="K436" t="n">
        <v>0</v>
      </c>
      <c r="L436" t="n">
        <v>0</v>
      </c>
      <c r="M436" t="n">
        <v>0</v>
      </c>
      <c r="N436" t="n">
        <v>0</v>
      </c>
      <c r="O436" t="n">
        <v>0</v>
      </c>
      <c r="P436" t="n">
        <v>0</v>
      </c>
      <c r="Q436" t="n">
        <v>0</v>
      </c>
      <c r="R436" t="n">
        <v>0</v>
      </c>
      <c r="S436" t="n">
        <v>0</v>
      </c>
      <c r="T436" t="n">
        <v>0</v>
      </c>
      <c r="U436" s="2" t="inlineStr"/>
    </row>
    <row r="437" ht="15" customHeight="1">
      <c r="A437" t="inlineStr">
        <is>
          <t>A 9902-2026</t>
        </is>
      </c>
      <c r="B437" t="inlineStr">
        <is>
          <t>avverkningsanmälan</t>
        </is>
      </c>
      <c r="C437" t="inlineStr">
        <is>
          <t>Föryngringsavverkning</t>
        </is>
      </c>
      <c r="D437" s="1" t="n">
        <v>46073</v>
      </c>
      <c r="E437" s="1" t="n">
        <v>46223</v>
      </c>
      <c r="F437" t="inlineStr">
        <is>
          <t>DALARNAS LÄN</t>
        </is>
      </c>
      <c r="G437" t="inlineStr">
        <is>
          <t>MALUNG-SÄLEN</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3880-2025</t>
        </is>
      </c>
      <c r="B438" t="inlineStr">
        <is>
          <t>avverkningsanmälan</t>
        </is>
      </c>
      <c r="C438" t="inlineStr">
        <is>
          <t>Föryngringsavverkning</t>
        </is>
      </c>
      <c r="D438" s="1" t="n">
        <v>45684</v>
      </c>
      <c r="E438" s="1" t="n">
        <v>46223</v>
      </c>
      <c r="F438" t="inlineStr">
        <is>
          <t>DALARNAS LÄN</t>
        </is>
      </c>
      <c r="G438" t="inlineStr">
        <is>
          <t>MALUNG-SÄLEN</t>
        </is>
      </c>
      <c r="I438" t="n">
        <v>7.1</v>
      </c>
      <c r="J438" t="n">
        <v>0</v>
      </c>
      <c r="K438" t="n">
        <v>0</v>
      </c>
      <c r="L438" t="n">
        <v>0</v>
      </c>
      <c r="M438" t="n">
        <v>0</v>
      </c>
      <c r="N438" t="n">
        <v>0</v>
      </c>
      <c r="O438" t="n">
        <v>0</v>
      </c>
      <c r="P438" t="n">
        <v>0</v>
      </c>
      <c r="Q438" t="n">
        <v>0</v>
      </c>
      <c r="R438" t="n">
        <v>0</v>
      </c>
      <c r="S438" t="n">
        <v>0</v>
      </c>
      <c r="T438" t="n">
        <v>0</v>
      </c>
      <c r="U438" s="2" t="inlineStr"/>
    </row>
    <row r="439" ht="15" customHeight="1">
      <c r="A439" t="inlineStr">
        <is>
          <t>A 55036-2025</t>
        </is>
      </c>
      <c r="B439" t="inlineStr">
        <is>
          <t>avverkningsanmälan</t>
        </is>
      </c>
      <c r="C439" t="inlineStr">
        <is>
          <t>Föryngringsavverkning</t>
        </is>
      </c>
      <c r="D439" s="1" t="n">
        <v>45967</v>
      </c>
      <c r="E439" s="1" t="n">
        <v>46223</v>
      </c>
      <c r="F439" t="inlineStr">
        <is>
          <t>DALARNAS LÄN</t>
        </is>
      </c>
      <c r="G439" t="inlineStr">
        <is>
          <t>MALUNG-SÄLEN</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46393-2025</t>
        </is>
      </c>
      <c r="B440" t="inlineStr">
        <is>
          <t>avverkningsanmälan</t>
        </is>
      </c>
      <c r="C440" t="inlineStr">
        <is>
          <t>Föryngringsavverkning</t>
        </is>
      </c>
      <c r="D440" s="1" t="n">
        <v>45925</v>
      </c>
      <c r="E440" s="1" t="n">
        <v>46223</v>
      </c>
      <c r="F440" t="inlineStr">
        <is>
          <t>DALARNAS LÄN</t>
        </is>
      </c>
      <c r="G440" t="inlineStr">
        <is>
          <t>MALUNG-SÄLEN</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55436-2025</t>
        </is>
      </c>
      <c r="B441" t="inlineStr">
        <is>
          <t>avverkningsanmälan</t>
        </is>
      </c>
      <c r="C441" t="inlineStr">
        <is>
          <t>Föryngringsavverkning</t>
        </is>
      </c>
      <c r="D441" s="1" t="n">
        <v>45971</v>
      </c>
      <c r="E441" s="1" t="n">
        <v>46223</v>
      </c>
      <c r="F441" t="inlineStr">
        <is>
          <t>DALARNAS LÄN</t>
        </is>
      </c>
      <c r="G441" t="inlineStr">
        <is>
          <t>MALUNG-SÄLEN</t>
        </is>
      </c>
      <c r="H441" t="inlineStr">
        <is>
          <t>Allmännings- och besparingsskogar</t>
        </is>
      </c>
      <c r="I441" t="n">
        <v>31.3</v>
      </c>
      <c r="J441" t="n">
        <v>0</v>
      </c>
      <c r="K441" t="n">
        <v>0</v>
      </c>
      <c r="L441" t="n">
        <v>0</v>
      </c>
      <c r="M441" t="n">
        <v>0</v>
      </c>
      <c r="N441" t="n">
        <v>0</v>
      </c>
      <c r="O441" t="n">
        <v>0</v>
      </c>
      <c r="P441" t="n">
        <v>0</v>
      </c>
      <c r="Q441" t="n">
        <v>0</v>
      </c>
      <c r="R441" t="n">
        <v>0</v>
      </c>
      <c r="S441" t="n">
        <v>0</v>
      </c>
      <c r="T441" t="n">
        <v>0</v>
      </c>
      <c r="U441" s="2" t="inlineStr"/>
    </row>
    <row r="442" ht="15" customHeight="1">
      <c r="A442" t="inlineStr">
        <is>
          <t>A 55613-2025</t>
        </is>
      </c>
      <c r="B442" t="inlineStr">
        <is>
          <t>avverkningsanmälan</t>
        </is>
      </c>
      <c r="C442" t="inlineStr">
        <is>
          <t>Föryngringsavverkning</t>
        </is>
      </c>
      <c r="D442" s="1" t="n">
        <v>45971</v>
      </c>
      <c r="E442" s="1" t="n">
        <v>46223</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55813-2025</t>
        </is>
      </c>
      <c r="B443" t="inlineStr">
        <is>
          <t>avverkningsanmälan</t>
        </is>
      </c>
      <c r="C443" t="inlineStr">
        <is>
          <t>Föryngringsavverkning</t>
        </is>
      </c>
      <c r="D443" s="1" t="n">
        <v>45972</v>
      </c>
      <c r="E443" s="1" t="n">
        <v>46223</v>
      </c>
      <c r="F443" t="inlineStr">
        <is>
          <t>DALARNAS LÄN</t>
        </is>
      </c>
      <c r="G443" t="inlineStr">
        <is>
          <t>MALUNG-SÄLEN</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55814-2025</t>
        </is>
      </c>
      <c r="B444" t="inlineStr">
        <is>
          <t>avverkningsanmälan</t>
        </is>
      </c>
      <c r="C444" t="inlineStr">
        <is>
          <t>Föryngringsavverkning</t>
        </is>
      </c>
      <c r="D444" s="1" t="n">
        <v>45972</v>
      </c>
      <c r="E444" s="1" t="n">
        <v>46223</v>
      </c>
      <c r="F444" t="inlineStr">
        <is>
          <t>DALARNAS LÄN</t>
        </is>
      </c>
      <c r="G444" t="inlineStr">
        <is>
          <t>MALUNG-SÄLEN</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56147-2025</t>
        </is>
      </c>
      <c r="B445" t="inlineStr">
        <is>
          <t>avverkningsanmälan</t>
        </is>
      </c>
      <c r="C445" t="inlineStr">
        <is>
          <t>Föryngringsavverkning</t>
        </is>
      </c>
      <c r="D445" s="1" t="n">
        <v>45974</v>
      </c>
      <c r="E445" s="1" t="n">
        <v>46223</v>
      </c>
      <c r="F445" t="inlineStr">
        <is>
          <t>DALARNAS LÄN</t>
        </is>
      </c>
      <c r="G445" t="inlineStr">
        <is>
          <t>MALUNG-SÄLEN</t>
        </is>
      </c>
      <c r="H445" t="inlineStr">
        <is>
          <t>Bergvik skog väst AB</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55882-2025</t>
        </is>
      </c>
      <c r="B446" t="inlineStr">
        <is>
          <t>avverkningsanmälan</t>
        </is>
      </c>
      <c r="C446" t="inlineStr">
        <is>
          <t>Föryngringsavverkning</t>
        </is>
      </c>
      <c r="D446" s="1" t="n">
        <v>45973</v>
      </c>
      <c r="E446" s="1" t="n">
        <v>46223</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s="2" t="inlineStr"/>
    </row>
    <row r="447" ht="15" customHeight="1">
      <c r="A447" t="inlineStr">
        <is>
          <t>A 56081-2025</t>
        </is>
      </c>
      <c r="B447" t="inlineStr">
        <is>
          <t>avverkningsanmälan</t>
        </is>
      </c>
      <c r="C447" t="inlineStr">
        <is>
          <t>Föryngringsavverkning</t>
        </is>
      </c>
      <c r="D447" s="1" t="n">
        <v>45973</v>
      </c>
      <c r="E447" s="1" t="n">
        <v>46223</v>
      </c>
      <c r="F447" t="inlineStr">
        <is>
          <t>DALARNAS LÄN</t>
        </is>
      </c>
      <c r="G447" t="inlineStr">
        <is>
          <t>MALUNG-SÄLEN</t>
        </is>
      </c>
      <c r="H447" t="inlineStr">
        <is>
          <t>Bergvik skog väst AB</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1982-2025</t>
        </is>
      </c>
      <c r="B448" t="inlineStr">
        <is>
          <t>avverkningsanmälan</t>
        </is>
      </c>
      <c r="C448" t="inlineStr">
        <is>
          <t>Föryngringsavverkning</t>
        </is>
      </c>
      <c r="D448" s="1" t="n">
        <v>45672</v>
      </c>
      <c r="E448" s="1" t="n">
        <v>46223</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56146-2025</t>
        </is>
      </c>
      <c r="B449" t="inlineStr">
        <is>
          <t>avverkningsanmälan</t>
        </is>
      </c>
      <c r="C449" t="inlineStr">
        <is>
          <t>Föryngringsavverkning</t>
        </is>
      </c>
      <c r="D449" s="1" t="n">
        <v>45974</v>
      </c>
      <c r="E449" s="1" t="n">
        <v>46223</v>
      </c>
      <c r="F449" t="inlineStr">
        <is>
          <t>DALARNAS LÄN</t>
        </is>
      </c>
      <c r="G449" t="inlineStr">
        <is>
          <t>MALUNG-SÄLEN</t>
        </is>
      </c>
      <c r="H449" t="inlineStr">
        <is>
          <t>Bergvik skog väst AB</t>
        </is>
      </c>
      <c r="I449" t="n">
        <v>4.7</v>
      </c>
      <c r="J449" t="n">
        <v>0</v>
      </c>
      <c r="K449" t="n">
        <v>0</v>
      </c>
      <c r="L449" t="n">
        <v>0</v>
      </c>
      <c r="M449" t="n">
        <v>0</v>
      </c>
      <c r="N449" t="n">
        <v>0</v>
      </c>
      <c r="O449" t="n">
        <v>0</v>
      </c>
      <c r="P449" t="n">
        <v>0</v>
      </c>
      <c r="Q449" t="n">
        <v>0</v>
      </c>
      <c r="R449" t="n">
        <v>0</v>
      </c>
      <c r="S449" t="n">
        <v>0</v>
      </c>
      <c r="T449" t="n">
        <v>0</v>
      </c>
      <c r="U449" s="2" t="inlineStr"/>
    </row>
    <row r="450" ht="15" customHeight="1">
      <c r="A450" t="inlineStr">
        <is>
          <t>A 56901-2025</t>
        </is>
      </c>
      <c r="B450" t="inlineStr">
        <is>
          <t>avverkningsanmälan</t>
        </is>
      </c>
      <c r="C450" t="inlineStr">
        <is>
          <t>Föryngringsavverkning</t>
        </is>
      </c>
      <c r="D450" s="1" t="n">
        <v>45978</v>
      </c>
      <c r="E450" s="1" t="n">
        <v>46223</v>
      </c>
      <c r="F450" t="inlineStr">
        <is>
          <t>DALARNAS LÄN</t>
        </is>
      </c>
      <c r="G450" t="inlineStr">
        <is>
          <t>MALUNG-SÄLEN</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32038-2023</t>
        </is>
      </c>
      <c r="B451" t="inlineStr">
        <is>
          <t>avverkningsanmälan</t>
        </is>
      </c>
      <c r="C451" t="inlineStr">
        <is>
          <t>Föryngringsavverkning</t>
        </is>
      </c>
      <c r="D451" s="1" t="n">
        <v>45119</v>
      </c>
      <c r="E451" s="1" t="n">
        <v>46223</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31823-2024</t>
        </is>
      </c>
      <c r="B452" t="inlineStr">
        <is>
          <t>avverkningsanmälan</t>
        </is>
      </c>
      <c r="C452" t="inlineStr">
        <is>
          <t>Föryngringsavverkning</t>
        </is>
      </c>
      <c r="D452" s="1" t="n">
        <v>45509</v>
      </c>
      <c r="E452" s="1" t="n">
        <v>46223</v>
      </c>
      <c r="F452" t="inlineStr">
        <is>
          <t>DALARNAS LÄN</t>
        </is>
      </c>
      <c r="G452" t="inlineStr">
        <is>
          <t>MALUNG-SÄLEN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56891-2025</t>
        </is>
      </c>
      <c r="B453" t="inlineStr">
        <is>
          <t>avverkningsanmälan</t>
        </is>
      </c>
      <c r="C453" t="inlineStr">
        <is>
          <t>Föryngringsavverkning</t>
        </is>
      </c>
      <c r="D453" s="1" t="n">
        <v>45978</v>
      </c>
      <c r="E453" s="1" t="n">
        <v>46223</v>
      </c>
      <c r="F453" t="inlineStr">
        <is>
          <t>DALARNAS LÄN</t>
        </is>
      </c>
      <c r="G453" t="inlineStr">
        <is>
          <t>MALUNG-SÄLEN</t>
        </is>
      </c>
      <c r="I453" t="n">
        <v>5.4</v>
      </c>
      <c r="J453" t="n">
        <v>0</v>
      </c>
      <c r="K453" t="n">
        <v>0</v>
      </c>
      <c r="L453" t="n">
        <v>0</v>
      </c>
      <c r="M453" t="n">
        <v>0</v>
      </c>
      <c r="N453" t="n">
        <v>0</v>
      </c>
      <c r="O453" t="n">
        <v>0</v>
      </c>
      <c r="P453" t="n">
        <v>0</v>
      </c>
      <c r="Q453" t="n">
        <v>0</v>
      </c>
      <c r="R453" t="n">
        <v>0</v>
      </c>
      <c r="S453" t="n">
        <v>0</v>
      </c>
      <c r="T453" t="n">
        <v>0</v>
      </c>
      <c r="U453" s="2" t="inlineStr"/>
    </row>
    <row r="454" ht="15" customHeight="1">
      <c r="A454" t="inlineStr">
        <is>
          <t>A 57401-2025</t>
        </is>
      </c>
      <c r="B454" t="inlineStr">
        <is>
          <t>avverkningsanmälan</t>
        </is>
      </c>
      <c r="C454" t="inlineStr">
        <is>
          <t>Föryngringsavverkning</t>
        </is>
      </c>
      <c r="D454" s="1" t="n">
        <v>45980</v>
      </c>
      <c r="E454" s="1" t="n">
        <v>46223</v>
      </c>
      <c r="F454" t="inlineStr">
        <is>
          <t>DALARNAS LÄN</t>
        </is>
      </c>
      <c r="G454" t="inlineStr">
        <is>
          <t>MALUNG-SÄLEN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57442-2025</t>
        </is>
      </c>
      <c r="B455" t="inlineStr">
        <is>
          <t>avverkningsanmälan</t>
        </is>
      </c>
      <c r="C455" t="inlineStr">
        <is>
          <t>Föryngringsavverkning</t>
        </is>
      </c>
      <c r="D455" s="1" t="n">
        <v>45980</v>
      </c>
      <c r="E455" s="1" t="n">
        <v>46223</v>
      </c>
      <c r="F455" t="inlineStr">
        <is>
          <t>DALARNAS LÄN</t>
        </is>
      </c>
      <c r="G455" t="inlineStr">
        <is>
          <t>MALUNG-SÄLEN</t>
        </is>
      </c>
      <c r="I455" t="n">
        <v>4.4</v>
      </c>
      <c r="J455" t="n">
        <v>0</v>
      </c>
      <c r="K455" t="n">
        <v>0</v>
      </c>
      <c r="L455" t="n">
        <v>0</v>
      </c>
      <c r="M455" t="n">
        <v>0</v>
      </c>
      <c r="N455" t="n">
        <v>0</v>
      </c>
      <c r="O455" t="n">
        <v>0</v>
      </c>
      <c r="P455" t="n">
        <v>0</v>
      </c>
      <c r="Q455" t="n">
        <v>0</v>
      </c>
      <c r="R455" t="n">
        <v>0</v>
      </c>
      <c r="S455" t="n">
        <v>0</v>
      </c>
      <c r="T455" t="n">
        <v>0</v>
      </c>
      <c r="U455" s="2" t="inlineStr"/>
    </row>
    <row r="456" ht="15" customHeight="1">
      <c r="A456" t="inlineStr">
        <is>
          <t>A 51901-2023</t>
        </is>
      </c>
      <c r="B456" t="inlineStr">
        <is>
          <t>avverkningsanmälan</t>
        </is>
      </c>
      <c r="C456" t="inlineStr">
        <is>
          <t>Föryngringsavverkning</t>
        </is>
      </c>
      <c r="D456" s="1" t="n">
        <v>45223</v>
      </c>
      <c r="E456" s="1" t="n">
        <v>46223</v>
      </c>
      <c r="F456" t="inlineStr">
        <is>
          <t>DALARNAS LÄN</t>
        </is>
      </c>
      <c r="G456" t="inlineStr">
        <is>
          <t>MALUNG-SÄLEN</t>
        </is>
      </c>
      <c r="H456" t="inlineStr">
        <is>
          <t>Bergvik skog öst AB</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23989-2023</t>
        </is>
      </c>
      <c r="B457" t="inlineStr">
        <is>
          <t>avverkningsanmälan</t>
        </is>
      </c>
      <c r="C457" t="inlineStr">
        <is>
          <t>Föryngringsavverkning</t>
        </is>
      </c>
      <c r="D457" s="1" t="n">
        <v>45078</v>
      </c>
      <c r="E457" s="1" t="n">
        <v>46223</v>
      </c>
      <c r="F457" t="inlineStr">
        <is>
          <t>DALARNAS LÄN</t>
        </is>
      </c>
      <c r="G457" t="inlineStr">
        <is>
          <t>MALUNG-SÄLEN</t>
        </is>
      </c>
      <c r="H457" t="inlineStr">
        <is>
          <t>Bergvik skog öst AB</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33618-2022</t>
        </is>
      </c>
      <c r="B458" t="inlineStr">
        <is>
          <t>avverkningsanmälan</t>
        </is>
      </c>
      <c r="C458" t="inlineStr">
        <is>
          <t>Avverkning för annat ändamål</t>
        </is>
      </c>
      <c r="D458" s="1" t="n">
        <v>44789</v>
      </c>
      <c r="E458" s="1" t="n">
        <v>46223</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16034-2023</t>
        </is>
      </c>
      <c r="B459" t="inlineStr">
        <is>
          <t>avverkningsanmälan</t>
        </is>
      </c>
      <c r="C459" t="inlineStr">
        <is>
          <t>Föryngringsavverkning</t>
        </is>
      </c>
      <c r="D459" s="1" t="n">
        <v>45027</v>
      </c>
      <c r="E459" s="1" t="n">
        <v>46223</v>
      </c>
      <c r="F459" t="inlineStr">
        <is>
          <t>DALARNAS LÄN</t>
        </is>
      </c>
      <c r="G459" t="inlineStr">
        <is>
          <t>MALUNG-SÄLEN</t>
        </is>
      </c>
      <c r="I459" t="n">
        <v>9</v>
      </c>
      <c r="J459" t="n">
        <v>0</v>
      </c>
      <c r="K459" t="n">
        <v>0</v>
      </c>
      <c r="L459" t="n">
        <v>0</v>
      </c>
      <c r="M459" t="n">
        <v>0</v>
      </c>
      <c r="N459" t="n">
        <v>0</v>
      </c>
      <c r="O459" t="n">
        <v>0</v>
      </c>
      <c r="P459" t="n">
        <v>0</v>
      </c>
      <c r="Q459" t="n">
        <v>0</v>
      </c>
      <c r="R459" t="n">
        <v>0</v>
      </c>
      <c r="S459" t="n">
        <v>0</v>
      </c>
      <c r="T459" t="n">
        <v>0</v>
      </c>
      <c r="U459" s="2" t="inlineStr"/>
    </row>
    <row r="460" ht="15" customHeight="1">
      <c r="A460" t="inlineStr">
        <is>
          <t>A 11892-2026</t>
        </is>
      </c>
      <c r="B460" t="inlineStr">
        <is>
          <t>avverkningsanmälan</t>
        </is>
      </c>
      <c r="C460" t="inlineStr">
        <is>
          <t>Föryngringsavverkning</t>
        </is>
      </c>
      <c r="D460" s="1" t="n">
        <v>46085</v>
      </c>
      <c r="E460" s="1" t="n">
        <v>46223</v>
      </c>
      <c r="F460" t="inlineStr">
        <is>
          <t>DALARNAS LÄN</t>
        </is>
      </c>
      <c r="G460" t="inlineStr">
        <is>
          <t>MALUNG-SÄLEN</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57131-2025</t>
        </is>
      </c>
      <c r="B461" t="inlineStr">
        <is>
          <t>avverkningsanmälan</t>
        </is>
      </c>
      <c r="C461" t="inlineStr">
        <is>
          <t>Föryngringsavverkning</t>
        </is>
      </c>
      <c r="D461" s="1" t="n">
        <v>45979</v>
      </c>
      <c r="E461" s="1" t="n">
        <v>46223</v>
      </c>
      <c r="F461" t="inlineStr">
        <is>
          <t>DALARNAS LÄN</t>
        </is>
      </c>
      <c r="G461" t="inlineStr">
        <is>
          <t>MALUNG-SÄLEN</t>
        </is>
      </c>
      <c r="H461" t="inlineStr">
        <is>
          <t>Bergvik skog väst AB</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56715-2023</t>
        </is>
      </c>
      <c r="B462" t="inlineStr">
        <is>
          <t>avverkningsanmälan</t>
        </is>
      </c>
      <c r="C462" t="inlineStr">
        <is>
          <t>Föryngringsavverkning</t>
        </is>
      </c>
      <c r="D462" s="1" t="n">
        <v>45244</v>
      </c>
      <c r="E462" s="1" t="n">
        <v>46223</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57712-2025</t>
        </is>
      </c>
      <c r="B463" t="inlineStr">
        <is>
          <t>avverkningsanmälan</t>
        </is>
      </c>
      <c r="C463" t="inlineStr">
        <is>
          <t>Avverkning för att bevara och utveckla /försöksver</t>
        </is>
      </c>
      <c r="D463" s="1" t="n">
        <v>45981</v>
      </c>
      <c r="E463" s="1" t="n">
        <v>46223</v>
      </c>
      <c r="F463" t="inlineStr">
        <is>
          <t>DALARNAS LÄN</t>
        </is>
      </c>
      <c r="G463" t="inlineStr">
        <is>
          <t>MALUNG-SÄLEN</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9892-2026</t>
        </is>
      </c>
      <c r="B464" t="inlineStr">
        <is>
          <t>avverkningsanmälan</t>
        </is>
      </c>
      <c r="C464" t="inlineStr">
        <is>
          <t>Föryngringsavverkning</t>
        </is>
      </c>
      <c r="D464" s="1" t="n">
        <v>46073</v>
      </c>
      <c r="E464" s="1" t="n">
        <v>46223</v>
      </c>
      <c r="F464" t="inlineStr">
        <is>
          <t>DALARNAS LÄN</t>
        </is>
      </c>
      <c r="G464" t="inlineStr">
        <is>
          <t>MALUNG-SÄLEN</t>
        </is>
      </c>
      <c r="H464" t="inlineStr">
        <is>
          <t>Övriga statliga verk och myndigheter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22640-2023</t>
        </is>
      </c>
      <c r="B465" t="inlineStr">
        <is>
          <t>avverkningsanmälan</t>
        </is>
      </c>
      <c r="C465" t="inlineStr">
        <is>
          <t>Föryngringsavverkning</t>
        </is>
      </c>
      <c r="D465" s="1" t="n">
        <v>45071</v>
      </c>
      <c r="E465" s="1" t="n">
        <v>46223</v>
      </c>
      <c r="F465" t="inlineStr">
        <is>
          <t>DALARNAS LÄN</t>
        </is>
      </c>
      <c r="G465" t="inlineStr">
        <is>
          <t>MALUNG-SÄLEN</t>
        </is>
      </c>
      <c r="H465" t="inlineStr">
        <is>
          <t>Bergvik skog öst AB</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42730-2024</t>
        </is>
      </c>
      <c r="B466" t="inlineStr">
        <is>
          <t>avverkningsanmälan</t>
        </is>
      </c>
      <c r="C466" t="inlineStr">
        <is>
          <t>Föryngringsavverkning</t>
        </is>
      </c>
      <c r="D466" s="1" t="n">
        <v>45566</v>
      </c>
      <c r="E466" s="1" t="n">
        <v>46223</v>
      </c>
      <c r="F466" t="inlineStr">
        <is>
          <t>DALARNAS LÄN</t>
        </is>
      </c>
      <c r="G466" t="inlineStr">
        <is>
          <t>MALUNG-SÄLEN</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49241-2025</t>
        </is>
      </c>
      <c r="B467" t="inlineStr">
        <is>
          <t>avverkningsanmälan</t>
        </is>
      </c>
      <c r="C467" t="inlineStr">
        <is>
          <t>Avverkning för annat ändamål</t>
        </is>
      </c>
      <c r="D467" s="1" t="n">
        <v>45938</v>
      </c>
      <c r="E467" s="1" t="n">
        <v>46223</v>
      </c>
      <c r="F467" t="inlineStr">
        <is>
          <t>DALARNAS LÄN</t>
        </is>
      </c>
      <c r="G467" t="inlineStr">
        <is>
          <t>MALUNG-SÄLEN</t>
        </is>
      </c>
      <c r="H467" t="inlineStr">
        <is>
          <t>Bergvik skog väst AB</t>
        </is>
      </c>
      <c r="I467" t="n">
        <v>3.8</v>
      </c>
      <c r="J467" t="n">
        <v>0</v>
      </c>
      <c r="K467" t="n">
        <v>0</v>
      </c>
      <c r="L467" t="n">
        <v>0</v>
      </c>
      <c r="M467" t="n">
        <v>0</v>
      </c>
      <c r="N467" t="n">
        <v>0</v>
      </c>
      <c r="O467" t="n">
        <v>0</v>
      </c>
      <c r="P467" t="n">
        <v>0</v>
      </c>
      <c r="Q467" t="n">
        <v>0</v>
      </c>
      <c r="R467" t="n">
        <v>0</v>
      </c>
      <c r="S467" t="n">
        <v>0</v>
      </c>
      <c r="T467" t="n">
        <v>0</v>
      </c>
      <c r="U467" s="2" t="inlineStr"/>
    </row>
    <row r="468" ht="15" customHeight="1">
      <c r="A468" t="inlineStr">
        <is>
          <t>A 59048-2025</t>
        </is>
      </c>
      <c r="B468" t="inlineStr">
        <is>
          <t>avverkningsanmälan</t>
        </is>
      </c>
      <c r="C468" t="inlineStr">
        <is>
          <t>Föryngringsavverkning</t>
        </is>
      </c>
      <c r="D468" s="1" t="n">
        <v>45987</v>
      </c>
      <c r="E468" s="1" t="n">
        <v>46223</v>
      </c>
      <c r="F468" t="inlineStr">
        <is>
          <t>DALARNAS LÄN</t>
        </is>
      </c>
      <c r="G468" t="inlineStr">
        <is>
          <t>MALUNG-SÄLEN</t>
        </is>
      </c>
      <c r="I468" t="n">
        <v>9.300000000000001</v>
      </c>
      <c r="J468" t="n">
        <v>0</v>
      </c>
      <c r="K468" t="n">
        <v>0</v>
      </c>
      <c r="L468" t="n">
        <v>0</v>
      </c>
      <c r="M468" t="n">
        <v>0</v>
      </c>
      <c r="N468" t="n">
        <v>0</v>
      </c>
      <c r="O468" t="n">
        <v>0</v>
      </c>
      <c r="P468" t="n">
        <v>0</v>
      </c>
      <c r="Q468" t="n">
        <v>0</v>
      </c>
      <c r="R468" t="n">
        <v>0</v>
      </c>
      <c r="S468" t="n">
        <v>0</v>
      </c>
      <c r="T468" t="n">
        <v>0</v>
      </c>
      <c r="U468" s="2" t="inlineStr"/>
    </row>
    <row r="469" ht="15" customHeight="1">
      <c r="A469" t="inlineStr">
        <is>
          <t>A 18029-2025</t>
        </is>
      </c>
      <c r="B469" t="inlineStr">
        <is>
          <t>avverkningsanmälan</t>
        </is>
      </c>
      <c r="C469" t="inlineStr">
        <is>
          <t>Föryngringsavverkning</t>
        </is>
      </c>
      <c r="D469" s="1" t="n">
        <v>45761</v>
      </c>
      <c r="E469" s="1" t="n">
        <v>46223</v>
      </c>
      <c r="F469" t="inlineStr">
        <is>
          <t>DALARNAS LÄN</t>
        </is>
      </c>
      <c r="G469" t="inlineStr">
        <is>
          <t>MALUNG-SÄLEN</t>
        </is>
      </c>
      <c r="H469" t="inlineStr">
        <is>
          <t>Övriga statliga verk och myndigheter</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19299-2025</t>
        </is>
      </c>
      <c r="B470" t="inlineStr">
        <is>
          <t>avverkningsanmälan</t>
        </is>
      </c>
      <c r="C470" t="inlineStr">
        <is>
          <t>Föryngringsavverkning</t>
        </is>
      </c>
      <c r="D470" s="1" t="n">
        <v>45769</v>
      </c>
      <c r="E470" s="1" t="n">
        <v>46223</v>
      </c>
      <c r="F470" t="inlineStr">
        <is>
          <t>DALARNAS LÄN</t>
        </is>
      </c>
      <c r="G470" t="inlineStr">
        <is>
          <t>MALUNG-SÄLEN</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59043-2025</t>
        </is>
      </c>
      <c r="B471" t="inlineStr">
        <is>
          <t>avverkningsanmälan</t>
        </is>
      </c>
      <c r="C471" t="inlineStr">
        <is>
          <t>Föryngringsavverkning</t>
        </is>
      </c>
      <c r="D471" s="1" t="n">
        <v>45987</v>
      </c>
      <c r="E471" s="1" t="n">
        <v>46223</v>
      </c>
      <c r="F471" t="inlineStr">
        <is>
          <t>DALARNAS LÄN</t>
        </is>
      </c>
      <c r="G471" t="inlineStr">
        <is>
          <t>MALUNG-SÄLEN</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20962-2024</t>
        </is>
      </c>
      <c r="B472" t="inlineStr">
        <is>
          <t>avverkningsanmälan</t>
        </is>
      </c>
      <c r="C472" t="inlineStr">
        <is>
          <t>Föryngringsavverkning</t>
        </is>
      </c>
      <c r="D472" s="1" t="n">
        <v>45439</v>
      </c>
      <c r="E472" s="1" t="n">
        <v>46223</v>
      </c>
      <c r="F472" t="inlineStr">
        <is>
          <t>DALARNAS LÄN</t>
        </is>
      </c>
      <c r="G472" t="inlineStr">
        <is>
          <t>MALUNG-SÄLEN</t>
        </is>
      </c>
      <c r="H472" t="inlineStr">
        <is>
          <t>Bergvik skog öst AB</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59585-2025</t>
        </is>
      </c>
      <c r="B473" t="inlineStr">
        <is>
          <t>avverkningsanmälan</t>
        </is>
      </c>
      <c r="C473" t="inlineStr">
        <is>
          <t>Föryngringsavverkning</t>
        </is>
      </c>
      <c r="D473" s="1" t="n">
        <v>45992</v>
      </c>
      <c r="E473" s="1" t="n">
        <v>46223</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s="2" t="inlineStr"/>
    </row>
    <row r="474" ht="15" customHeight="1">
      <c r="A474" t="inlineStr">
        <is>
          <t>A 59772-2025</t>
        </is>
      </c>
      <c r="B474" t="inlineStr">
        <is>
          <t>avverkningsanmälan</t>
        </is>
      </c>
      <c r="C474" t="inlineStr">
        <is>
          <t>Föryngringsavverkning</t>
        </is>
      </c>
      <c r="D474" s="1" t="n">
        <v>45992</v>
      </c>
      <c r="E474" s="1" t="n">
        <v>46223</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59372-2025</t>
        </is>
      </c>
      <c r="B475" t="inlineStr">
        <is>
          <t>avverkningsanmälan</t>
        </is>
      </c>
      <c r="C475" t="inlineStr">
        <is>
          <t>Föryngringsavverkning</t>
        </is>
      </c>
      <c r="D475" s="1" t="n">
        <v>45989</v>
      </c>
      <c r="E475" s="1" t="n">
        <v>46223</v>
      </c>
      <c r="F475" t="inlineStr">
        <is>
          <t>DALARNAS LÄN</t>
        </is>
      </c>
      <c r="G475" t="inlineStr">
        <is>
          <t>MALUNG-SÄLEN</t>
        </is>
      </c>
      <c r="H475" t="inlineStr">
        <is>
          <t>Bergvik skog väst AB</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54932-2022</t>
        </is>
      </c>
      <c r="B476" t="inlineStr">
        <is>
          <t>avverkningsanmälan</t>
        </is>
      </c>
      <c r="C476" t="inlineStr">
        <is>
          <t>Föryngringsavverkning</t>
        </is>
      </c>
      <c r="D476" s="1" t="n">
        <v>44881</v>
      </c>
      <c r="E476" s="1" t="n">
        <v>46223</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13113-2026</t>
        </is>
      </c>
      <c r="B477" t="inlineStr">
        <is>
          <t>avverkningsanmälan</t>
        </is>
      </c>
      <c r="C477" t="inlineStr">
        <is>
          <t>Föryngringsavverkning</t>
        </is>
      </c>
      <c r="D477" s="1" t="n">
        <v>46093</v>
      </c>
      <c r="E477" s="1" t="n">
        <v>46223</v>
      </c>
      <c r="F477" t="inlineStr">
        <is>
          <t>DALARNAS LÄN</t>
        </is>
      </c>
      <c r="G477" t="inlineStr">
        <is>
          <t>MALUNG-SÄLEN</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59378-2025</t>
        </is>
      </c>
      <c r="B478" t="inlineStr">
        <is>
          <t>avverkningsanmälan</t>
        </is>
      </c>
      <c r="C478" t="inlineStr">
        <is>
          <t>Föryngringsavverkning</t>
        </is>
      </c>
      <c r="D478" s="1" t="n">
        <v>45989</v>
      </c>
      <c r="E478" s="1" t="n">
        <v>46223</v>
      </c>
      <c r="F478" t="inlineStr">
        <is>
          <t>DALARNAS LÄN</t>
        </is>
      </c>
      <c r="G478" t="inlineStr">
        <is>
          <t>MALUNG-SÄLEN</t>
        </is>
      </c>
      <c r="H478" t="inlineStr">
        <is>
          <t>Bergvik skog väst AB</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12827-2026</t>
        </is>
      </c>
      <c r="B479" t="inlineStr">
        <is>
          <t>avverkningsanmälan</t>
        </is>
      </c>
      <c r="C479" t="inlineStr">
        <is>
          <t>Föryngringsavverkning</t>
        </is>
      </c>
      <c r="D479" s="1" t="n">
        <v>46092</v>
      </c>
      <c r="E479" s="1" t="n">
        <v>46223</v>
      </c>
      <c r="F479" t="inlineStr">
        <is>
          <t>DALARNAS LÄN</t>
        </is>
      </c>
      <c r="G479" t="inlineStr">
        <is>
          <t>MALUNG-SÄLEN</t>
        </is>
      </c>
      <c r="I479" t="n">
        <v>6.7</v>
      </c>
      <c r="J479" t="n">
        <v>0</v>
      </c>
      <c r="K479" t="n">
        <v>0</v>
      </c>
      <c r="L479" t="n">
        <v>0</v>
      </c>
      <c r="M479" t="n">
        <v>0</v>
      </c>
      <c r="N479" t="n">
        <v>0</v>
      </c>
      <c r="O479" t="n">
        <v>0</v>
      </c>
      <c r="P479" t="n">
        <v>0</v>
      </c>
      <c r="Q479" t="n">
        <v>0</v>
      </c>
      <c r="R479" t="n">
        <v>0</v>
      </c>
      <c r="S479" t="n">
        <v>0</v>
      </c>
      <c r="T479" t="n">
        <v>0</v>
      </c>
      <c r="U479" s="2" t="inlineStr"/>
    </row>
    <row r="480" ht="15" customHeight="1">
      <c r="A480" t="inlineStr">
        <is>
          <t>A 13106-2026</t>
        </is>
      </c>
      <c r="B480" t="inlineStr">
        <is>
          <t>avverkningsanmälan</t>
        </is>
      </c>
      <c r="C480" t="inlineStr">
        <is>
          <t>Föryngringsavverkning</t>
        </is>
      </c>
      <c r="D480" s="1" t="n">
        <v>46093</v>
      </c>
      <c r="E480" s="1" t="n">
        <v>46223</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59952-2025</t>
        </is>
      </c>
      <c r="B481" t="inlineStr">
        <is>
          <t>avverkningsanmälan</t>
        </is>
      </c>
      <c r="C481" t="inlineStr">
        <is>
          <t>Avverkning för annat ändamål</t>
        </is>
      </c>
      <c r="D481" s="1" t="n">
        <v>45993</v>
      </c>
      <c r="E481" s="1" t="n">
        <v>46223</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60078-2025</t>
        </is>
      </c>
      <c r="B482" t="inlineStr">
        <is>
          <t>avverkningsanmälan</t>
        </is>
      </c>
      <c r="C482" t="inlineStr">
        <is>
          <t>Föryngringsavverkning</t>
        </is>
      </c>
      <c r="D482" s="1" t="n">
        <v>45993</v>
      </c>
      <c r="E482" s="1" t="n">
        <v>46223</v>
      </c>
      <c r="F482" t="inlineStr">
        <is>
          <t>DALARNAS LÄN</t>
        </is>
      </c>
      <c r="G482" t="inlineStr">
        <is>
          <t>MALUNG-SÄLEN</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13134-2026</t>
        </is>
      </c>
      <c r="B483" t="inlineStr">
        <is>
          <t>avverkningsanmälan</t>
        </is>
      </c>
      <c r="C483" t="inlineStr">
        <is>
          <t>Föryngringsavverkning</t>
        </is>
      </c>
      <c r="D483" s="1" t="n">
        <v>46093</v>
      </c>
      <c r="E483" s="1" t="n">
        <v>46223</v>
      </c>
      <c r="F483" t="inlineStr">
        <is>
          <t>DALARNAS LÄN</t>
        </is>
      </c>
      <c r="G483" t="inlineStr">
        <is>
          <t>MALUNG-SÄLEN</t>
        </is>
      </c>
      <c r="I483" t="n">
        <v>2.5</v>
      </c>
      <c r="J483" t="n">
        <v>0</v>
      </c>
      <c r="K483" t="n">
        <v>0</v>
      </c>
      <c r="L483" t="n">
        <v>0</v>
      </c>
      <c r="M483" t="n">
        <v>0</v>
      </c>
      <c r="N483" t="n">
        <v>0</v>
      </c>
      <c r="O483" t="n">
        <v>0</v>
      </c>
      <c r="P483" t="n">
        <v>0</v>
      </c>
      <c r="Q483" t="n">
        <v>0</v>
      </c>
      <c r="R483" t="n">
        <v>0</v>
      </c>
      <c r="S483" t="n">
        <v>0</v>
      </c>
      <c r="T483" t="n">
        <v>0</v>
      </c>
      <c r="U483" s="2" t="inlineStr"/>
    </row>
    <row r="484" ht="15" customHeight="1">
      <c r="A484" t="inlineStr">
        <is>
          <t>A 36863-2025</t>
        </is>
      </c>
      <c r="B484" t="inlineStr">
        <is>
          <t>avverkningsanmälan</t>
        </is>
      </c>
      <c r="C484" t="inlineStr">
        <is>
          <t>Föryngringsavverkning</t>
        </is>
      </c>
      <c r="D484" s="1" t="n">
        <v>45874</v>
      </c>
      <c r="E484" s="1" t="n">
        <v>46223</v>
      </c>
      <c r="F484" t="inlineStr">
        <is>
          <t>DALARNAS LÄN</t>
        </is>
      </c>
      <c r="G484" t="inlineStr">
        <is>
          <t>MALUNG-SÄLEN</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12963-2026</t>
        </is>
      </c>
      <c r="B485" t="inlineStr">
        <is>
          <t>avverkningsanmälan</t>
        </is>
      </c>
      <c r="C485" t="inlineStr">
        <is>
          <t>Föryngringsavverkning</t>
        </is>
      </c>
      <c r="D485" s="1" t="n">
        <v>46092</v>
      </c>
      <c r="E485" s="1" t="n">
        <v>46223</v>
      </c>
      <c r="F485" t="inlineStr">
        <is>
          <t>DALARNAS LÄN</t>
        </is>
      </c>
      <c r="G485" t="inlineStr">
        <is>
          <t>MALUNG-SÄLEN</t>
        </is>
      </c>
      <c r="I485" t="n">
        <v>6.7</v>
      </c>
      <c r="J485" t="n">
        <v>0</v>
      </c>
      <c r="K485" t="n">
        <v>0</v>
      </c>
      <c r="L485" t="n">
        <v>0</v>
      </c>
      <c r="M485" t="n">
        <v>0</v>
      </c>
      <c r="N485" t="n">
        <v>0</v>
      </c>
      <c r="O485" t="n">
        <v>0</v>
      </c>
      <c r="P485" t="n">
        <v>0</v>
      </c>
      <c r="Q485" t="n">
        <v>0</v>
      </c>
      <c r="R485" t="n">
        <v>0</v>
      </c>
      <c r="S485" t="n">
        <v>0</v>
      </c>
      <c r="T485" t="n">
        <v>0</v>
      </c>
      <c r="U485" s="2" t="inlineStr"/>
    </row>
    <row r="486" ht="15" customHeight="1">
      <c r="A486" t="inlineStr">
        <is>
          <t>A 38193-2021</t>
        </is>
      </c>
      <c r="B486" t="inlineStr">
        <is>
          <t>avverkningsanmälan</t>
        </is>
      </c>
      <c r="C486" t="inlineStr">
        <is>
          <t>Föryngringsavverkning</t>
        </is>
      </c>
      <c r="D486" s="1" t="n">
        <v>44405</v>
      </c>
      <c r="E486" s="1" t="n">
        <v>46223</v>
      </c>
      <c r="F486" t="inlineStr">
        <is>
          <t>DALARNAS LÄN</t>
        </is>
      </c>
      <c r="G486" t="inlineStr">
        <is>
          <t>MALUNG-SÄLEN</t>
        </is>
      </c>
      <c r="H486" t="inlineStr">
        <is>
          <t>Naturvårdsverket</t>
        </is>
      </c>
      <c r="I486" t="n">
        <v>7.1</v>
      </c>
      <c r="J486" t="n">
        <v>0</v>
      </c>
      <c r="K486" t="n">
        <v>0</v>
      </c>
      <c r="L486" t="n">
        <v>0</v>
      </c>
      <c r="M486" t="n">
        <v>0</v>
      </c>
      <c r="N486" t="n">
        <v>0</v>
      </c>
      <c r="O486" t="n">
        <v>0</v>
      </c>
      <c r="P486" t="n">
        <v>0</v>
      </c>
      <c r="Q486" t="n">
        <v>0</v>
      </c>
      <c r="R486" t="n">
        <v>0</v>
      </c>
      <c r="S486" t="n">
        <v>0</v>
      </c>
      <c r="T486" t="n">
        <v>0</v>
      </c>
      <c r="U486" s="2" t="inlineStr"/>
    </row>
    <row r="487" ht="15" customHeight="1">
      <c r="A487" t="inlineStr">
        <is>
          <t>A 59916-2025</t>
        </is>
      </c>
      <c r="B487" t="inlineStr">
        <is>
          <t>avverkningsanmälan</t>
        </is>
      </c>
      <c r="C487" t="inlineStr">
        <is>
          <t>Avverkning för annat ändamål</t>
        </is>
      </c>
      <c r="D487" s="1" t="n">
        <v>45993</v>
      </c>
      <c r="E487" s="1" t="n">
        <v>46223</v>
      </c>
      <c r="F487" t="inlineStr">
        <is>
          <t>DALARNAS LÄN</t>
        </is>
      </c>
      <c r="G487" t="inlineStr">
        <is>
          <t>MALUNG-SÄLEN</t>
        </is>
      </c>
      <c r="H487" t="inlineStr">
        <is>
          <t>Allmännings- och besparingsskogar</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60944-2025</t>
        </is>
      </c>
      <c r="B488" t="inlineStr">
        <is>
          <t>avverkningsanmälan</t>
        </is>
      </c>
      <c r="C488" t="inlineStr">
        <is>
          <t>Föryngringsavverkning</t>
        </is>
      </c>
      <c r="D488" s="1" t="n">
        <v>45999</v>
      </c>
      <c r="E488" s="1" t="n">
        <v>46223</v>
      </c>
      <c r="F488" t="inlineStr">
        <is>
          <t>DALARNAS LÄN</t>
        </is>
      </c>
      <c r="G488" t="inlineStr">
        <is>
          <t>MALUNG-SÄLEN</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19355-2025</t>
        </is>
      </c>
      <c r="B489" t="inlineStr">
        <is>
          <t>avverkningsanmälan</t>
        </is>
      </c>
      <c r="C489" t="inlineStr">
        <is>
          <t>Föryngringsavverkning</t>
        </is>
      </c>
      <c r="D489" s="1" t="n">
        <v>45769</v>
      </c>
      <c r="E489" s="1" t="n">
        <v>46223</v>
      </c>
      <c r="F489" t="inlineStr">
        <is>
          <t>DALARNAS LÄN</t>
        </is>
      </c>
      <c r="G489" t="inlineStr">
        <is>
          <t>MALUNG-SÄLEN</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24477-2023</t>
        </is>
      </c>
      <c r="B490" t="inlineStr">
        <is>
          <t>avverkningsanmälan</t>
        </is>
      </c>
      <c r="C490" t="inlineStr">
        <is>
          <t>Föryngringsavverkning</t>
        </is>
      </c>
      <c r="D490" s="1" t="n">
        <v>45077</v>
      </c>
      <c r="E490" s="1" t="n">
        <v>46223</v>
      </c>
      <c r="F490" t="inlineStr">
        <is>
          <t>DALARNAS LÄN</t>
        </is>
      </c>
      <c r="G490" t="inlineStr">
        <is>
          <t>MALUNG-SÄLEN</t>
        </is>
      </c>
      <c r="I490" t="n">
        <v>4.7</v>
      </c>
      <c r="J490" t="n">
        <v>0</v>
      </c>
      <c r="K490" t="n">
        <v>0</v>
      </c>
      <c r="L490" t="n">
        <v>0</v>
      </c>
      <c r="M490" t="n">
        <v>0</v>
      </c>
      <c r="N490" t="n">
        <v>0</v>
      </c>
      <c r="O490" t="n">
        <v>0</v>
      </c>
      <c r="P490" t="n">
        <v>0</v>
      </c>
      <c r="Q490" t="n">
        <v>0</v>
      </c>
      <c r="R490" t="n">
        <v>0</v>
      </c>
      <c r="S490" t="n">
        <v>0</v>
      </c>
      <c r="T490" t="n">
        <v>0</v>
      </c>
      <c r="U490" s="2" t="inlineStr"/>
    </row>
    <row r="491" ht="15" customHeight="1">
      <c r="A491" t="inlineStr">
        <is>
          <t>A 17828-2023</t>
        </is>
      </c>
      <c r="B491" t="inlineStr">
        <is>
          <t>avverkningsanmälan</t>
        </is>
      </c>
      <c r="C491" t="inlineStr">
        <is>
          <t>Föryngringsavverkning</t>
        </is>
      </c>
      <c r="D491" s="1" t="n">
        <v>45037</v>
      </c>
      <c r="E491" s="1" t="n">
        <v>46223</v>
      </c>
      <c r="F491" t="inlineStr">
        <is>
          <t>DALARNAS LÄN</t>
        </is>
      </c>
      <c r="G491" t="inlineStr">
        <is>
          <t>MALUNG-SÄLEN</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61441-2025</t>
        </is>
      </c>
      <c r="B492" t="inlineStr">
        <is>
          <t>avverkningsanmälan</t>
        </is>
      </c>
      <c r="C492" t="inlineStr">
        <is>
          <t>Föryngringsavverkning</t>
        </is>
      </c>
      <c r="D492" s="1" t="n">
        <v>46001</v>
      </c>
      <c r="E492" s="1" t="n">
        <v>46223</v>
      </c>
      <c r="F492" t="inlineStr">
        <is>
          <t>DALARNAS LÄN</t>
        </is>
      </c>
      <c r="G492" t="inlineStr">
        <is>
          <t>MALUNG-SÄLEN</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53333-2024</t>
        </is>
      </c>
      <c r="B493" t="inlineStr">
        <is>
          <t>avverkningsanmälan</t>
        </is>
      </c>
      <c r="C493" t="inlineStr">
        <is>
          <t>Föryngringsavverkning</t>
        </is>
      </c>
      <c r="D493" s="1" t="n">
        <v>45614</v>
      </c>
      <c r="E493" s="1" t="n">
        <v>46223</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61698-2025</t>
        </is>
      </c>
      <c r="B494" t="inlineStr">
        <is>
          <t>avverkningsanmälan</t>
        </is>
      </c>
      <c r="C494" t="inlineStr">
        <is>
          <t>Föryngringsavverkning</t>
        </is>
      </c>
      <c r="D494" s="1" t="n">
        <v>46002</v>
      </c>
      <c r="E494" s="1" t="n">
        <v>46223</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61466-2025</t>
        </is>
      </c>
      <c r="B495" t="inlineStr">
        <is>
          <t>avverkningsanmälan</t>
        </is>
      </c>
      <c r="C495" t="inlineStr">
        <is>
          <t>Föryngringsavverkning</t>
        </is>
      </c>
      <c r="D495" s="1" t="n">
        <v>46001</v>
      </c>
      <c r="E495" s="1" t="n">
        <v>46223</v>
      </c>
      <c r="F495" t="inlineStr">
        <is>
          <t>DALARNAS LÄN</t>
        </is>
      </c>
      <c r="G495" t="inlineStr">
        <is>
          <t>MALUNG-SÄLEN</t>
        </is>
      </c>
      <c r="H495" t="inlineStr">
        <is>
          <t>Bergvik skog väst AB</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61692-2025</t>
        </is>
      </c>
      <c r="B496" t="inlineStr">
        <is>
          <t>avverkningsanmälan</t>
        </is>
      </c>
      <c r="C496" t="inlineStr">
        <is>
          <t>Föryngringsavverkning</t>
        </is>
      </c>
      <c r="D496" s="1" t="n">
        <v>46002</v>
      </c>
      <c r="E496" s="1" t="n">
        <v>46223</v>
      </c>
      <c r="F496" t="inlineStr">
        <is>
          <t>DALARNAS LÄN</t>
        </is>
      </c>
      <c r="G496" t="inlineStr">
        <is>
          <t>MALUNG-SÄLEN</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13993-2026</t>
        </is>
      </c>
      <c r="B497" t="inlineStr">
        <is>
          <t>avverkningsanmälan</t>
        </is>
      </c>
      <c r="C497" t="inlineStr">
        <is>
          <t>Föryngringsavverkning</t>
        </is>
      </c>
      <c r="D497" s="1" t="n">
        <v>46098</v>
      </c>
      <c r="E497" s="1" t="n">
        <v>46223</v>
      </c>
      <c r="F497" t="inlineStr">
        <is>
          <t>DALARNAS LÄN</t>
        </is>
      </c>
      <c r="G497" t="inlineStr">
        <is>
          <t>MALUNG-SÄLEN</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62087-2025</t>
        </is>
      </c>
      <c r="B498" t="inlineStr">
        <is>
          <t>avverkningsanmälan</t>
        </is>
      </c>
      <c r="C498" t="inlineStr">
        <is>
          <t>Föryngringsavverkning</t>
        </is>
      </c>
      <c r="D498" s="1" t="n">
        <v>46006</v>
      </c>
      <c r="E498" s="1" t="n">
        <v>46223</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62310-2025</t>
        </is>
      </c>
      <c r="B499" t="inlineStr">
        <is>
          <t>avverkningsanmälan</t>
        </is>
      </c>
      <c r="C499" t="inlineStr">
        <is>
          <t>Föryngringsavverkning</t>
        </is>
      </c>
      <c r="D499" s="1" t="n">
        <v>46006</v>
      </c>
      <c r="E499" s="1" t="n">
        <v>46223</v>
      </c>
      <c r="F499" t="inlineStr">
        <is>
          <t>DALARNAS LÄN</t>
        </is>
      </c>
      <c r="G499" t="inlineStr">
        <is>
          <t>MALUNG-SÄLEN</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61866-2025</t>
        </is>
      </c>
      <c r="B500" t="inlineStr">
        <is>
          <t>avverkningsanmälan</t>
        </is>
      </c>
      <c r="C500" t="inlineStr">
        <is>
          <t>Föryngringsavverkning</t>
        </is>
      </c>
      <c r="D500" s="1" t="n">
        <v>46003</v>
      </c>
      <c r="E500" s="1" t="n">
        <v>46223</v>
      </c>
      <c r="F500" t="inlineStr">
        <is>
          <t>DALARNAS LÄN</t>
        </is>
      </c>
      <c r="G500" t="inlineStr">
        <is>
          <t>MALUNG-SÄLEN</t>
        </is>
      </c>
      <c r="H500" t="inlineStr">
        <is>
          <t>Bergvik skog öst AB</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61924-2025</t>
        </is>
      </c>
      <c r="B501" t="inlineStr">
        <is>
          <t>avverkningsanmälan</t>
        </is>
      </c>
      <c r="C501" t="inlineStr">
        <is>
          <t>Föryngringsavverkning</t>
        </is>
      </c>
      <c r="D501" s="1" t="n">
        <v>46003</v>
      </c>
      <c r="E501" s="1" t="n">
        <v>46223</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s="2" t="inlineStr"/>
    </row>
    <row r="502" ht="15" customHeight="1">
      <c r="A502" t="inlineStr">
        <is>
          <t>A 62799-2025</t>
        </is>
      </c>
      <c r="B502" t="inlineStr">
        <is>
          <t>avverkningsanmälan</t>
        </is>
      </c>
      <c r="C502" t="inlineStr">
        <is>
          <t>Avverkning för annat ändamål</t>
        </is>
      </c>
      <c r="D502" s="1" t="n">
        <v>46008</v>
      </c>
      <c r="E502" s="1" t="n">
        <v>46223</v>
      </c>
      <c r="F502" t="inlineStr">
        <is>
          <t>DALARNAS LÄN</t>
        </is>
      </c>
      <c r="G502" t="inlineStr">
        <is>
          <t>MALUNG-SÄLEN</t>
        </is>
      </c>
      <c r="H502" t="inlineStr">
        <is>
          <t>Allmännings- och besparingsskogar</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34077-2022</t>
        </is>
      </c>
      <c r="B503" t="inlineStr">
        <is>
          <t>avverkningsanmälan</t>
        </is>
      </c>
      <c r="C503" t="inlineStr">
        <is>
          <t>Föryngringsavverkning</t>
        </is>
      </c>
      <c r="D503" s="1" t="n">
        <v>44791</v>
      </c>
      <c r="E503" s="1" t="n">
        <v>46223</v>
      </c>
      <c r="F503" t="inlineStr">
        <is>
          <t>DALARNAS LÄN</t>
        </is>
      </c>
      <c r="G503" t="inlineStr">
        <is>
          <t>MALUNG-SÄLEN</t>
        </is>
      </c>
      <c r="H503" t="inlineStr">
        <is>
          <t>Bergvik skog öst AB</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984-2024</t>
        </is>
      </c>
      <c r="B504" t="inlineStr">
        <is>
          <t>avverkningsanmälan</t>
        </is>
      </c>
      <c r="C504" t="inlineStr">
        <is>
          <t>Föryngringsavverkning</t>
        </is>
      </c>
      <c r="D504" s="1" t="n">
        <v>45301</v>
      </c>
      <c r="E504" s="1" t="n">
        <v>46223</v>
      </c>
      <c r="F504" t="inlineStr">
        <is>
          <t>DALARNAS LÄN</t>
        </is>
      </c>
      <c r="G504" t="inlineStr">
        <is>
          <t>MALUNG-SÄLEN</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9351-2025</t>
        </is>
      </c>
      <c r="B505" t="inlineStr">
        <is>
          <t>avverkningsanmälan</t>
        </is>
      </c>
      <c r="C505" t="inlineStr">
        <is>
          <t>Avverkning för annat ändamål</t>
        </is>
      </c>
      <c r="D505" s="1" t="n">
        <v>45714</v>
      </c>
      <c r="E505" s="1" t="n">
        <v>46223</v>
      </c>
      <c r="F505" t="inlineStr">
        <is>
          <t>DALARNAS LÄN</t>
        </is>
      </c>
      <c r="G505" t="inlineStr">
        <is>
          <t>MALUNG-SÄLEN</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17619-2025</t>
        </is>
      </c>
      <c r="B506" t="inlineStr">
        <is>
          <t>avverkningsanmälan</t>
        </is>
      </c>
      <c r="C506" t="inlineStr">
        <is>
          <t>Föryngringsavverkning</t>
        </is>
      </c>
      <c r="D506" s="1" t="n">
        <v>45757</v>
      </c>
      <c r="E506" s="1" t="n">
        <v>46223</v>
      </c>
      <c r="F506" t="inlineStr">
        <is>
          <t>DALARNAS LÄN</t>
        </is>
      </c>
      <c r="G506" t="inlineStr">
        <is>
          <t>MALUNG-SÄLEN</t>
        </is>
      </c>
      <c r="I506" t="n">
        <v>3.7</v>
      </c>
      <c r="J506" t="n">
        <v>0</v>
      </c>
      <c r="K506" t="n">
        <v>0</v>
      </c>
      <c r="L506" t="n">
        <v>0</v>
      </c>
      <c r="M506" t="n">
        <v>0</v>
      </c>
      <c r="N506" t="n">
        <v>0</v>
      </c>
      <c r="O506" t="n">
        <v>0</v>
      </c>
      <c r="P506" t="n">
        <v>0</v>
      </c>
      <c r="Q506" t="n">
        <v>0</v>
      </c>
      <c r="R506" t="n">
        <v>0</v>
      </c>
      <c r="S506" t="n">
        <v>0</v>
      </c>
      <c r="T506" t="n">
        <v>0</v>
      </c>
      <c r="U506" s="2" t="inlineStr"/>
    </row>
    <row r="507" ht="15" customHeight="1">
      <c r="A507" t="inlineStr">
        <is>
          <t>A 62374-2025</t>
        </is>
      </c>
      <c r="B507" t="inlineStr">
        <is>
          <t>avverkningsanmälan</t>
        </is>
      </c>
      <c r="C507" t="inlineStr">
        <is>
          <t>Föryngringsavverkning</t>
        </is>
      </c>
      <c r="D507" s="1" t="n">
        <v>46007</v>
      </c>
      <c r="E507" s="1" t="n">
        <v>46223</v>
      </c>
      <c r="F507" t="inlineStr">
        <is>
          <t>DALARNAS LÄN</t>
        </is>
      </c>
      <c r="G507" t="inlineStr">
        <is>
          <t>MALUNG-SÄLEN</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62777-2025</t>
        </is>
      </c>
      <c r="B508" t="inlineStr">
        <is>
          <t>avverkningsanmälan</t>
        </is>
      </c>
      <c r="C508" t="inlineStr">
        <is>
          <t>Avverkning för annat ändamål</t>
        </is>
      </c>
      <c r="D508" s="1" t="n">
        <v>46008</v>
      </c>
      <c r="E508" s="1" t="n">
        <v>46223</v>
      </c>
      <c r="F508" t="inlineStr">
        <is>
          <t>DALARNAS LÄN</t>
        </is>
      </c>
      <c r="G508" t="inlineStr">
        <is>
          <t>MALUNG-SÄLEN</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43981-2022</t>
        </is>
      </c>
      <c r="B509" t="inlineStr">
        <is>
          <t>avverkningsanmälan</t>
        </is>
      </c>
      <c r="C509" t="inlineStr">
        <is>
          <t>Föryngringsavverkning</t>
        </is>
      </c>
      <c r="D509" s="1" t="n">
        <v>44837</v>
      </c>
      <c r="E509" s="1" t="n">
        <v>46223</v>
      </c>
      <c r="F509" t="inlineStr">
        <is>
          <t>DALARNAS LÄN</t>
        </is>
      </c>
      <c r="G509" t="inlineStr">
        <is>
          <t>MALUNG-SÄLEN</t>
        </is>
      </c>
      <c r="H509" t="inlineStr">
        <is>
          <t>Kommuner</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29362-2023</t>
        </is>
      </c>
      <c r="B510" t="inlineStr">
        <is>
          <t>avverkningsanmälan</t>
        </is>
      </c>
      <c r="C510" t="inlineStr">
        <is>
          <t>Föryngringsavverkning</t>
        </is>
      </c>
      <c r="D510" s="1" t="n">
        <v>45106</v>
      </c>
      <c r="E510" s="1" t="n">
        <v>46223</v>
      </c>
      <c r="F510" t="inlineStr">
        <is>
          <t>DALARNAS LÄN</t>
        </is>
      </c>
      <c r="G510" t="inlineStr">
        <is>
          <t>MALUNG-SÄLEN</t>
        </is>
      </c>
      <c r="H510" t="inlineStr">
        <is>
          <t>Övriga statliga verk och myndigheter</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63277-2025</t>
        </is>
      </c>
      <c r="B511" t="inlineStr">
        <is>
          <t>avverkningsanmälan</t>
        </is>
      </c>
      <c r="C511" t="inlineStr">
        <is>
          <t>Föryngringsavverkning</t>
        </is>
      </c>
      <c r="D511" s="1" t="n">
        <v>46010</v>
      </c>
      <c r="E511" s="1" t="n">
        <v>46223</v>
      </c>
      <c r="F511" t="inlineStr">
        <is>
          <t>DALARNAS LÄN</t>
        </is>
      </c>
      <c r="G511" t="inlineStr">
        <is>
          <t>MALUNG-SÄLEN</t>
        </is>
      </c>
      <c r="H511" t="inlineStr">
        <is>
          <t>Allmännings- och besparingsskogar</t>
        </is>
      </c>
      <c r="I511" t="n">
        <v>46</v>
      </c>
      <c r="J511" t="n">
        <v>0</v>
      </c>
      <c r="K511" t="n">
        <v>0</v>
      </c>
      <c r="L511" t="n">
        <v>0</v>
      </c>
      <c r="M511" t="n">
        <v>0</v>
      </c>
      <c r="N511" t="n">
        <v>0</v>
      </c>
      <c r="O511" t="n">
        <v>0</v>
      </c>
      <c r="P511" t="n">
        <v>0</v>
      </c>
      <c r="Q511" t="n">
        <v>0</v>
      </c>
      <c r="R511" t="n">
        <v>0</v>
      </c>
      <c r="S511" t="n">
        <v>0</v>
      </c>
      <c r="T511" t="n">
        <v>0</v>
      </c>
      <c r="U511" s="2" t="inlineStr"/>
    </row>
    <row r="512" ht="15" customHeight="1">
      <c r="A512" t="inlineStr">
        <is>
          <t>A 14595-2026</t>
        </is>
      </c>
      <c r="B512" t="inlineStr">
        <is>
          <t>avverkningsanmälan</t>
        </is>
      </c>
      <c r="C512" t="inlineStr">
        <is>
          <t>Föryngringsavverkning</t>
        </is>
      </c>
      <c r="D512" s="1" t="n">
        <v>46100</v>
      </c>
      <c r="E512" s="1" t="n">
        <v>46223</v>
      </c>
      <c r="F512" t="inlineStr">
        <is>
          <t>DALARNAS LÄN</t>
        </is>
      </c>
      <c r="G512" t="inlineStr">
        <is>
          <t>MALUNG-SÄLEN</t>
        </is>
      </c>
      <c r="I512" t="n">
        <v>10.3</v>
      </c>
      <c r="J512" t="n">
        <v>0</v>
      </c>
      <c r="K512" t="n">
        <v>0</v>
      </c>
      <c r="L512" t="n">
        <v>0</v>
      </c>
      <c r="M512" t="n">
        <v>0</v>
      </c>
      <c r="N512" t="n">
        <v>0</v>
      </c>
      <c r="O512" t="n">
        <v>0</v>
      </c>
      <c r="P512" t="n">
        <v>0</v>
      </c>
      <c r="Q512" t="n">
        <v>0</v>
      </c>
      <c r="R512" t="n">
        <v>0</v>
      </c>
      <c r="S512" t="n">
        <v>0</v>
      </c>
      <c r="T512" t="n">
        <v>0</v>
      </c>
      <c r="U512" s="2" t="inlineStr"/>
    </row>
    <row r="513" ht="15" customHeight="1">
      <c r="A513" t="inlineStr">
        <is>
          <t>A 64065-2025</t>
        </is>
      </c>
      <c r="B513" t="inlineStr">
        <is>
          <t>avverkningsanmälan</t>
        </is>
      </c>
      <c r="C513" t="inlineStr">
        <is>
          <t>Föryngringsavverkning</t>
        </is>
      </c>
      <c r="D513" s="1" t="n">
        <v>46010</v>
      </c>
      <c r="E513" s="1" t="n">
        <v>46223</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63029-2025</t>
        </is>
      </c>
      <c r="B514" t="inlineStr">
        <is>
          <t>avverkningsanmälan</t>
        </is>
      </c>
      <c r="C514" t="inlineStr">
        <is>
          <t>Föryngringsavverkning</t>
        </is>
      </c>
      <c r="D514" s="1" t="n">
        <v>46009</v>
      </c>
      <c r="E514" s="1" t="n">
        <v>46223</v>
      </c>
      <c r="F514" t="inlineStr">
        <is>
          <t>DALARNAS LÄN</t>
        </is>
      </c>
      <c r="G514" t="inlineStr">
        <is>
          <t>MALUNG-SÄLEN</t>
        </is>
      </c>
      <c r="I514" t="n">
        <v>6.8</v>
      </c>
      <c r="J514" t="n">
        <v>0</v>
      </c>
      <c r="K514" t="n">
        <v>0</v>
      </c>
      <c r="L514" t="n">
        <v>0</v>
      </c>
      <c r="M514" t="n">
        <v>0</v>
      </c>
      <c r="N514" t="n">
        <v>0</v>
      </c>
      <c r="O514" t="n">
        <v>0</v>
      </c>
      <c r="P514" t="n">
        <v>0</v>
      </c>
      <c r="Q514" t="n">
        <v>0</v>
      </c>
      <c r="R514" t="n">
        <v>0</v>
      </c>
      <c r="S514" t="n">
        <v>0</v>
      </c>
      <c r="T514" t="n">
        <v>0</v>
      </c>
      <c r="U514" s="2" t="inlineStr"/>
    </row>
    <row r="515" ht="15" customHeight="1">
      <c r="A515" t="inlineStr">
        <is>
          <t>A 16026-2025</t>
        </is>
      </c>
      <c r="B515" t="inlineStr">
        <is>
          <t>avverkningsanmälan</t>
        </is>
      </c>
      <c r="C515" t="inlineStr">
        <is>
          <t>Föryngringsavverkning</t>
        </is>
      </c>
      <c r="D515" s="1" t="n">
        <v>45749</v>
      </c>
      <c r="E515" s="1" t="n">
        <v>46223</v>
      </c>
      <c r="F515" t="inlineStr">
        <is>
          <t>DALARNAS LÄN</t>
        </is>
      </c>
      <c r="G515" t="inlineStr">
        <is>
          <t>MALUNG-SÄLEN</t>
        </is>
      </c>
      <c r="I515" t="n">
        <v>2.8</v>
      </c>
      <c r="J515" t="n">
        <v>0</v>
      </c>
      <c r="K515" t="n">
        <v>0</v>
      </c>
      <c r="L515" t="n">
        <v>0</v>
      </c>
      <c r="M515" t="n">
        <v>0</v>
      </c>
      <c r="N515" t="n">
        <v>0</v>
      </c>
      <c r="O515" t="n">
        <v>0</v>
      </c>
      <c r="P515" t="n">
        <v>0</v>
      </c>
      <c r="Q515" t="n">
        <v>0</v>
      </c>
      <c r="R515" t="n">
        <v>0</v>
      </c>
      <c r="S515" t="n">
        <v>0</v>
      </c>
      <c r="T515" t="n">
        <v>0</v>
      </c>
      <c r="U515" s="2" t="inlineStr"/>
    </row>
    <row r="516" ht="15" customHeight="1">
      <c r="A516" t="inlineStr">
        <is>
          <t>A 64068-2025</t>
        </is>
      </c>
      <c r="B516" t="inlineStr">
        <is>
          <t>avverkningsanmälan</t>
        </is>
      </c>
      <c r="C516" t="inlineStr">
        <is>
          <t>Föryngringsavverkning</t>
        </is>
      </c>
      <c r="D516" s="1" t="n">
        <v>46010</v>
      </c>
      <c r="E516" s="1" t="n">
        <v>46223</v>
      </c>
      <c r="F516" t="inlineStr">
        <is>
          <t>DALARNAS LÄN</t>
        </is>
      </c>
      <c r="G516" t="inlineStr">
        <is>
          <t>MALUNG-SÄLEN</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33367-2023</t>
        </is>
      </c>
      <c r="B517" t="inlineStr">
        <is>
          <t>avverkningsanmälan</t>
        </is>
      </c>
      <c r="C517" t="inlineStr">
        <is>
          <t>Föryngringsavverkning</t>
        </is>
      </c>
      <c r="D517" s="1" t="n">
        <v>45128</v>
      </c>
      <c r="E517" s="1" t="n">
        <v>46223</v>
      </c>
      <c r="F517" t="inlineStr">
        <is>
          <t>DALARNAS LÄN</t>
        </is>
      </c>
      <c r="G517" t="inlineStr">
        <is>
          <t>MALUNG-SÄLEN</t>
        </is>
      </c>
      <c r="H517" t="inlineStr">
        <is>
          <t>Kommuner</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30400-2024</t>
        </is>
      </c>
      <c r="B518" t="inlineStr">
        <is>
          <t>avverkningsanmälan</t>
        </is>
      </c>
      <c r="C518" t="inlineStr">
        <is>
          <t>Föryngringsavverkning</t>
        </is>
      </c>
      <c r="D518" s="1" t="n">
        <v>45491</v>
      </c>
      <c r="E518" s="1" t="n">
        <v>46223</v>
      </c>
      <c r="F518" t="inlineStr">
        <is>
          <t>DALARNAS LÄN</t>
        </is>
      </c>
      <c r="G518" t="inlineStr">
        <is>
          <t>MALUNG-SÄLEN</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14868-2026</t>
        </is>
      </c>
      <c r="B519" t="inlineStr">
        <is>
          <t>avverkningsanmälan</t>
        </is>
      </c>
      <c r="C519" t="inlineStr">
        <is>
          <t>Föryngringsavverkning</t>
        </is>
      </c>
      <c r="D519" s="1" t="n">
        <v>46104</v>
      </c>
      <c r="E519" s="1" t="n">
        <v>46223</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72039-2021</t>
        </is>
      </c>
      <c r="B520" t="inlineStr">
        <is>
          <t>avverkningsanmälan</t>
        </is>
      </c>
      <c r="C520" t="inlineStr">
        <is>
          <t>Föryngringsavverkning</t>
        </is>
      </c>
      <c r="D520" s="1" t="n">
        <v>44540</v>
      </c>
      <c r="E520" s="1" t="n">
        <v>46223</v>
      </c>
      <c r="F520" t="inlineStr">
        <is>
          <t>DALARNAS LÄN</t>
        </is>
      </c>
      <c r="G520" t="inlineStr">
        <is>
          <t>MALUNG-SÄLEN</t>
        </is>
      </c>
      <c r="H520" t="inlineStr">
        <is>
          <t>Allmännings- och besparingsskogar</t>
        </is>
      </c>
      <c r="I520" t="n">
        <v>10.2</v>
      </c>
      <c r="J520" t="n">
        <v>0</v>
      </c>
      <c r="K520" t="n">
        <v>0</v>
      </c>
      <c r="L520" t="n">
        <v>0</v>
      </c>
      <c r="M520" t="n">
        <v>0</v>
      </c>
      <c r="N520" t="n">
        <v>0</v>
      </c>
      <c r="O520" t="n">
        <v>0</v>
      </c>
      <c r="P520" t="n">
        <v>0</v>
      </c>
      <c r="Q520" t="n">
        <v>0</v>
      </c>
      <c r="R520" t="n">
        <v>0</v>
      </c>
      <c r="S520" t="n">
        <v>0</v>
      </c>
      <c r="T520" t="n">
        <v>0</v>
      </c>
      <c r="U520" s="2" t="inlineStr"/>
    </row>
    <row r="521" ht="15" customHeight="1">
      <c r="A521" t="inlineStr">
        <is>
          <t>A 58832-2022</t>
        </is>
      </c>
      <c r="B521" t="inlineStr">
        <is>
          <t>avverkningsanmälan</t>
        </is>
      </c>
      <c r="C521" t="inlineStr">
        <is>
          <t>Föryngringsavverkning</t>
        </is>
      </c>
      <c r="D521" s="1" t="n">
        <v>44903</v>
      </c>
      <c r="E521" s="1" t="n">
        <v>46223</v>
      </c>
      <c r="F521" t="inlineStr">
        <is>
          <t>DALARNAS LÄN</t>
        </is>
      </c>
      <c r="G521" t="inlineStr">
        <is>
          <t>MALUNG-SÄLEN</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31886-2023</t>
        </is>
      </c>
      <c r="B522" t="inlineStr">
        <is>
          <t>avverkningsanmälan</t>
        </is>
      </c>
      <c r="C522" t="inlineStr">
        <is>
          <t>Föryngringsavverkning</t>
        </is>
      </c>
      <c r="D522" s="1" t="n">
        <v>45118</v>
      </c>
      <c r="E522" s="1" t="n">
        <v>46223</v>
      </c>
      <c r="F522" t="inlineStr">
        <is>
          <t>DALARNAS LÄN</t>
        </is>
      </c>
      <c r="G522" t="inlineStr">
        <is>
          <t>MALUNG-SÄLEN</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70-2026</t>
        </is>
      </c>
      <c r="B523" t="inlineStr">
        <is>
          <t>avverkningsanmälan</t>
        </is>
      </c>
      <c r="C523" t="inlineStr">
        <is>
          <t>Föryngringsavverkning</t>
        </is>
      </c>
      <c r="D523" s="1" t="n">
        <v>46024</v>
      </c>
      <c r="E523" s="1" t="n">
        <v>46223</v>
      </c>
      <c r="F523" t="inlineStr">
        <is>
          <t>DALARNAS LÄN</t>
        </is>
      </c>
      <c r="G523" t="inlineStr">
        <is>
          <t>MALUNG-SÄLEN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17209-2025</t>
        </is>
      </c>
      <c r="B524" t="inlineStr">
        <is>
          <t>avverkningsanmälan</t>
        </is>
      </c>
      <c r="C524" t="inlineStr">
        <is>
          <t>Föryngringsavverkning</t>
        </is>
      </c>
      <c r="D524" s="1" t="n">
        <v>45756</v>
      </c>
      <c r="E524" s="1" t="n">
        <v>46223</v>
      </c>
      <c r="F524" t="inlineStr">
        <is>
          <t>DALARNAS LÄN</t>
        </is>
      </c>
      <c r="G524" t="inlineStr">
        <is>
          <t>MALUNG-SÄLEN</t>
        </is>
      </c>
      <c r="H524" t="inlineStr">
        <is>
          <t>Bergvik skog öst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45601-2023</t>
        </is>
      </c>
      <c r="B525" t="inlineStr">
        <is>
          <t>avverkningsanmälan</t>
        </is>
      </c>
      <c r="C525" t="inlineStr">
        <is>
          <t>Föryngringsavverkning</t>
        </is>
      </c>
      <c r="D525" s="1" t="n">
        <v>45194</v>
      </c>
      <c r="E525" s="1" t="n">
        <v>46223</v>
      </c>
      <c r="F525" t="inlineStr">
        <is>
          <t>DALARNAS LÄN</t>
        </is>
      </c>
      <c r="G525" t="inlineStr">
        <is>
          <t>MALUNG-SÄLEN</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1967-2025</t>
        </is>
      </c>
      <c r="B526" t="inlineStr">
        <is>
          <t>avverkningsanmälan</t>
        </is>
      </c>
      <c r="C526" t="inlineStr">
        <is>
          <t>Föryngringsavverkning</t>
        </is>
      </c>
      <c r="D526" s="1" t="n">
        <v>45672</v>
      </c>
      <c r="E526" s="1" t="n">
        <v>46223</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863-2026</t>
        </is>
      </c>
      <c r="B527" t="inlineStr">
        <is>
          <t>avverkningsanmälan</t>
        </is>
      </c>
      <c r="C527" t="inlineStr">
        <is>
          <t>Föryngringsavverkning</t>
        </is>
      </c>
      <c r="D527" s="1" t="n">
        <v>46030</v>
      </c>
      <c r="E527" s="1" t="n">
        <v>46223</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15738-2026</t>
        </is>
      </c>
      <c r="B528" t="inlineStr">
        <is>
          <t>avverkningsanmälan</t>
        </is>
      </c>
      <c r="C528" t="inlineStr">
        <is>
          <t>Föryngringsavverkning</t>
        </is>
      </c>
      <c r="D528" s="1" t="n">
        <v>46107</v>
      </c>
      <c r="E528" s="1" t="n">
        <v>46223</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537-2026</t>
        </is>
      </c>
      <c r="B529" t="inlineStr">
        <is>
          <t>avverkningsanmälan</t>
        </is>
      </c>
      <c r="C529" t="inlineStr">
        <is>
          <t>Föryngringsavverkning</t>
        </is>
      </c>
      <c r="D529" s="1" t="n">
        <v>46029</v>
      </c>
      <c r="E529" s="1" t="n">
        <v>46223</v>
      </c>
      <c r="F529" t="inlineStr">
        <is>
          <t>DALARNAS LÄN</t>
        </is>
      </c>
      <c r="G529" t="inlineStr">
        <is>
          <t>MALUNG-SÄLEN</t>
        </is>
      </c>
      <c r="H529" t="inlineStr">
        <is>
          <t>Allmännings- och besparingsskogar</t>
        </is>
      </c>
      <c r="I529" t="n">
        <v>53</v>
      </c>
      <c r="J529" t="n">
        <v>0</v>
      </c>
      <c r="K529" t="n">
        <v>0</v>
      </c>
      <c r="L529" t="n">
        <v>0</v>
      </c>
      <c r="M529" t="n">
        <v>0</v>
      </c>
      <c r="N529" t="n">
        <v>0</v>
      </c>
      <c r="O529" t="n">
        <v>0</v>
      </c>
      <c r="P529" t="n">
        <v>0</v>
      </c>
      <c r="Q529" t="n">
        <v>0</v>
      </c>
      <c r="R529" t="n">
        <v>0</v>
      </c>
      <c r="S529" t="n">
        <v>0</v>
      </c>
      <c r="T529" t="n">
        <v>0</v>
      </c>
      <c r="U529" s="2" t="inlineStr"/>
    </row>
    <row r="530" ht="15" customHeight="1">
      <c r="A530" t="inlineStr">
        <is>
          <t>A 1350-2026</t>
        </is>
      </c>
      <c r="B530" t="inlineStr">
        <is>
          <t>avverkningsanmälan</t>
        </is>
      </c>
      <c r="C530" t="inlineStr">
        <is>
          <t>Föryngringsavverkning</t>
        </is>
      </c>
      <c r="D530" s="1" t="n">
        <v>46031</v>
      </c>
      <c r="E530" s="1" t="n">
        <v>46223</v>
      </c>
      <c r="F530" t="inlineStr">
        <is>
          <t>DALARNAS LÄN</t>
        </is>
      </c>
      <c r="G530" t="inlineStr">
        <is>
          <t>MALUNG-SÄLEN</t>
        </is>
      </c>
      <c r="I530" t="n">
        <v>6.1</v>
      </c>
      <c r="J530" t="n">
        <v>0</v>
      </c>
      <c r="K530" t="n">
        <v>0</v>
      </c>
      <c r="L530" t="n">
        <v>0</v>
      </c>
      <c r="M530" t="n">
        <v>0</v>
      </c>
      <c r="N530" t="n">
        <v>0</v>
      </c>
      <c r="O530" t="n">
        <v>0</v>
      </c>
      <c r="P530" t="n">
        <v>0</v>
      </c>
      <c r="Q530" t="n">
        <v>0</v>
      </c>
      <c r="R530" t="n">
        <v>0</v>
      </c>
      <c r="S530" t="n">
        <v>0</v>
      </c>
      <c r="T530" t="n">
        <v>0</v>
      </c>
      <c r="U530" s="2" t="inlineStr"/>
    </row>
    <row r="531" ht="15" customHeight="1">
      <c r="A531" t="inlineStr">
        <is>
          <t>A 1742-2026</t>
        </is>
      </c>
      <c r="B531" t="inlineStr">
        <is>
          <t>avverkningsanmälan</t>
        </is>
      </c>
      <c r="C531" t="inlineStr">
        <is>
          <t>Föryngringsavverkning</t>
        </is>
      </c>
      <c r="D531" s="1" t="n">
        <v>46034</v>
      </c>
      <c r="E531" s="1" t="n">
        <v>46223</v>
      </c>
      <c r="F531" t="inlineStr">
        <is>
          <t>DALARNAS LÄN</t>
        </is>
      </c>
      <c r="G531" t="inlineStr">
        <is>
          <t>MALUNG-SÄLEN</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1716-2026</t>
        </is>
      </c>
      <c r="B532" t="inlineStr">
        <is>
          <t>avverkningsanmälan</t>
        </is>
      </c>
      <c r="C532" t="inlineStr">
        <is>
          <t>Föryngringsavverkning</t>
        </is>
      </c>
      <c r="D532" s="1" t="n">
        <v>46034</v>
      </c>
      <c r="E532" s="1" t="n">
        <v>46223</v>
      </c>
      <c r="F532" t="inlineStr">
        <is>
          <t>DALARNAS LÄN</t>
        </is>
      </c>
      <c r="G532" t="inlineStr">
        <is>
          <t>MALUNG-SÄLEN</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A 1681-2026</t>
        </is>
      </c>
      <c r="B533" t="inlineStr">
        <is>
          <t>avverkningsanmälan</t>
        </is>
      </c>
      <c r="C533" t="inlineStr">
        <is>
          <t>Föryngringsavverkning</t>
        </is>
      </c>
      <c r="D533" s="1" t="n">
        <v>46034</v>
      </c>
      <c r="E533" s="1" t="n">
        <v>46223</v>
      </c>
      <c r="F533" t="inlineStr">
        <is>
          <t>DALARNAS LÄN</t>
        </is>
      </c>
      <c r="G533" t="inlineStr">
        <is>
          <t>MALUNG-SÄLEN</t>
        </is>
      </c>
      <c r="I533" t="n">
        <v>7.1</v>
      </c>
      <c r="J533" t="n">
        <v>0</v>
      </c>
      <c r="K533" t="n">
        <v>0</v>
      </c>
      <c r="L533" t="n">
        <v>0</v>
      </c>
      <c r="M533" t="n">
        <v>0</v>
      </c>
      <c r="N533" t="n">
        <v>0</v>
      </c>
      <c r="O533" t="n">
        <v>0</v>
      </c>
      <c r="P533" t="n">
        <v>0</v>
      </c>
      <c r="Q533" t="n">
        <v>0</v>
      </c>
      <c r="R533" t="n">
        <v>0</v>
      </c>
      <c r="S533" t="n">
        <v>0</v>
      </c>
      <c r="T533" t="n">
        <v>0</v>
      </c>
      <c r="U533" s="2" t="inlineStr"/>
    </row>
    <row r="534" ht="15" customHeight="1">
      <c r="A534" t="inlineStr">
        <is>
          <t>A 1758-2026</t>
        </is>
      </c>
      <c r="B534" t="inlineStr">
        <is>
          <t>avverkningsanmälan</t>
        </is>
      </c>
      <c r="C534" t="inlineStr">
        <is>
          <t>Föryngringsavverkning</t>
        </is>
      </c>
      <c r="D534" s="1" t="n">
        <v>46034</v>
      </c>
      <c r="E534" s="1" t="n">
        <v>46223</v>
      </c>
      <c r="F534" t="inlineStr">
        <is>
          <t>DALARNAS LÄN</t>
        </is>
      </c>
      <c r="G534" t="inlineStr">
        <is>
          <t>MALUNG-SÄLEN</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1907-2026</t>
        </is>
      </c>
      <c r="B535" t="inlineStr">
        <is>
          <t>avverkningsanmälan</t>
        </is>
      </c>
      <c r="C535" t="inlineStr">
        <is>
          <t>Föryngringsavverkning</t>
        </is>
      </c>
      <c r="D535" s="1" t="n">
        <v>46035</v>
      </c>
      <c r="E535" s="1" t="n">
        <v>46223</v>
      </c>
      <c r="F535" t="inlineStr">
        <is>
          <t>DALARNAS LÄN</t>
        </is>
      </c>
      <c r="G535" t="inlineStr">
        <is>
          <t>MALUNG-SÄLEN</t>
        </is>
      </c>
      <c r="H535" t="inlineStr">
        <is>
          <t>Bergvik skog väst AB</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A 62793-2023</t>
        </is>
      </c>
      <c r="B536" t="inlineStr">
        <is>
          <t>avverkningsanmälan</t>
        </is>
      </c>
      <c r="C536" t="inlineStr">
        <is>
          <t>Föryngringsavverkning</t>
        </is>
      </c>
      <c r="D536" s="1" t="n">
        <v>45271</v>
      </c>
      <c r="E536" s="1" t="n">
        <v>46223</v>
      </c>
      <c r="F536" t="inlineStr">
        <is>
          <t>DALARNAS LÄN</t>
        </is>
      </c>
      <c r="G536" t="inlineStr">
        <is>
          <t>MALUNG-SÄLEN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2305-2026</t>
        </is>
      </c>
      <c r="B537" t="inlineStr">
        <is>
          <t>avverkningsanmälan</t>
        </is>
      </c>
      <c r="C537" t="inlineStr">
        <is>
          <t>Föryngringsavverkning</t>
        </is>
      </c>
      <c r="D537" s="1" t="n">
        <v>46036</v>
      </c>
      <c r="E537" s="1" t="n">
        <v>46223</v>
      </c>
      <c r="F537" t="inlineStr">
        <is>
          <t>DALARNAS LÄN</t>
        </is>
      </c>
      <c r="G537" t="inlineStr">
        <is>
          <t>MALUNG-SÄLEN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2267-2026</t>
        </is>
      </c>
      <c r="B538" t="inlineStr">
        <is>
          <t>avverkningsanmälan</t>
        </is>
      </c>
      <c r="C538" t="inlineStr">
        <is>
          <t>Föryngringsavverkning</t>
        </is>
      </c>
      <c r="D538" s="1" t="n">
        <v>46036</v>
      </c>
      <c r="E538" s="1" t="n">
        <v>46223</v>
      </c>
      <c r="F538" t="inlineStr">
        <is>
          <t>DALARNAS LÄN</t>
        </is>
      </c>
      <c r="G538" t="inlineStr">
        <is>
          <t>MALUNG-SÄLEN</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2148-2026</t>
        </is>
      </c>
      <c r="B539" t="inlineStr">
        <is>
          <t>avverkningsanmälan</t>
        </is>
      </c>
      <c r="C539" t="inlineStr">
        <is>
          <t>Föryngringsavverkning</t>
        </is>
      </c>
      <c r="D539" s="1" t="n">
        <v>46036</v>
      </c>
      <c r="E539" s="1" t="n">
        <v>46223</v>
      </c>
      <c r="F539" t="inlineStr">
        <is>
          <t>DALARNAS LÄN</t>
        </is>
      </c>
      <c r="G539" t="inlineStr">
        <is>
          <t>MALUNG-SÄLEN</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2297-2026</t>
        </is>
      </c>
      <c r="B540" t="inlineStr">
        <is>
          <t>avverkningsanmälan</t>
        </is>
      </c>
      <c r="C540" t="inlineStr">
        <is>
          <t>Föryngringsavverkning</t>
        </is>
      </c>
      <c r="D540" s="1" t="n">
        <v>46036</v>
      </c>
      <c r="E540" s="1" t="n">
        <v>46223</v>
      </c>
      <c r="F540" t="inlineStr">
        <is>
          <t>DALARNAS LÄN</t>
        </is>
      </c>
      <c r="G540" t="inlineStr">
        <is>
          <t>MALUNG-SÄLEN</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2141-2026</t>
        </is>
      </c>
      <c r="B541" t="inlineStr">
        <is>
          <t>avverkningsanmälan</t>
        </is>
      </c>
      <c r="C541" t="inlineStr">
        <is>
          <t>Föryngringsavverkning</t>
        </is>
      </c>
      <c r="D541" s="1" t="n">
        <v>46036</v>
      </c>
      <c r="E541" s="1" t="n">
        <v>46223</v>
      </c>
      <c r="F541" t="inlineStr">
        <is>
          <t>DALARNAS LÄN</t>
        </is>
      </c>
      <c r="G541" t="inlineStr">
        <is>
          <t>MALUNG-SÄLEN</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2142-2026</t>
        </is>
      </c>
      <c r="B542" t="inlineStr">
        <is>
          <t>avverkningsanmälan</t>
        </is>
      </c>
      <c r="C542" t="inlineStr">
        <is>
          <t>Föryngringsavverkning</t>
        </is>
      </c>
      <c r="D542" s="1" t="n">
        <v>46036</v>
      </c>
      <c r="E542" s="1" t="n">
        <v>46223</v>
      </c>
      <c r="F542" t="inlineStr">
        <is>
          <t>DALARNAS LÄN</t>
        </is>
      </c>
      <c r="G542" t="inlineStr">
        <is>
          <t>MALUNG-SÄLEN</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25168-2024</t>
        </is>
      </c>
      <c r="B543" t="inlineStr">
        <is>
          <t>avverkningsanmälan</t>
        </is>
      </c>
      <c r="C543" t="inlineStr">
        <is>
          <t>Föryngringsavverkning</t>
        </is>
      </c>
      <c r="D543" s="1" t="n">
        <v>45462</v>
      </c>
      <c r="E543" s="1" t="n">
        <v>46223</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2131-2026</t>
        </is>
      </c>
      <c r="B544" t="inlineStr">
        <is>
          <t>avverkningsanmälan</t>
        </is>
      </c>
      <c r="C544" t="inlineStr">
        <is>
          <t>Föryngringsavverkning</t>
        </is>
      </c>
      <c r="D544" s="1" t="n">
        <v>46036</v>
      </c>
      <c r="E544" s="1" t="n">
        <v>46223</v>
      </c>
      <c r="F544" t="inlineStr">
        <is>
          <t>DALARNAS LÄN</t>
        </is>
      </c>
      <c r="G544" t="inlineStr">
        <is>
          <t>MALUNG-SÄLEN</t>
        </is>
      </c>
      <c r="I544" t="n">
        <v>5.4</v>
      </c>
      <c r="J544" t="n">
        <v>0</v>
      </c>
      <c r="K544" t="n">
        <v>0</v>
      </c>
      <c r="L544" t="n">
        <v>0</v>
      </c>
      <c r="M544" t="n">
        <v>0</v>
      </c>
      <c r="N544" t="n">
        <v>0</v>
      </c>
      <c r="O544" t="n">
        <v>0</v>
      </c>
      <c r="P544" t="n">
        <v>0</v>
      </c>
      <c r="Q544" t="n">
        <v>0</v>
      </c>
      <c r="R544" t="n">
        <v>0</v>
      </c>
      <c r="S544" t="n">
        <v>0</v>
      </c>
      <c r="T544" t="n">
        <v>0</v>
      </c>
      <c r="U544" s="2" t="inlineStr"/>
    </row>
    <row r="545" ht="15" customHeight="1">
      <c r="A545" t="inlineStr">
        <is>
          <t>A 2269-2026</t>
        </is>
      </c>
      <c r="B545" t="inlineStr">
        <is>
          <t>avverkningsanmälan</t>
        </is>
      </c>
      <c r="C545" t="inlineStr">
        <is>
          <t>Föryngringsavverkning</t>
        </is>
      </c>
      <c r="D545" s="1" t="n">
        <v>46036</v>
      </c>
      <c r="E545" s="1" t="n">
        <v>46223</v>
      </c>
      <c r="F545" t="inlineStr">
        <is>
          <t>DALARNAS LÄN</t>
        </is>
      </c>
      <c r="G545" t="inlineStr">
        <is>
          <t>MALUNG-SÄLEN</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35261-2024</t>
        </is>
      </c>
      <c r="B546" t="inlineStr">
        <is>
          <t>avverkningsanmälan</t>
        </is>
      </c>
      <c r="C546" t="inlineStr">
        <is>
          <t>Föryngringsavverkning</t>
        </is>
      </c>
      <c r="D546" s="1" t="n">
        <v>45530</v>
      </c>
      <c r="E546" s="1" t="n">
        <v>46223</v>
      </c>
      <c r="F546" t="inlineStr">
        <is>
          <t>DALARNAS LÄN</t>
        </is>
      </c>
      <c r="G546" t="inlineStr">
        <is>
          <t>MALUNG-SÄLEN</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545-2026</t>
        </is>
      </c>
      <c r="B547" t="inlineStr">
        <is>
          <t>avverkningsanmälan</t>
        </is>
      </c>
      <c r="C547" t="inlineStr">
        <is>
          <t>Föryngringsavverkning</t>
        </is>
      </c>
      <c r="D547" s="1" t="n">
        <v>46029</v>
      </c>
      <c r="E547" s="1" t="n">
        <v>46223</v>
      </c>
      <c r="F547" t="inlineStr">
        <is>
          <t>DALARNAS LÄN</t>
        </is>
      </c>
      <c r="G547" t="inlineStr">
        <is>
          <t>MALUNG-SÄLEN</t>
        </is>
      </c>
      <c r="H547" t="inlineStr">
        <is>
          <t>Allmännings- och besparingsskogar</t>
        </is>
      </c>
      <c r="I547" t="n">
        <v>49.4</v>
      </c>
      <c r="J547" t="n">
        <v>0</v>
      </c>
      <c r="K547" t="n">
        <v>0</v>
      </c>
      <c r="L547" t="n">
        <v>0</v>
      </c>
      <c r="M547" t="n">
        <v>0</v>
      </c>
      <c r="N547" t="n">
        <v>0</v>
      </c>
      <c r="O547" t="n">
        <v>0</v>
      </c>
      <c r="P547" t="n">
        <v>0</v>
      </c>
      <c r="Q547" t="n">
        <v>0</v>
      </c>
      <c r="R547" t="n">
        <v>0</v>
      </c>
      <c r="S547" t="n">
        <v>0</v>
      </c>
      <c r="T547" t="n">
        <v>0</v>
      </c>
      <c r="U547" s="2" t="inlineStr"/>
    </row>
    <row r="548" ht="15" customHeight="1">
      <c r="A548" t="inlineStr">
        <is>
          <t>A 52238-2024</t>
        </is>
      </c>
      <c r="B548" t="inlineStr">
        <is>
          <t>avverkningsanmälan</t>
        </is>
      </c>
      <c r="C548" t="inlineStr">
        <is>
          <t>Föryngringsavverkning</t>
        </is>
      </c>
      <c r="D548" s="1" t="n">
        <v>45608</v>
      </c>
      <c r="E548" s="1" t="n">
        <v>46223</v>
      </c>
      <c r="F548" t="inlineStr">
        <is>
          <t>DALARNAS LÄN</t>
        </is>
      </c>
      <c r="G548" t="inlineStr">
        <is>
          <t>MALUNG-SÄLEN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37186-2024</t>
        </is>
      </c>
      <c r="B549" t="inlineStr">
        <is>
          <t>avverkningsanmälan</t>
        </is>
      </c>
      <c r="C549" t="inlineStr">
        <is>
          <t>Föryngringsavverkning</t>
        </is>
      </c>
      <c r="D549" s="1" t="n">
        <v>45539</v>
      </c>
      <c r="E549" s="1" t="n">
        <v>46223</v>
      </c>
      <c r="F549" t="inlineStr">
        <is>
          <t>DALARNAS LÄN</t>
        </is>
      </c>
      <c r="G549" t="inlineStr">
        <is>
          <t>MALUNG-SÄLEN</t>
        </is>
      </c>
      <c r="H549" t="inlineStr">
        <is>
          <t>Kommuner</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1694-2023</t>
        </is>
      </c>
      <c r="B550" t="inlineStr">
        <is>
          <t>avverkningsanmälan</t>
        </is>
      </c>
      <c r="C550" t="inlineStr">
        <is>
          <t>Föryngringsavverkning</t>
        </is>
      </c>
      <c r="D550" s="1" t="n">
        <v>44938</v>
      </c>
      <c r="E550" s="1" t="n">
        <v>46223</v>
      </c>
      <c r="F550" t="inlineStr">
        <is>
          <t>DALARNAS LÄN</t>
        </is>
      </c>
      <c r="G550" t="inlineStr">
        <is>
          <t>MALUNG-SÄLEN</t>
        </is>
      </c>
      <c r="I550" t="n">
        <v>7.8</v>
      </c>
      <c r="J550" t="n">
        <v>0</v>
      </c>
      <c r="K550" t="n">
        <v>0</v>
      </c>
      <c r="L550" t="n">
        <v>0</v>
      </c>
      <c r="M550" t="n">
        <v>0</v>
      </c>
      <c r="N550" t="n">
        <v>0</v>
      </c>
      <c r="O550" t="n">
        <v>0</v>
      </c>
      <c r="P550" t="n">
        <v>0</v>
      </c>
      <c r="Q550" t="n">
        <v>0</v>
      </c>
      <c r="R550" t="n">
        <v>0</v>
      </c>
      <c r="S550" t="n">
        <v>0</v>
      </c>
      <c r="T550" t="n">
        <v>0</v>
      </c>
      <c r="U550" s="2" t="inlineStr"/>
    </row>
    <row r="551" ht="15" customHeight="1">
      <c r="A551" t="inlineStr">
        <is>
          <t>A 36024-2023</t>
        </is>
      </c>
      <c r="B551" t="inlineStr">
        <is>
          <t>avverkningsanmälan</t>
        </is>
      </c>
      <c r="C551" t="inlineStr">
        <is>
          <t>Föryngringsavverkning</t>
        </is>
      </c>
      <c r="D551" s="1" t="n">
        <v>45149</v>
      </c>
      <c r="E551" s="1" t="n">
        <v>46223</v>
      </c>
      <c r="F551" t="inlineStr">
        <is>
          <t>DALARNAS LÄN</t>
        </is>
      </c>
      <c r="G551" t="inlineStr">
        <is>
          <t>MALUNG-SÄLEN</t>
        </is>
      </c>
      <c r="H551" t="inlineStr">
        <is>
          <t>Bergvik skog öst AB</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17658-2026</t>
        </is>
      </c>
      <c r="B552" t="inlineStr">
        <is>
          <t>avverkningsanmälan</t>
        </is>
      </c>
      <c r="C552" t="inlineStr">
        <is>
          <t>Föryngringsavverkning</t>
        </is>
      </c>
      <c r="D552" s="1" t="n">
        <v>46121</v>
      </c>
      <c r="E552" s="1" t="n">
        <v>46223</v>
      </c>
      <c r="F552" t="inlineStr">
        <is>
          <t>DALARNAS LÄN</t>
        </is>
      </c>
      <c r="G552" t="inlineStr">
        <is>
          <t>MALUNG-SÄLEN</t>
        </is>
      </c>
      <c r="H552" t="inlineStr">
        <is>
          <t>Bergvik skog öst AB</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17615-2026</t>
        </is>
      </c>
      <c r="B553" t="inlineStr">
        <is>
          <t>avverkningsanmälan</t>
        </is>
      </c>
      <c r="C553" t="inlineStr">
        <is>
          <t>Föryngringsavverkning</t>
        </is>
      </c>
      <c r="D553" s="1" t="n">
        <v>46121</v>
      </c>
      <c r="E553" s="1" t="n">
        <v>46223</v>
      </c>
      <c r="F553" t="inlineStr">
        <is>
          <t>DALARNAS LÄN</t>
        </is>
      </c>
      <c r="G553" t="inlineStr">
        <is>
          <t>MALUNG-SÄLEN</t>
        </is>
      </c>
      <c r="H553" t="inlineStr">
        <is>
          <t>Bergvik skog öst AB</t>
        </is>
      </c>
      <c r="I553" t="n">
        <v>19.6</v>
      </c>
      <c r="J553" t="n">
        <v>0</v>
      </c>
      <c r="K553" t="n">
        <v>0</v>
      </c>
      <c r="L553" t="n">
        <v>0</v>
      </c>
      <c r="M553" t="n">
        <v>0</v>
      </c>
      <c r="N553" t="n">
        <v>0</v>
      </c>
      <c r="O553" t="n">
        <v>0</v>
      </c>
      <c r="P553" t="n">
        <v>0</v>
      </c>
      <c r="Q553" t="n">
        <v>0</v>
      </c>
      <c r="R553" t="n">
        <v>0</v>
      </c>
      <c r="S553" t="n">
        <v>0</v>
      </c>
      <c r="T553" t="n">
        <v>0</v>
      </c>
      <c r="U553" s="2" t="inlineStr"/>
    </row>
    <row r="554" ht="15" customHeight="1">
      <c r="A554" t="inlineStr">
        <is>
          <t>A 52418-2023</t>
        </is>
      </c>
      <c r="B554" t="inlineStr">
        <is>
          <t>avverkningsanmälan</t>
        </is>
      </c>
      <c r="C554" t="inlineStr">
        <is>
          <t>Föryngringsavverkning</t>
        </is>
      </c>
      <c r="D554" s="1" t="n">
        <v>45225</v>
      </c>
      <c r="E554" s="1" t="n">
        <v>46223</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54842-2023</t>
        </is>
      </c>
      <c r="B555" t="inlineStr">
        <is>
          <t>avverkningsanmälan</t>
        </is>
      </c>
      <c r="C555" t="inlineStr">
        <is>
          <t>Föryngringsavverkning</t>
        </is>
      </c>
      <c r="D555" s="1" t="n">
        <v>45236</v>
      </c>
      <c r="E555" s="1" t="n">
        <v>46223</v>
      </c>
      <c r="F555" t="inlineStr">
        <is>
          <t>DALARNAS LÄN</t>
        </is>
      </c>
      <c r="G555" t="inlineStr">
        <is>
          <t>MALUNG-SÄLEN</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18585-2026</t>
        </is>
      </c>
      <c r="B556" t="inlineStr">
        <is>
          <t>avverkningsanmälan</t>
        </is>
      </c>
      <c r="C556" t="inlineStr">
        <is>
          <t>Föryngringsavverkning</t>
        </is>
      </c>
      <c r="D556" s="1" t="n">
        <v>46127</v>
      </c>
      <c r="E556" s="1" t="n">
        <v>46223</v>
      </c>
      <c r="F556" t="inlineStr">
        <is>
          <t>DALARNAS LÄN</t>
        </is>
      </c>
      <c r="G556" t="inlineStr">
        <is>
          <t>MALUNG-SÄLEN</t>
        </is>
      </c>
      <c r="I556" t="n">
        <v>9.699999999999999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67310-2021</t>
        </is>
      </c>
      <c r="B557" t="inlineStr">
        <is>
          <t>avverkningsanmälan</t>
        </is>
      </c>
      <c r="C557" t="inlineStr">
        <is>
          <t>Föryngringsavverkning</t>
        </is>
      </c>
      <c r="D557" s="1" t="n">
        <v>44523</v>
      </c>
      <c r="E557" s="1" t="n">
        <v>46223</v>
      </c>
      <c r="F557" t="inlineStr">
        <is>
          <t>DALARNAS LÄN</t>
        </is>
      </c>
      <c r="G557" t="inlineStr">
        <is>
          <t>MALUNG-SÄLEN</t>
        </is>
      </c>
      <c r="H557" t="inlineStr">
        <is>
          <t>Kyrkan</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53146-2023</t>
        </is>
      </c>
      <c r="B558" t="inlineStr">
        <is>
          <t>avverkningsanmälan</t>
        </is>
      </c>
      <c r="C558" t="inlineStr">
        <is>
          <t>Föryngringsavverkning</t>
        </is>
      </c>
      <c r="D558" s="1" t="n">
        <v>45229</v>
      </c>
      <c r="E558" s="1" t="n">
        <v>46223</v>
      </c>
      <c r="F558" t="inlineStr">
        <is>
          <t>DALARNAS LÄN</t>
        </is>
      </c>
      <c r="G558" t="inlineStr">
        <is>
          <t>MALUNG-SÄLEN</t>
        </is>
      </c>
      <c r="H558" t="inlineStr">
        <is>
          <t>Övriga statliga verk och myndigheter</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19275-2024</t>
        </is>
      </c>
      <c r="B559" t="inlineStr">
        <is>
          <t>avverkningsanmälan</t>
        </is>
      </c>
      <c r="C559" t="inlineStr">
        <is>
          <t>Avverkning för annat ändamål</t>
        </is>
      </c>
      <c r="D559" s="1" t="n">
        <v>45428</v>
      </c>
      <c r="E559" s="1" t="n">
        <v>46223</v>
      </c>
      <c r="F559" t="inlineStr">
        <is>
          <t>DALARNAS LÄN</t>
        </is>
      </c>
      <c r="G559" t="inlineStr">
        <is>
          <t>MALUNG-SÄLEN</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18321-2026</t>
        </is>
      </c>
      <c r="B560" t="inlineStr">
        <is>
          <t>avverkningsanmälan</t>
        </is>
      </c>
      <c r="C560" t="inlineStr">
        <is>
          <t>Föryngringsavverkning</t>
        </is>
      </c>
      <c r="D560" s="1" t="n">
        <v>46126</v>
      </c>
      <c r="E560" s="1" t="n">
        <v>46223</v>
      </c>
      <c r="F560" t="inlineStr">
        <is>
          <t>DALARNAS LÄN</t>
        </is>
      </c>
      <c r="G560" t="inlineStr">
        <is>
          <t>MALUNG-SÄLEN</t>
        </is>
      </c>
      <c r="I560" t="n">
        <v>7.2</v>
      </c>
      <c r="J560" t="n">
        <v>0</v>
      </c>
      <c r="K560" t="n">
        <v>0</v>
      </c>
      <c r="L560" t="n">
        <v>0</v>
      </c>
      <c r="M560" t="n">
        <v>0</v>
      </c>
      <c r="N560" t="n">
        <v>0</v>
      </c>
      <c r="O560" t="n">
        <v>0</v>
      </c>
      <c r="P560" t="n">
        <v>0</v>
      </c>
      <c r="Q560" t="n">
        <v>0</v>
      </c>
      <c r="R560" t="n">
        <v>0</v>
      </c>
      <c r="S560" t="n">
        <v>0</v>
      </c>
      <c r="T560" t="n">
        <v>0</v>
      </c>
      <c r="U560" s="2" t="inlineStr"/>
    </row>
    <row r="561" ht="15" customHeight="1">
      <c r="A561" t="inlineStr">
        <is>
          <t>A 24132-2023</t>
        </is>
      </c>
      <c r="B561" t="inlineStr">
        <is>
          <t>avverkningsanmälan</t>
        </is>
      </c>
      <c r="C561" t="inlineStr">
        <is>
          <t>Föryngringsavverkning</t>
        </is>
      </c>
      <c r="D561" s="1" t="n">
        <v>45079</v>
      </c>
      <c r="E561" s="1" t="n">
        <v>46223</v>
      </c>
      <c r="F561" t="inlineStr">
        <is>
          <t>DALARNAS LÄN</t>
        </is>
      </c>
      <c r="G561" t="inlineStr">
        <is>
          <t>MALUNG-SÄLEN</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18349-2026</t>
        </is>
      </c>
      <c r="B562" t="inlineStr">
        <is>
          <t>avverkningsanmälan</t>
        </is>
      </c>
      <c r="C562" t="inlineStr">
        <is>
          <t>Föryngringsavverkning</t>
        </is>
      </c>
      <c r="D562" s="1" t="n">
        <v>46126</v>
      </c>
      <c r="E562" s="1" t="n">
        <v>46223</v>
      </c>
      <c r="F562" t="inlineStr">
        <is>
          <t>DALARNAS LÄN</t>
        </is>
      </c>
      <c r="G562" t="inlineStr">
        <is>
          <t>MALUNG-SÄLEN</t>
        </is>
      </c>
      <c r="H562" t="inlineStr">
        <is>
          <t>Bergvik skog öst AB</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18610-2026</t>
        </is>
      </c>
      <c r="B563" t="inlineStr">
        <is>
          <t>avverkningsanmälan</t>
        </is>
      </c>
      <c r="C563" t="inlineStr">
        <is>
          <t>Föryngringsavverkning</t>
        </is>
      </c>
      <c r="D563" s="1" t="n">
        <v>46127</v>
      </c>
      <c r="E563" s="1" t="n">
        <v>46223</v>
      </c>
      <c r="F563" t="inlineStr">
        <is>
          <t>DALARNAS LÄN</t>
        </is>
      </c>
      <c r="G563" t="inlineStr">
        <is>
          <t>MALUNG-SÄLEN</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18779-2026</t>
        </is>
      </c>
      <c r="B564" t="inlineStr">
        <is>
          <t>avverkningsanmälan</t>
        </is>
      </c>
      <c r="C564" t="inlineStr">
        <is>
          <t>Föryngringsavverkning</t>
        </is>
      </c>
      <c r="D564" s="1" t="n">
        <v>46128</v>
      </c>
      <c r="E564" s="1" t="n">
        <v>46223</v>
      </c>
      <c r="F564" t="inlineStr">
        <is>
          <t>DALARNAS LÄN</t>
        </is>
      </c>
      <c r="G564" t="inlineStr">
        <is>
          <t>MALUNG-SÄLEN</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19114-2026</t>
        </is>
      </c>
      <c r="B565" t="inlineStr">
        <is>
          <t>avverkningsanmälan</t>
        </is>
      </c>
      <c r="C565" t="inlineStr">
        <is>
          <t>Föryngringsavverkning</t>
        </is>
      </c>
      <c r="D565" s="1" t="n">
        <v>46132</v>
      </c>
      <c r="E565" s="1" t="n">
        <v>46223</v>
      </c>
      <c r="F565" t="inlineStr">
        <is>
          <t>DALARNAS LÄN</t>
        </is>
      </c>
      <c r="G565" t="inlineStr">
        <is>
          <t>MALUNG-SÄLEN</t>
        </is>
      </c>
      <c r="H565" t="inlineStr">
        <is>
          <t>Bergvik skog väst AB</t>
        </is>
      </c>
      <c r="I565" t="n">
        <v>4.9</v>
      </c>
      <c r="J565" t="n">
        <v>0</v>
      </c>
      <c r="K565" t="n">
        <v>0</v>
      </c>
      <c r="L565" t="n">
        <v>0</v>
      </c>
      <c r="M565" t="n">
        <v>0</v>
      </c>
      <c r="N565" t="n">
        <v>0</v>
      </c>
      <c r="O565" t="n">
        <v>0</v>
      </c>
      <c r="P565" t="n">
        <v>0</v>
      </c>
      <c r="Q565" t="n">
        <v>0</v>
      </c>
      <c r="R565" t="n">
        <v>0</v>
      </c>
      <c r="S565" t="n">
        <v>0</v>
      </c>
      <c r="T565" t="n">
        <v>0</v>
      </c>
      <c r="U565" s="2" t="inlineStr"/>
    </row>
    <row r="566" ht="15" customHeight="1">
      <c r="A566" t="inlineStr">
        <is>
          <t>A 19113-2026</t>
        </is>
      </c>
      <c r="B566" t="inlineStr">
        <is>
          <t>avverkningsanmälan</t>
        </is>
      </c>
      <c r="C566" t="inlineStr">
        <is>
          <t>Föryngringsavverkning</t>
        </is>
      </c>
      <c r="D566" s="1" t="n">
        <v>46132</v>
      </c>
      <c r="E566" s="1" t="n">
        <v>46223</v>
      </c>
      <c r="F566" t="inlineStr">
        <is>
          <t>DALARNAS LÄN</t>
        </is>
      </c>
      <c r="G566" t="inlineStr">
        <is>
          <t>MALUNG-SÄLEN</t>
        </is>
      </c>
      <c r="H566" t="inlineStr">
        <is>
          <t>Bergvik skog väst AB</t>
        </is>
      </c>
      <c r="I566" t="n">
        <v>8.300000000000001</v>
      </c>
      <c r="J566" t="n">
        <v>0</v>
      </c>
      <c r="K566" t="n">
        <v>0</v>
      </c>
      <c r="L566" t="n">
        <v>0</v>
      </c>
      <c r="M566" t="n">
        <v>0</v>
      </c>
      <c r="N566" t="n">
        <v>0</v>
      </c>
      <c r="O566" t="n">
        <v>0</v>
      </c>
      <c r="P566" t="n">
        <v>0</v>
      </c>
      <c r="Q566" t="n">
        <v>0</v>
      </c>
      <c r="R566" t="n">
        <v>0</v>
      </c>
      <c r="S566" t="n">
        <v>0</v>
      </c>
      <c r="T566" t="n">
        <v>0</v>
      </c>
      <c r="U566" s="2" t="inlineStr"/>
    </row>
    <row r="567" ht="15" customHeight="1">
      <c r="A567" t="inlineStr">
        <is>
          <t>A 18663-2026</t>
        </is>
      </c>
      <c r="B567" t="inlineStr">
        <is>
          <t>avverkningsanmälan</t>
        </is>
      </c>
      <c r="C567" t="inlineStr">
        <is>
          <t>Föryngringsavverkning</t>
        </is>
      </c>
      <c r="D567" s="1" t="n">
        <v>46128</v>
      </c>
      <c r="E567" s="1" t="n">
        <v>46223</v>
      </c>
      <c r="F567" t="inlineStr">
        <is>
          <t>DALARNAS LÄN</t>
        </is>
      </c>
      <c r="G567" t="inlineStr">
        <is>
          <t>MALUNG-SÄLEN</t>
        </is>
      </c>
      <c r="I567" t="n">
        <v>12.5</v>
      </c>
      <c r="J567" t="n">
        <v>0</v>
      </c>
      <c r="K567" t="n">
        <v>0</v>
      </c>
      <c r="L567" t="n">
        <v>0</v>
      </c>
      <c r="M567" t="n">
        <v>0</v>
      </c>
      <c r="N567" t="n">
        <v>0</v>
      </c>
      <c r="O567" t="n">
        <v>0</v>
      </c>
      <c r="P567" t="n">
        <v>0</v>
      </c>
      <c r="Q567" t="n">
        <v>0</v>
      </c>
      <c r="R567" t="n">
        <v>0</v>
      </c>
      <c r="S567" t="n">
        <v>0</v>
      </c>
      <c r="T567" t="n">
        <v>0</v>
      </c>
      <c r="U567" s="2" t="inlineStr"/>
    </row>
    <row r="568" ht="15" customHeight="1">
      <c r="A568" t="inlineStr">
        <is>
          <t>A 19440-2026</t>
        </is>
      </c>
      <c r="B568" t="inlineStr">
        <is>
          <t>avverkningsanmälan</t>
        </is>
      </c>
      <c r="C568" t="inlineStr">
        <is>
          <t>Föryngringsavverkning</t>
        </is>
      </c>
      <c r="D568" s="1" t="n">
        <v>46133</v>
      </c>
      <c r="E568" s="1" t="n">
        <v>46223</v>
      </c>
      <c r="F568" t="inlineStr">
        <is>
          <t>DALARNAS LÄN</t>
        </is>
      </c>
      <c r="G568" t="inlineStr">
        <is>
          <t>MALUNG-SÄLEN</t>
        </is>
      </c>
      <c r="H568" t="inlineStr">
        <is>
          <t>Bergvik skog öst AB</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19662-2026</t>
        </is>
      </c>
      <c r="B569" t="inlineStr">
        <is>
          <t>avverkningsanmälan</t>
        </is>
      </c>
      <c r="C569" t="inlineStr">
        <is>
          <t>Föryngringsavverkning</t>
        </is>
      </c>
      <c r="D569" s="1" t="n">
        <v>46134</v>
      </c>
      <c r="E569" s="1" t="n">
        <v>46223</v>
      </c>
      <c r="F569" t="inlineStr">
        <is>
          <t>DALARNAS LÄN</t>
        </is>
      </c>
      <c r="G569" t="inlineStr">
        <is>
          <t>MALUNG-SÄLEN</t>
        </is>
      </c>
      <c r="H569" t="inlineStr">
        <is>
          <t>Bergvik skog öst AB</t>
        </is>
      </c>
      <c r="I569" t="n">
        <v>42.9</v>
      </c>
      <c r="J569" t="n">
        <v>0</v>
      </c>
      <c r="K569" t="n">
        <v>0</v>
      </c>
      <c r="L569" t="n">
        <v>0</v>
      </c>
      <c r="M569" t="n">
        <v>0</v>
      </c>
      <c r="N569" t="n">
        <v>0</v>
      </c>
      <c r="O569" t="n">
        <v>0</v>
      </c>
      <c r="P569" t="n">
        <v>0</v>
      </c>
      <c r="Q569" t="n">
        <v>0</v>
      </c>
      <c r="R569" t="n">
        <v>0</v>
      </c>
      <c r="S569" t="n">
        <v>0</v>
      </c>
      <c r="T569" t="n">
        <v>0</v>
      </c>
      <c r="U569" s="2" t="inlineStr"/>
    </row>
    <row r="570" ht="15" customHeight="1">
      <c r="A570" t="inlineStr">
        <is>
          <t>A 6106-2022</t>
        </is>
      </c>
      <c r="B570" t="inlineStr">
        <is>
          <t>avverkningsanmälan</t>
        </is>
      </c>
      <c r="C570" t="inlineStr">
        <is>
          <t>Föryngringsavverkning</t>
        </is>
      </c>
      <c r="D570" s="1" t="n">
        <v>44599</v>
      </c>
      <c r="E570" s="1" t="n">
        <v>46223</v>
      </c>
      <c r="F570" t="inlineStr">
        <is>
          <t>DALARNAS LÄN</t>
        </is>
      </c>
      <c r="G570" t="inlineStr">
        <is>
          <t>MALUNG-SÄLEN</t>
        </is>
      </c>
      <c r="I570" t="n">
        <v>9</v>
      </c>
      <c r="J570" t="n">
        <v>0</v>
      </c>
      <c r="K570" t="n">
        <v>0</v>
      </c>
      <c r="L570" t="n">
        <v>0</v>
      </c>
      <c r="M570" t="n">
        <v>0</v>
      </c>
      <c r="N570" t="n">
        <v>0</v>
      </c>
      <c r="O570" t="n">
        <v>0</v>
      </c>
      <c r="P570" t="n">
        <v>0</v>
      </c>
      <c r="Q570" t="n">
        <v>0</v>
      </c>
      <c r="R570" t="n">
        <v>0</v>
      </c>
      <c r="S570" t="n">
        <v>0</v>
      </c>
      <c r="T570" t="n">
        <v>0</v>
      </c>
      <c r="U570" s="2" t="inlineStr"/>
    </row>
    <row r="571" ht="15" customHeight="1">
      <c r="A571" t="inlineStr">
        <is>
          <t>A 8823-2024</t>
        </is>
      </c>
      <c r="B571" t="inlineStr">
        <is>
          <t>avverkningsanmälan</t>
        </is>
      </c>
      <c r="C571" t="inlineStr">
        <is>
          <t>Avverkning för annat ändamål</t>
        </is>
      </c>
      <c r="D571" s="1" t="n">
        <v>45355</v>
      </c>
      <c r="E571" s="1" t="n">
        <v>46223</v>
      </c>
      <c r="F571" t="inlineStr">
        <is>
          <t>DALARNAS LÄN</t>
        </is>
      </c>
      <c r="G571" t="inlineStr">
        <is>
          <t>MALUNG-SÄLEN</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8825-2024</t>
        </is>
      </c>
      <c r="B572" t="inlineStr">
        <is>
          <t>avverkningsanmälan</t>
        </is>
      </c>
      <c r="C572" t="inlineStr">
        <is>
          <t>Avverkning för annat ändamål</t>
        </is>
      </c>
      <c r="D572" s="1" t="n">
        <v>45355</v>
      </c>
      <c r="E572" s="1" t="n">
        <v>46223</v>
      </c>
      <c r="F572" t="inlineStr">
        <is>
          <t>DALARNAS LÄN</t>
        </is>
      </c>
      <c r="G572" t="inlineStr">
        <is>
          <t>MALUNG-SÄLEN</t>
        </is>
      </c>
      <c r="I572" t="n">
        <v>0.1</v>
      </c>
      <c r="J572" t="n">
        <v>0</v>
      </c>
      <c r="K572" t="n">
        <v>0</v>
      </c>
      <c r="L572" t="n">
        <v>0</v>
      </c>
      <c r="M572" t="n">
        <v>0</v>
      </c>
      <c r="N572" t="n">
        <v>0</v>
      </c>
      <c r="O572" t="n">
        <v>0</v>
      </c>
      <c r="P572" t="n">
        <v>0</v>
      </c>
      <c r="Q572" t="n">
        <v>0</v>
      </c>
      <c r="R572" t="n">
        <v>0</v>
      </c>
      <c r="S572" t="n">
        <v>0</v>
      </c>
      <c r="T572" t="n">
        <v>0</v>
      </c>
      <c r="U572" s="2" t="inlineStr"/>
    </row>
    <row r="573" ht="15" customHeight="1">
      <c r="A573" t="inlineStr">
        <is>
          <t>A 38977-2024</t>
        </is>
      </c>
      <c r="B573" t="inlineStr">
        <is>
          <t>avverkningsanmälan</t>
        </is>
      </c>
      <c r="C573" t="inlineStr">
        <is>
          <t>Föryngringsavverkning</t>
        </is>
      </c>
      <c r="D573" s="1" t="n">
        <v>45548</v>
      </c>
      <c r="E573" s="1" t="n">
        <v>46223</v>
      </c>
      <c r="F573" t="inlineStr">
        <is>
          <t>DALARNAS LÄN</t>
        </is>
      </c>
      <c r="G573" t="inlineStr">
        <is>
          <t>MALUNG-SÄLEN</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55058-2024</t>
        </is>
      </c>
      <c r="B574" t="inlineStr">
        <is>
          <t>avverkningsanmälan</t>
        </is>
      </c>
      <c r="C574" t="inlineStr">
        <is>
          <t>Föryngringsavverkning</t>
        </is>
      </c>
      <c r="D574" s="1" t="n">
        <v>45621</v>
      </c>
      <c r="E574" s="1" t="n">
        <v>46223</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32930-2024</t>
        </is>
      </c>
      <c r="B575" t="inlineStr">
        <is>
          <t>avverkningsanmälan</t>
        </is>
      </c>
      <c r="C575" t="inlineStr">
        <is>
          <t>Föryngringsavverkning</t>
        </is>
      </c>
      <c r="D575" s="1" t="n">
        <v>45517</v>
      </c>
      <c r="E575" s="1" t="n">
        <v>46223</v>
      </c>
      <c r="F575" t="inlineStr">
        <is>
          <t>DALARNAS LÄN</t>
        </is>
      </c>
      <c r="G575" t="inlineStr">
        <is>
          <t>MALUNG-SÄLEN</t>
        </is>
      </c>
      <c r="I575" t="n">
        <v>9.4</v>
      </c>
      <c r="J575" t="n">
        <v>0</v>
      </c>
      <c r="K575" t="n">
        <v>0</v>
      </c>
      <c r="L575" t="n">
        <v>0</v>
      </c>
      <c r="M575" t="n">
        <v>0</v>
      </c>
      <c r="N575" t="n">
        <v>0</v>
      </c>
      <c r="O575" t="n">
        <v>0</v>
      </c>
      <c r="P575" t="n">
        <v>0</v>
      </c>
      <c r="Q575" t="n">
        <v>0</v>
      </c>
      <c r="R575" t="n">
        <v>0</v>
      </c>
      <c r="S575" t="n">
        <v>0</v>
      </c>
      <c r="T575" t="n">
        <v>0</v>
      </c>
      <c r="U575" s="2" t="inlineStr"/>
    </row>
    <row r="576" ht="15" customHeight="1">
      <c r="A576" t="inlineStr">
        <is>
          <t>A 41433-2024</t>
        </is>
      </c>
      <c r="B576" t="inlineStr">
        <is>
          <t>avverkningsanmälan</t>
        </is>
      </c>
      <c r="C576" t="inlineStr">
        <is>
          <t>Föryngringsavverkning</t>
        </is>
      </c>
      <c r="D576" s="1" t="n">
        <v>45560</v>
      </c>
      <c r="E576" s="1" t="n">
        <v>46223</v>
      </c>
      <c r="F576" t="inlineStr">
        <is>
          <t>DALARNAS LÄN</t>
        </is>
      </c>
      <c r="G576" t="inlineStr">
        <is>
          <t>MALUNG-SÄLEN</t>
        </is>
      </c>
      <c r="H576" t="inlineStr">
        <is>
          <t>Bergvik skog öst AB</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47979-2023</t>
        </is>
      </c>
      <c r="B577" t="inlineStr">
        <is>
          <t>avverkningsanmälan</t>
        </is>
      </c>
      <c r="C577" t="inlineStr">
        <is>
          <t>Föryngringsavverkning</t>
        </is>
      </c>
      <c r="D577" s="1" t="n">
        <v>45204</v>
      </c>
      <c r="E577" s="1" t="n">
        <v>46223</v>
      </c>
      <c r="F577" t="inlineStr">
        <is>
          <t>DALARNAS LÄN</t>
        </is>
      </c>
      <c r="G577" t="inlineStr">
        <is>
          <t>MALUNG-SÄLEN</t>
        </is>
      </c>
      <c r="H577" t="inlineStr">
        <is>
          <t>Bergvik skog öst AB</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29344-2024</t>
        </is>
      </c>
      <c r="B578" t="inlineStr">
        <is>
          <t>avverkningsanmälan</t>
        </is>
      </c>
      <c r="C578" t="inlineStr">
        <is>
          <t>Föryngringsavverkning</t>
        </is>
      </c>
      <c r="D578" s="1" t="n">
        <v>45483</v>
      </c>
      <c r="E578" s="1" t="n">
        <v>46223</v>
      </c>
      <c r="F578" t="inlineStr">
        <is>
          <t>DALARNAS LÄN</t>
        </is>
      </c>
      <c r="G578" t="inlineStr">
        <is>
          <t>MALUNG-SÄLEN</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19854-2026</t>
        </is>
      </c>
      <c r="B579" t="inlineStr">
        <is>
          <t>avverkningsanmälan</t>
        </is>
      </c>
      <c r="C579" t="inlineStr">
        <is>
          <t>Föryngringsavverkning</t>
        </is>
      </c>
      <c r="D579" s="1" t="n">
        <v>46135</v>
      </c>
      <c r="E579" s="1" t="n">
        <v>46223</v>
      </c>
      <c r="F579" t="inlineStr">
        <is>
          <t>DALARNAS LÄN</t>
        </is>
      </c>
      <c r="G579" t="inlineStr">
        <is>
          <t>MALUNG-SÄLEN</t>
        </is>
      </c>
      <c r="H579" t="inlineStr">
        <is>
          <t>Bergvik skog öst AB</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17583-2023</t>
        </is>
      </c>
      <c r="B580" t="inlineStr">
        <is>
          <t>avverkningsanmälan</t>
        </is>
      </c>
      <c r="C580" t="inlineStr">
        <is>
          <t>Föryngringsavverkning</t>
        </is>
      </c>
      <c r="D580" s="1" t="n">
        <v>45036</v>
      </c>
      <c r="E580" s="1" t="n">
        <v>46223</v>
      </c>
      <c r="F580" t="inlineStr">
        <is>
          <t>DALARNAS LÄN</t>
        </is>
      </c>
      <c r="G580" t="inlineStr">
        <is>
          <t>MALUNG-SÄLEN</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20003-2026</t>
        </is>
      </c>
      <c r="B581" t="inlineStr">
        <is>
          <t>avverkningsanmälan</t>
        </is>
      </c>
      <c r="C581" t="inlineStr">
        <is>
          <t>Föryngringsavverkning</t>
        </is>
      </c>
      <c r="D581" s="1" t="n">
        <v>46136</v>
      </c>
      <c r="E581" s="1" t="n">
        <v>46223</v>
      </c>
      <c r="F581" t="inlineStr">
        <is>
          <t>DALARNAS LÄN</t>
        </is>
      </c>
      <c r="G581" t="inlineStr">
        <is>
          <t>MALUNG-SÄLEN</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37681-2024</t>
        </is>
      </c>
      <c r="B582" t="inlineStr">
        <is>
          <t>avverkningsanmälan</t>
        </is>
      </c>
      <c r="C582" t="inlineStr">
        <is>
          <t>Föryngringsavverkning</t>
        </is>
      </c>
      <c r="D582" s="1" t="n">
        <v>45541</v>
      </c>
      <c r="E582" s="1" t="n">
        <v>46223</v>
      </c>
      <c r="F582" t="inlineStr">
        <is>
          <t>DALARNAS LÄN</t>
        </is>
      </c>
      <c r="G582" t="inlineStr">
        <is>
          <t>MALUNG-SÄLEN</t>
        </is>
      </c>
      <c r="H582" t="inlineStr">
        <is>
          <t>Bergvik skog öst AB</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20021-2023</t>
        </is>
      </c>
      <c r="B583" t="inlineStr">
        <is>
          <t>avverkningsanmälan</t>
        </is>
      </c>
      <c r="C583" t="inlineStr">
        <is>
          <t>Föryngringsavverkning</t>
        </is>
      </c>
      <c r="D583" s="1" t="n">
        <v>45054</v>
      </c>
      <c r="E583" s="1" t="n">
        <v>46223</v>
      </c>
      <c r="F583" t="inlineStr">
        <is>
          <t>DALARNAS LÄN</t>
        </is>
      </c>
      <c r="G583" t="inlineStr">
        <is>
          <t>MALUNG-SÄLEN</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38293-2025</t>
        </is>
      </c>
      <c r="B584" t="inlineStr">
        <is>
          <t>avverkningsanmälan</t>
        </is>
      </c>
      <c r="C584" t="inlineStr">
        <is>
          <t>Föryngringsavverkning</t>
        </is>
      </c>
      <c r="D584" s="1" t="n">
        <v>45883</v>
      </c>
      <c r="E584" s="1" t="n">
        <v>46223</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10628-2025</t>
        </is>
      </c>
      <c r="B585" t="inlineStr">
        <is>
          <t>avverkningsanmälan</t>
        </is>
      </c>
      <c r="C585" t="inlineStr">
        <is>
          <t>Föryngringsavverkning</t>
        </is>
      </c>
      <c r="D585" s="1" t="n">
        <v>45721</v>
      </c>
      <c r="E585" s="1" t="n">
        <v>46223</v>
      </c>
      <c r="F585" t="inlineStr">
        <is>
          <t>DALARNAS LÄN</t>
        </is>
      </c>
      <c r="G585" t="inlineStr">
        <is>
          <t>MALUNG-SÄLEN</t>
        </is>
      </c>
      <c r="I585" t="n">
        <v>7.4</v>
      </c>
      <c r="J585" t="n">
        <v>0</v>
      </c>
      <c r="K585" t="n">
        <v>0</v>
      </c>
      <c r="L585" t="n">
        <v>0</v>
      </c>
      <c r="M585" t="n">
        <v>0</v>
      </c>
      <c r="N585" t="n">
        <v>0</v>
      </c>
      <c r="O585" t="n">
        <v>0</v>
      </c>
      <c r="P585" t="n">
        <v>0</v>
      </c>
      <c r="Q585" t="n">
        <v>0</v>
      </c>
      <c r="R585" t="n">
        <v>0</v>
      </c>
      <c r="S585" t="n">
        <v>0</v>
      </c>
      <c r="T585" t="n">
        <v>0</v>
      </c>
      <c r="U585" s="2" t="inlineStr"/>
    </row>
    <row r="586" ht="15" customHeight="1">
      <c r="A586" t="inlineStr">
        <is>
          <t>A 9065-2025</t>
        </is>
      </c>
      <c r="B586" t="inlineStr">
        <is>
          <t>avverkningsanmälan</t>
        </is>
      </c>
      <c r="C586" t="inlineStr">
        <is>
          <t>Föryngringsavverkning</t>
        </is>
      </c>
      <c r="D586" s="1" t="n">
        <v>45713</v>
      </c>
      <c r="E586" s="1" t="n">
        <v>46223</v>
      </c>
      <c r="F586" t="inlineStr">
        <is>
          <t>DALARNAS LÄN</t>
        </is>
      </c>
      <c r="G586" t="inlineStr">
        <is>
          <t>MALUNG-SÄLEN</t>
        </is>
      </c>
      <c r="I586" t="n">
        <v>4</v>
      </c>
      <c r="J586" t="n">
        <v>0</v>
      </c>
      <c r="K586" t="n">
        <v>0</v>
      </c>
      <c r="L586" t="n">
        <v>0</v>
      </c>
      <c r="M586" t="n">
        <v>0</v>
      </c>
      <c r="N586" t="n">
        <v>0</v>
      </c>
      <c r="O586" t="n">
        <v>0</v>
      </c>
      <c r="P586" t="n">
        <v>0</v>
      </c>
      <c r="Q586" t="n">
        <v>0</v>
      </c>
      <c r="R586" t="n">
        <v>0</v>
      </c>
      <c r="S586" t="n">
        <v>0</v>
      </c>
      <c r="T586" t="n">
        <v>0</v>
      </c>
      <c r="U586" s="2" t="inlineStr"/>
    </row>
    <row r="587" ht="15" customHeight="1">
      <c r="A587" t="inlineStr">
        <is>
          <t>A 37040-2025</t>
        </is>
      </c>
      <c r="B587" t="inlineStr">
        <is>
          <t>avverkningsanmälan</t>
        </is>
      </c>
      <c r="C587" t="inlineStr">
        <is>
          <t>Föryngringsavverkning</t>
        </is>
      </c>
      <c r="D587" s="1" t="n">
        <v>45875</v>
      </c>
      <c r="E587" s="1" t="n">
        <v>46223</v>
      </c>
      <c r="F587" t="inlineStr">
        <is>
          <t>DALARNAS LÄN</t>
        </is>
      </c>
      <c r="G587" t="inlineStr">
        <is>
          <t>MALUNG-SÄLEN</t>
        </is>
      </c>
      <c r="I587" t="n">
        <v>5.1</v>
      </c>
      <c r="J587" t="n">
        <v>0</v>
      </c>
      <c r="K587" t="n">
        <v>0</v>
      </c>
      <c r="L587" t="n">
        <v>0</v>
      </c>
      <c r="M587" t="n">
        <v>0</v>
      </c>
      <c r="N587" t="n">
        <v>0</v>
      </c>
      <c r="O587" t="n">
        <v>0</v>
      </c>
      <c r="P587" t="n">
        <v>0</v>
      </c>
      <c r="Q587" t="n">
        <v>0</v>
      </c>
      <c r="R587" t="n">
        <v>0</v>
      </c>
      <c r="S587" t="n">
        <v>0</v>
      </c>
      <c r="T587" t="n">
        <v>0</v>
      </c>
      <c r="U587" s="2" t="inlineStr"/>
    </row>
    <row r="588" ht="15" customHeight="1">
      <c r="A588" t="inlineStr">
        <is>
          <t>A 30524-2025</t>
        </is>
      </c>
      <c r="B588" t="inlineStr">
        <is>
          <t>avverkningsanmälan</t>
        </is>
      </c>
      <c r="C588" t="inlineStr">
        <is>
          <t>Föryngringsavverkning</t>
        </is>
      </c>
      <c r="D588" s="1" t="n">
        <v>45831</v>
      </c>
      <c r="E588" s="1" t="n">
        <v>46223</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61202-2024</t>
        </is>
      </c>
      <c r="B589" t="inlineStr">
        <is>
          <t>avverkningsanmälan</t>
        </is>
      </c>
      <c r="C589" t="inlineStr">
        <is>
          <t>Föryngringsavverkning</t>
        </is>
      </c>
      <c r="D589" s="1" t="n">
        <v>45645</v>
      </c>
      <c r="E589" s="1" t="n">
        <v>46223</v>
      </c>
      <c r="F589" t="inlineStr">
        <is>
          <t>DALARNAS LÄN</t>
        </is>
      </c>
      <c r="G589" t="inlineStr">
        <is>
          <t>MALUNG-SÄLEN</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27559-2023</t>
        </is>
      </c>
      <c r="B590" t="inlineStr">
        <is>
          <t>avverkningsanmälan</t>
        </is>
      </c>
      <c r="C590" t="inlineStr">
        <is>
          <t>Föryngringsavverkning</t>
        </is>
      </c>
      <c r="D590" s="1" t="n">
        <v>45097</v>
      </c>
      <c r="E590" s="1" t="n">
        <v>46223</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s="2" t="inlineStr"/>
    </row>
    <row r="591" ht="15" customHeight="1">
      <c r="A591" t="inlineStr">
        <is>
          <t>A 60015-2024</t>
        </is>
      </c>
      <c r="B591" t="inlineStr">
        <is>
          <t>avverkningsanmälan</t>
        </is>
      </c>
      <c r="C591" t="inlineStr">
        <is>
          <t>Föryngringsavverkning</t>
        </is>
      </c>
      <c r="D591" s="1" t="n">
        <v>45642</v>
      </c>
      <c r="E591" s="1" t="n">
        <v>46223</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49800-2024</t>
        </is>
      </c>
      <c r="B592" t="inlineStr">
        <is>
          <t>avverkningsanmälan</t>
        </is>
      </c>
      <c r="C592" t="inlineStr">
        <is>
          <t>Föryngringsavverkning</t>
        </is>
      </c>
      <c r="D592" s="1" t="n">
        <v>45597</v>
      </c>
      <c r="E592" s="1" t="n">
        <v>46223</v>
      </c>
      <c r="F592" t="inlineStr">
        <is>
          <t>DALARNAS LÄN</t>
        </is>
      </c>
      <c r="G592" t="inlineStr">
        <is>
          <t>MALUNG-SÄLEN</t>
        </is>
      </c>
      <c r="I592" t="n">
        <v>7.9</v>
      </c>
      <c r="J592" t="n">
        <v>0</v>
      </c>
      <c r="K592" t="n">
        <v>0</v>
      </c>
      <c r="L592" t="n">
        <v>0</v>
      </c>
      <c r="M592" t="n">
        <v>0</v>
      </c>
      <c r="N592" t="n">
        <v>0</v>
      </c>
      <c r="O592" t="n">
        <v>0</v>
      </c>
      <c r="P592" t="n">
        <v>0</v>
      </c>
      <c r="Q592" t="n">
        <v>0</v>
      </c>
      <c r="R592" t="n">
        <v>0</v>
      </c>
      <c r="S592" t="n">
        <v>0</v>
      </c>
      <c r="T592" t="n">
        <v>0</v>
      </c>
      <c r="U592" s="2" t="inlineStr"/>
    </row>
    <row r="593" ht="15" customHeight="1">
      <c r="A593" t="inlineStr">
        <is>
          <t>A 15994-2025</t>
        </is>
      </c>
      <c r="B593" t="inlineStr">
        <is>
          <t>avverkningsanmälan</t>
        </is>
      </c>
      <c r="C593" t="inlineStr">
        <is>
          <t>Föryngringsavverkning</t>
        </is>
      </c>
      <c r="D593" s="1" t="n">
        <v>45749</v>
      </c>
      <c r="E593" s="1" t="n">
        <v>46223</v>
      </c>
      <c r="F593" t="inlineStr">
        <is>
          <t>DALARNAS LÄN</t>
        </is>
      </c>
      <c r="G593" t="inlineStr">
        <is>
          <t>MALUNG-SÄLEN</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22772-2023</t>
        </is>
      </c>
      <c r="B594" t="inlineStr">
        <is>
          <t>avverkningsanmälan</t>
        </is>
      </c>
      <c r="C594" t="inlineStr">
        <is>
          <t>Föryngringsavverkning</t>
        </is>
      </c>
      <c r="D594" s="1" t="n">
        <v>45072</v>
      </c>
      <c r="E594" s="1" t="n">
        <v>46223</v>
      </c>
      <c r="F594" t="inlineStr">
        <is>
          <t>DALARNAS LÄN</t>
        </is>
      </c>
      <c r="G594" t="inlineStr">
        <is>
          <t>MALUNG-SÄLEN</t>
        </is>
      </c>
      <c r="H594" t="inlineStr">
        <is>
          <t>Bergvik skog öst AB</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47513-2023</t>
        </is>
      </c>
      <c r="B595" t="inlineStr">
        <is>
          <t>avverkningsanmälan</t>
        </is>
      </c>
      <c r="C595" t="inlineStr">
        <is>
          <t>Föryngringsavverkning</t>
        </is>
      </c>
      <c r="D595" s="1" t="n">
        <v>45203</v>
      </c>
      <c r="E595" s="1" t="n">
        <v>46223</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s="2" t="inlineStr"/>
    </row>
    <row r="596" ht="15" customHeight="1">
      <c r="A596" t="inlineStr">
        <is>
          <t>A 32602-2023</t>
        </is>
      </c>
      <c r="B596" t="inlineStr">
        <is>
          <t>avverkningsanmälan</t>
        </is>
      </c>
      <c r="C596" t="inlineStr">
        <is>
          <t>Föryngringsavverkning</t>
        </is>
      </c>
      <c r="D596" s="1" t="n">
        <v>45121</v>
      </c>
      <c r="E596" s="1" t="n">
        <v>46223</v>
      </c>
      <c r="F596" t="inlineStr">
        <is>
          <t>DALARNAS LÄN</t>
        </is>
      </c>
      <c r="G596" t="inlineStr">
        <is>
          <t>MALUNG-SÄLEN</t>
        </is>
      </c>
      <c r="H596" t="inlineStr">
        <is>
          <t>Bergvik skog öst AB</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689-2025</t>
        </is>
      </c>
      <c r="B597" t="inlineStr">
        <is>
          <t>avverkningsanmälan</t>
        </is>
      </c>
      <c r="C597" t="inlineStr">
        <is>
          <t>Föryngringsavverkning</t>
        </is>
      </c>
      <c r="D597" s="1" t="n">
        <v>45665</v>
      </c>
      <c r="E597" s="1" t="n">
        <v>46223</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s="2" t="inlineStr"/>
    </row>
    <row r="598" ht="15" customHeight="1">
      <c r="A598" t="inlineStr">
        <is>
          <t>A 2722-2025</t>
        </is>
      </c>
      <c r="B598" t="inlineStr">
        <is>
          <t>avverkningsanmälan</t>
        </is>
      </c>
      <c r="C598" t="inlineStr">
        <is>
          <t>Föryngringsavverkning</t>
        </is>
      </c>
      <c r="D598" s="1" t="n">
        <v>45677</v>
      </c>
      <c r="E598" s="1" t="n">
        <v>46223</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36539-2023</t>
        </is>
      </c>
      <c r="B599" t="inlineStr">
        <is>
          <t>avverkningsanmälan</t>
        </is>
      </c>
      <c r="C599" t="inlineStr">
        <is>
          <t>Föryngringsavverkning</t>
        </is>
      </c>
      <c r="D599" s="1" t="n">
        <v>45153</v>
      </c>
      <c r="E599" s="1" t="n">
        <v>46223</v>
      </c>
      <c r="F599" t="inlineStr">
        <is>
          <t>DALARNAS LÄN</t>
        </is>
      </c>
      <c r="G599" t="inlineStr">
        <is>
          <t>MALUNG-SÄLEN</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20608-2026</t>
        </is>
      </c>
      <c r="B600" t="inlineStr">
        <is>
          <t>avverkningsanmälan</t>
        </is>
      </c>
      <c r="C600" t="inlineStr">
        <is>
          <t>Avverkning för annat ändamål</t>
        </is>
      </c>
      <c r="D600" s="1" t="n">
        <v>46140</v>
      </c>
      <c r="E600" s="1" t="n">
        <v>46223</v>
      </c>
      <c r="F600" t="inlineStr">
        <is>
          <t>DALARNAS LÄN</t>
        </is>
      </c>
      <c r="G600" t="inlineStr">
        <is>
          <t>MALUNG-SÄLEN</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23422-2023</t>
        </is>
      </c>
      <c r="B601" t="inlineStr">
        <is>
          <t>avverkningsanmälan</t>
        </is>
      </c>
      <c r="C601" t="inlineStr">
        <is>
          <t>Föryngringsavverkning</t>
        </is>
      </c>
      <c r="D601" s="1" t="n">
        <v>45072</v>
      </c>
      <c r="E601" s="1" t="n">
        <v>46223</v>
      </c>
      <c r="F601" t="inlineStr">
        <is>
          <t>DALARNAS LÄN</t>
        </is>
      </c>
      <c r="G601" t="inlineStr">
        <is>
          <t>MALUNG-SÄLEN</t>
        </is>
      </c>
      <c r="I601" t="n">
        <v>9.4</v>
      </c>
      <c r="J601" t="n">
        <v>0</v>
      </c>
      <c r="K601" t="n">
        <v>0</v>
      </c>
      <c r="L601" t="n">
        <v>0</v>
      </c>
      <c r="M601" t="n">
        <v>0</v>
      </c>
      <c r="N601" t="n">
        <v>0</v>
      </c>
      <c r="O601" t="n">
        <v>0</v>
      </c>
      <c r="P601" t="n">
        <v>0</v>
      </c>
      <c r="Q601" t="n">
        <v>0</v>
      </c>
      <c r="R601" t="n">
        <v>0</v>
      </c>
      <c r="S601" t="n">
        <v>0</v>
      </c>
      <c r="T601" t="n">
        <v>0</v>
      </c>
      <c r="U601" s="2" t="inlineStr"/>
    </row>
    <row r="602" ht="15" customHeight="1">
      <c r="A602" t="inlineStr">
        <is>
          <t>A 46287-2023</t>
        </is>
      </c>
      <c r="B602" t="inlineStr">
        <is>
          <t>avverkningsanmälan</t>
        </is>
      </c>
      <c r="C602" t="inlineStr">
        <is>
          <t>Föryngringsavverkning</t>
        </is>
      </c>
      <c r="D602" s="1" t="n">
        <v>45197</v>
      </c>
      <c r="E602" s="1" t="n">
        <v>46223</v>
      </c>
      <c r="F602" t="inlineStr">
        <is>
          <t>DALARNAS LÄN</t>
        </is>
      </c>
      <c r="G602" t="inlineStr">
        <is>
          <t>MALUNG-SÄLEN</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48156-2023</t>
        </is>
      </c>
      <c r="B603" t="inlineStr">
        <is>
          <t>avverkningsanmälan</t>
        </is>
      </c>
      <c r="C603" t="inlineStr">
        <is>
          <t>Föryngringsavverkning</t>
        </is>
      </c>
      <c r="D603" s="1" t="n">
        <v>45201</v>
      </c>
      <c r="E603" s="1" t="n">
        <v>46223</v>
      </c>
      <c r="F603" t="inlineStr">
        <is>
          <t>DALARNAS LÄN</t>
        </is>
      </c>
      <c r="G603" t="inlineStr">
        <is>
          <t>MALUNG-SÄLEN</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22712-2024</t>
        </is>
      </c>
      <c r="B604" t="inlineStr">
        <is>
          <t>avverkningsanmälan</t>
        </is>
      </c>
      <c r="C604" t="inlineStr">
        <is>
          <t>Föryngringsavverkning</t>
        </is>
      </c>
      <c r="D604" s="1" t="n">
        <v>45448</v>
      </c>
      <c r="E604" s="1" t="n">
        <v>46223</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56110-2024</t>
        </is>
      </c>
      <c r="B605" t="inlineStr">
        <is>
          <t>avverkningsanmälan</t>
        </is>
      </c>
      <c r="C605" t="inlineStr">
        <is>
          <t>Föryngringsavverkning</t>
        </is>
      </c>
      <c r="D605" s="1" t="n">
        <v>45624</v>
      </c>
      <c r="E605" s="1" t="n">
        <v>46223</v>
      </c>
      <c r="F605" t="inlineStr">
        <is>
          <t>DALARNAS LÄN</t>
        </is>
      </c>
      <c r="G605" t="inlineStr">
        <is>
          <t>MALUNG-SÄLEN</t>
        </is>
      </c>
      <c r="I605" t="n">
        <v>3.9</v>
      </c>
      <c r="J605" t="n">
        <v>0</v>
      </c>
      <c r="K605" t="n">
        <v>0</v>
      </c>
      <c r="L605" t="n">
        <v>0</v>
      </c>
      <c r="M605" t="n">
        <v>0</v>
      </c>
      <c r="N605" t="n">
        <v>0</v>
      </c>
      <c r="O605" t="n">
        <v>0</v>
      </c>
      <c r="P605" t="n">
        <v>0</v>
      </c>
      <c r="Q605" t="n">
        <v>0</v>
      </c>
      <c r="R605" t="n">
        <v>0</v>
      </c>
      <c r="S605" t="n">
        <v>0</v>
      </c>
      <c r="T605" t="n">
        <v>0</v>
      </c>
      <c r="U605" s="2" t="inlineStr"/>
    </row>
    <row r="606" ht="15" customHeight="1">
      <c r="A606" t="inlineStr">
        <is>
          <t>A 9196-2025</t>
        </is>
      </c>
      <c r="B606" t="inlineStr">
        <is>
          <t>avverkningsanmälan</t>
        </is>
      </c>
      <c r="C606" t="inlineStr">
        <is>
          <t>Föryngringsavverkning</t>
        </is>
      </c>
      <c r="D606" s="1" t="n">
        <v>45714</v>
      </c>
      <c r="E606" s="1" t="n">
        <v>46223</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38560-2023</t>
        </is>
      </c>
      <c r="B607" t="inlineStr">
        <is>
          <t>avverkningsanmälan</t>
        </is>
      </c>
      <c r="C607" t="inlineStr">
        <is>
          <t>Föryngringsavverkning</t>
        </is>
      </c>
      <c r="D607" s="1" t="n">
        <v>45162</v>
      </c>
      <c r="E607" s="1" t="n">
        <v>46223</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54874-2023</t>
        </is>
      </c>
      <c r="B608" t="inlineStr">
        <is>
          <t>avverkningsanmälan</t>
        </is>
      </c>
      <c r="C608" t="inlineStr">
        <is>
          <t>Avverkning för annat ändamål</t>
        </is>
      </c>
      <c r="D608" s="1" t="n">
        <v>45236</v>
      </c>
      <c r="E608" s="1" t="n">
        <v>46223</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50256-2024</t>
        </is>
      </c>
      <c r="B609" t="inlineStr">
        <is>
          <t>avverkningsanmälan</t>
        </is>
      </c>
      <c r="C609" t="inlineStr">
        <is>
          <t>Föryngringsavverkning</t>
        </is>
      </c>
      <c r="D609" s="1" t="n">
        <v>45600</v>
      </c>
      <c r="E609" s="1" t="n">
        <v>46223</v>
      </c>
      <c r="F609" t="inlineStr">
        <is>
          <t>DALARNAS LÄN</t>
        </is>
      </c>
      <c r="G609" t="inlineStr">
        <is>
          <t>MALUNG-SÄLEN</t>
        </is>
      </c>
      <c r="H609" t="inlineStr">
        <is>
          <t>Bergvik skog öst AB</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26752-2023</t>
        </is>
      </c>
      <c r="B610" t="inlineStr">
        <is>
          <t>avverkningsanmälan</t>
        </is>
      </c>
      <c r="C610" t="inlineStr">
        <is>
          <t>Föryngringsavverkning</t>
        </is>
      </c>
      <c r="D610" s="1" t="n">
        <v>45093</v>
      </c>
      <c r="E610" s="1" t="n">
        <v>46223</v>
      </c>
      <c r="F610" t="inlineStr">
        <is>
          <t>DALARNAS LÄN</t>
        </is>
      </c>
      <c r="G610" t="inlineStr">
        <is>
          <t>MALUNG-SÄLEN</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29259-2025</t>
        </is>
      </c>
      <c r="B611" t="inlineStr">
        <is>
          <t>avverkningsanmälan</t>
        </is>
      </c>
      <c r="C611" t="inlineStr">
        <is>
          <t>Föryngringsavverkning</t>
        </is>
      </c>
      <c r="D611" s="1" t="n">
        <v>45824</v>
      </c>
      <c r="E611" s="1" t="n">
        <v>46223</v>
      </c>
      <c r="F611" t="inlineStr">
        <is>
          <t>DALARNAS LÄN</t>
        </is>
      </c>
      <c r="G611" t="inlineStr">
        <is>
          <t>MALUNG-SÄLEN</t>
        </is>
      </c>
      <c r="H611" t="inlineStr">
        <is>
          <t>Bergvik skog väst AB</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36494-2022</t>
        </is>
      </c>
      <c r="B612" t="inlineStr">
        <is>
          <t>avverkningsanmälan</t>
        </is>
      </c>
      <c r="C612" t="inlineStr">
        <is>
          <t>Föryngringsavverkning</t>
        </is>
      </c>
      <c r="D612" s="1" t="n">
        <v>44804</v>
      </c>
      <c r="E612" s="1" t="n">
        <v>46223</v>
      </c>
      <c r="F612" t="inlineStr">
        <is>
          <t>DALARNAS LÄN</t>
        </is>
      </c>
      <c r="G612" t="inlineStr">
        <is>
          <t>MALUNG-SÄLEN</t>
        </is>
      </c>
      <c r="I612" t="n">
        <v>3.7</v>
      </c>
      <c r="J612" t="n">
        <v>0</v>
      </c>
      <c r="K612" t="n">
        <v>0</v>
      </c>
      <c r="L612" t="n">
        <v>0</v>
      </c>
      <c r="M612" t="n">
        <v>0</v>
      </c>
      <c r="N612" t="n">
        <v>0</v>
      </c>
      <c r="O612" t="n">
        <v>0</v>
      </c>
      <c r="P612" t="n">
        <v>0</v>
      </c>
      <c r="Q612" t="n">
        <v>0</v>
      </c>
      <c r="R612" t="n">
        <v>0</v>
      </c>
      <c r="S612" t="n">
        <v>0</v>
      </c>
      <c r="T612" t="n">
        <v>0</v>
      </c>
      <c r="U612" s="2" t="inlineStr"/>
    </row>
    <row r="613" ht="15" customHeight="1">
      <c r="A613" t="inlineStr">
        <is>
          <t>A 47957-2023</t>
        </is>
      </c>
      <c r="B613" t="inlineStr">
        <is>
          <t>avverkningsanmälan</t>
        </is>
      </c>
      <c r="C613" t="inlineStr">
        <is>
          <t>Föryngringsavverkning</t>
        </is>
      </c>
      <c r="D613" s="1" t="n">
        <v>45204</v>
      </c>
      <c r="E613" s="1" t="n">
        <v>46223</v>
      </c>
      <c r="F613" t="inlineStr">
        <is>
          <t>DALARNAS LÄN</t>
        </is>
      </c>
      <c r="G613" t="inlineStr">
        <is>
          <t>MALUNG-SÄLEN</t>
        </is>
      </c>
      <c r="H613" t="inlineStr">
        <is>
          <t>Bergvik skog öst AB</t>
        </is>
      </c>
      <c r="I613" t="n">
        <v>3</v>
      </c>
      <c r="J613" t="n">
        <v>0</v>
      </c>
      <c r="K613" t="n">
        <v>0</v>
      </c>
      <c r="L613" t="n">
        <v>0</v>
      </c>
      <c r="M613" t="n">
        <v>0</v>
      </c>
      <c r="N613" t="n">
        <v>0</v>
      </c>
      <c r="O613" t="n">
        <v>0</v>
      </c>
      <c r="P613" t="n">
        <v>0</v>
      </c>
      <c r="Q613" t="n">
        <v>0</v>
      </c>
      <c r="R613" t="n">
        <v>0</v>
      </c>
      <c r="S613" t="n">
        <v>0</v>
      </c>
      <c r="T613" t="n">
        <v>0</v>
      </c>
      <c r="U613" s="2" t="inlineStr"/>
    </row>
    <row r="614" ht="15" customHeight="1">
      <c r="A614" t="inlineStr">
        <is>
          <t>A 53984-2023</t>
        </is>
      </c>
      <c r="B614" t="inlineStr">
        <is>
          <t>avverkningsanmälan</t>
        </is>
      </c>
      <c r="C614" t="inlineStr">
        <is>
          <t>Föryngringsavverkning</t>
        </is>
      </c>
      <c r="D614" s="1" t="n">
        <v>45231</v>
      </c>
      <c r="E614" s="1" t="n">
        <v>46223</v>
      </c>
      <c r="F614" t="inlineStr">
        <is>
          <t>DALARNAS LÄN</t>
        </is>
      </c>
      <c r="G614" t="inlineStr">
        <is>
          <t>MALUNG-SÄLEN</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1200-2026</t>
        </is>
      </c>
      <c r="B615" t="inlineStr">
        <is>
          <t>avverkningsanmälan</t>
        </is>
      </c>
      <c r="C615" t="inlineStr">
        <is>
          <t>Föryngringsavverkning</t>
        </is>
      </c>
      <c r="D615" s="1" t="n">
        <v>46031</v>
      </c>
      <c r="E615" s="1" t="n">
        <v>46223</v>
      </c>
      <c r="F615" t="inlineStr">
        <is>
          <t>DALARNAS LÄN</t>
        </is>
      </c>
      <c r="G615" t="inlineStr">
        <is>
          <t>MALUNG-SÄLEN</t>
        </is>
      </c>
      <c r="I615" t="n">
        <v>2.8</v>
      </c>
      <c r="J615" t="n">
        <v>0</v>
      </c>
      <c r="K615" t="n">
        <v>0</v>
      </c>
      <c r="L615" t="n">
        <v>0</v>
      </c>
      <c r="M615" t="n">
        <v>0</v>
      </c>
      <c r="N615" t="n">
        <v>0</v>
      </c>
      <c r="O615" t="n">
        <v>0</v>
      </c>
      <c r="P615" t="n">
        <v>0</v>
      </c>
      <c r="Q615" t="n">
        <v>0</v>
      </c>
      <c r="R615" t="n">
        <v>0</v>
      </c>
      <c r="S615" t="n">
        <v>0</v>
      </c>
      <c r="T615" t="n">
        <v>0</v>
      </c>
      <c r="U615" s="2" t="inlineStr"/>
    </row>
    <row r="616" ht="15" customHeight="1">
      <c r="A616" t="inlineStr">
        <is>
          <t>A 42802-2024</t>
        </is>
      </c>
      <c r="B616" t="inlineStr">
        <is>
          <t>avverkningsanmälan</t>
        </is>
      </c>
      <c r="C616" t="inlineStr">
        <is>
          <t>Föryngringsavverkning</t>
        </is>
      </c>
      <c r="D616" s="1" t="n">
        <v>45566</v>
      </c>
      <c r="E616" s="1" t="n">
        <v>46223</v>
      </c>
      <c r="F616" t="inlineStr">
        <is>
          <t>DALARNAS LÄN</t>
        </is>
      </c>
      <c r="G616" t="inlineStr">
        <is>
          <t>MALUNG-SÄLEN</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57424-2024</t>
        </is>
      </c>
      <c r="B617" t="inlineStr">
        <is>
          <t>avverkningsanmälan</t>
        </is>
      </c>
      <c r="C617" t="inlineStr">
        <is>
          <t>Föryngringsavverkning</t>
        </is>
      </c>
      <c r="D617" s="1" t="n">
        <v>45629</v>
      </c>
      <c r="E617" s="1" t="n">
        <v>46223</v>
      </c>
      <c r="F617" t="inlineStr">
        <is>
          <t>DALARNAS LÄN</t>
        </is>
      </c>
      <c r="G617" t="inlineStr">
        <is>
          <t>MALUNG-SÄLEN</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20328-2025</t>
        </is>
      </c>
      <c r="B618" t="inlineStr">
        <is>
          <t>avverkningsanmälan</t>
        </is>
      </c>
      <c r="C618" t="inlineStr">
        <is>
          <t>Föryngringsavverkning</t>
        </is>
      </c>
      <c r="D618" s="1" t="n">
        <v>45775</v>
      </c>
      <c r="E618" s="1" t="n">
        <v>46223</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46631-2023</t>
        </is>
      </c>
      <c r="B619" t="inlineStr">
        <is>
          <t>avverkningsanmälan</t>
        </is>
      </c>
      <c r="C619" t="inlineStr">
        <is>
          <t>Föryngringsavverkning</t>
        </is>
      </c>
      <c r="D619" s="1" t="n">
        <v>45198</v>
      </c>
      <c r="E619" s="1" t="n">
        <v>46223</v>
      </c>
      <c r="F619" t="inlineStr">
        <is>
          <t>DALARNAS LÄN</t>
        </is>
      </c>
      <c r="G619" t="inlineStr">
        <is>
          <t>MALUNG-SÄLEN</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49480-2023</t>
        </is>
      </c>
      <c r="B620" t="inlineStr">
        <is>
          <t>avverkningsanmälan</t>
        </is>
      </c>
      <c r="C620" t="inlineStr">
        <is>
          <t>Föryngringsavverkning</t>
        </is>
      </c>
      <c r="D620" s="1" t="n">
        <v>45211</v>
      </c>
      <c r="E620" s="1" t="n">
        <v>46223</v>
      </c>
      <c r="F620" t="inlineStr">
        <is>
          <t>DALARNAS LÄN</t>
        </is>
      </c>
      <c r="G620" t="inlineStr">
        <is>
          <t>MALUNG-SÄLEN</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5992-2024</t>
        </is>
      </c>
      <c r="B621" t="inlineStr">
        <is>
          <t>avverkningsanmälan</t>
        </is>
      </c>
      <c r="C621" t="inlineStr">
        <is>
          <t>Föryngringsavverkning</t>
        </is>
      </c>
      <c r="D621" s="1" t="n">
        <v>45336</v>
      </c>
      <c r="E621" s="1" t="n">
        <v>46223</v>
      </c>
      <c r="F621" t="inlineStr">
        <is>
          <t>DALARNAS LÄN</t>
        </is>
      </c>
      <c r="G621" t="inlineStr">
        <is>
          <t>MALUNG-SÄLEN</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19328-2026</t>
        </is>
      </c>
      <c r="B622" t="inlineStr">
        <is>
          <t>avverkningsanmälan</t>
        </is>
      </c>
      <c r="C622" t="inlineStr">
        <is>
          <t>Avverkning för annat ändamål</t>
        </is>
      </c>
      <c r="D622" s="1" t="n">
        <v>46133</v>
      </c>
      <c r="E622" s="1" t="n">
        <v>46223</v>
      </c>
      <c r="F622" t="inlineStr">
        <is>
          <t>DALARNAS LÄN</t>
        </is>
      </c>
      <c r="G622" t="inlineStr">
        <is>
          <t>MALUNG-SÄLEN</t>
        </is>
      </c>
      <c r="I622" t="n">
        <v>3.1</v>
      </c>
      <c r="J622" t="n">
        <v>0</v>
      </c>
      <c r="K622" t="n">
        <v>0</v>
      </c>
      <c r="L622" t="n">
        <v>0</v>
      </c>
      <c r="M622" t="n">
        <v>0</v>
      </c>
      <c r="N622" t="n">
        <v>0</v>
      </c>
      <c r="O622" t="n">
        <v>0</v>
      </c>
      <c r="P622" t="n">
        <v>0</v>
      </c>
      <c r="Q622" t="n">
        <v>0</v>
      </c>
      <c r="R622" t="n">
        <v>0</v>
      </c>
      <c r="S622" t="n">
        <v>0</v>
      </c>
      <c r="T622" t="n">
        <v>0</v>
      </c>
      <c r="U622" s="2" t="inlineStr"/>
    </row>
    <row r="623" ht="15" customHeight="1">
      <c r="A623" t="inlineStr">
        <is>
          <t>A 17161-2022</t>
        </is>
      </c>
      <c r="B623" t="inlineStr">
        <is>
          <t>avverkningsanmälan</t>
        </is>
      </c>
      <c r="C623" t="inlineStr">
        <is>
          <t>Föryngringsavverkning</t>
        </is>
      </c>
      <c r="D623" s="1" t="n">
        <v>44677</v>
      </c>
      <c r="E623" s="1" t="n">
        <v>46223</v>
      </c>
      <c r="F623" t="inlineStr">
        <is>
          <t>DALARNAS LÄN</t>
        </is>
      </c>
      <c r="G623" t="inlineStr">
        <is>
          <t>MALUNG-SÄLEN</t>
        </is>
      </c>
      <c r="H623" t="inlineStr">
        <is>
          <t>Bergvik skog öst AB</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55307-2024</t>
        </is>
      </c>
      <c r="B624" t="inlineStr">
        <is>
          <t>avverkningsanmälan</t>
        </is>
      </c>
      <c r="C624" t="inlineStr">
        <is>
          <t>Föryngringsavverkning</t>
        </is>
      </c>
      <c r="D624" s="1" t="n">
        <v>45621</v>
      </c>
      <c r="E624" s="1" t="n">
        <v>46223</v>
      </c>
      <c r="F624" t="inlineStr">
        <is>
          <t>DALARNAS LÄN</t>
        </is>
      </c>
      <c r="G624" t="inlineStr">
        <is>
          <t>MALUNG-SÄLEN</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16157-2024</t>
        </is>
      </c>
      <c r="B625" t="inlineStr">
        <is>
          <t>avverkningsanmälan</t>
        </is>
      </c>
      <c r="C625" t="inlineStr">
        <is>
          <t>Föryngringsavverkning</t>
        </is>
      </c>
      <c r="D625" s="1" t="n">
        <v>45406</v>
      </c>
      <c r="E625" s="1" t="n">
        <v>46223</v>
      </c>
      <c r="F625" t="inlineStr">
        <is>
          <t>DALARNAS LÄN</t>
        </is>
      </c>
      <c r="G625" t="inlineStr">
        <is>
          <t>MALUNG-SÄLEN</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41800-2025</t>
        </is>
      </c>
      <c r="B626" t="inlineStr">
        <is>
          <t>avverkningsanmälan</t>
        </is>
      </c>
      <c r="C626" t="inlineStr">
        <is>
          <t>Föryngringsavverkning</t>
        </is>
      </c>
      <c r="D626" s="1" t="n">
        <v>45902</v>
      </c>
      <c r="E626" s="1" t="n">
        <v>46223</v>
      </c>
      <c r="F626" t="inlineStr">
        <is>
          <t>DALARNAS LÄN</t>
        </is>
      </c>
      <c r="G626" t="inlineStr">
        <is>
          <t>MALUNG-SÄLEN</t>
        </is>
      </c>
      <c r="H626" t="inlineStr">
        <is>
          <t>Bergvik skog öst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17498-2025</t>
        </is>
      </c>
      <c r="B627" t="inlineStr">
        <is>
          <t>avverkningsanmälan</t>
        </is>
      </c>
      <c r="C627" t="inlineStr">
        <is>
          <t>Föryngringsavverkning</t>
        </is>
      </c>
      <c r="D627" s="1" t="n">
        <v>45757</v>
      </c>
      <c r="E627" s="1" t="n">
        <v>46223</v>
      </c>
      <c r="F627" t="inlineStr">
        <is>
          <t>DALARNAS LÄN</t>
        </is>
      </c>
      <c r="G627" t="inlineStr">
        <is>
          <t>MALUNG-SÄLEN</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55638-2024</t>
        </is>
      </c>
      <c r="B628" t="inlineStr">
        <is>
          <t>avverkningsanmälan</t>
        </is>
      </c>
      <c r="C628" t="inlineStr">
        <is>
          <t>Föryngringsavverkning</t>
        </is>
      </c>
      <c r="D628" s="1" t="n">
        <v>45622</v>
      </c>
      <c r="E628" s="1" t="n">
        <v>46223</v>
      </c>
      <c r="F628" t="inlineStr">
        <is>
          <t>DALARNAS LÄN</t>
        </is>
      </c>
      <c r="G628" t="inlineStr">
        <is>
          <t>MALUNG-SÄLEN</t>
        </is>
      </c>
      <c r="H628" t="inlineStr">
        <is>
          <t>Bergvik skog öst AB</t>
        </is>
      </c>
      <c r="I628" t="n">
        <v>6.5</v>
      </c>
      <c r="J628" t="n">
        <v>0</v>
      </c>
      <c r="K628" t="n">
        <v>0</v>
      </c>
      <c r="L628" t="n">
        <v>0</v>
      </c>
      <c r="M628" t="n">
        <v>0</v>
      </c>
      <c r="N628" t="n">
        <v>0</v>
      </c>
      <c r="O628" t="n">
        <v>0</v>
      </c>
      <c r="P628" t="n">
        <v>0</v>
      </c>
      <c r="Q628" t="n">
        <v>0</v>
      </c>
      <c r="R628" t="n">
        <v>0</v>
      </c>
      <c r="S628" t="n">
        <v>0</v>
      </c>
      <c r="T628" t="n">
        <v>0</v>
      </c>
      <c r="U628" s="2" t="inlineStr"/>
    </row>
    <row r="629" ht="15" customHeight="1">
      <c r="A629" t="inlineStr">
        <is>
          <t>A 60042-2024</t>
        </is>
      </c>
      <c r="B629" t="inlineStr">
        <is>
          <t>avverkningsanmälan</t>
        </is>
      </c>
      <c r="C629" t="inlineStr">
        <is>
          <t>Föryngringsavverkning</t>
        </is>
      </c>
      <c r="D629" s="1" t="n">
        <v>45642</v>
      </c>
      <c r="E629" s="1" t="n">
        <v>46223</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s="2" t="inlineStr"/>
    </row>
    <row r="630" ht="15" customHeight="1">
      <c r="A630" t="inlineStr">
        <is>
          <t>A 60063-2024</t>
        </is>
      </c>
      <c r="B630" t="inlineStr">
        <is>
          <t>avverkningsanmälan</t>
        </is>
      </c>
      <c r="C630" t="inlineStr">
        <is>
          <t>Föryngringsavverkning</t>
        </is>
      </c>
      <c r="D630" s="1" t="n">
        <v>45642</v>
      </c>
      <c r="E630" s="1" t="n">
        <v>46223</v>
      </c>
      <c r="F630" t="inlineStr">
        <is>
          <t>DALARNAS LÄN</t>
        </is>
      </c>
      <c r="G630" t="inlineStr">
        <is>
          <t>MALUNG-SÄLEN</t>
        </is>
      </c>
      <c r="I630" t="n">
        <v>3.8</v>
      </c>
      <c r="J630" t="n">
        <v>0</v>
      </c>
      <c r="K630" t="n">
        <v>0</v>
      </c>
      <c r="L630" t="n">
        <v>0</v>
      </c>
      <c r="M630" t="n">
        <v>0</v>
      </c>
      <c r="N630" t="n">
        <v>0</v>
      </c>
      <c r="O630" t="n">
        <v>0</v>
      </c>
      <c r="P630" t="n">
        <v>0</v>
      </c>
      <c r="Q630" t="n">
        <v>0</v>
      </c>
      <c r="R630" t="n">
        <v>0</v>
      </c>
      <c r="S630" t="n">
        <v>0</v>
      </c>
      <c r="T630" t="n">
        <v>0</v>
      </c>
      <c r="U630" s="2" t="inlineStr"/>
    </row>
    <row r="631" ht="15" customHeight="1">
      <c r="A631" t="inlineStr">
        <is>
          <t>A 52358-2024</t>
        </is>
      </c>
      <c r="B631" t="inlineStr">
        <is>
          <t>avverkningsanmälan</t>
        </is>
      </c>
      <c r="C631" t="inlineStr">
        <is>
          <t>Föryngringsavverkning</t>
        </is>
      </c>
      <c r="D631" s="1" t="n">
        <v>45609</v>
      </c>
      <c r="E631" s="1" t="n">
        <v>46223</v>
      </c>
      <c r="F631" t="inlineStr">
        <is>
          <t>DALARNAS LÄN</t>
        </is>
      </c>
      <c r="G631" t="inlineStr">
        <is>
          <t>MALUNG-SÄLEN</t>
        </is>
      </c>
      <c r="H631" t="inlineStr">
        <is>
          <t>Bergvik skog öst AB</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45197-2023</t>
        </is>
      </c>
      <c r="B632" t="inlineStr">
        <is>
          <t>avverkningsanmälan</t>
        </is>
      </c>
      <c r="C632" t="inlineStr">
        <is>
          <t>Föryngringsavverkning</t>
        </is>
      </c>
      <c r="D632" s="1" t="n">
        <v>45191</v>
      </c>
      <c r="E632" s="1" t="n">
        <v>46223</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41946-2023</t>
        </is>
      </c>
      <c r="B633" t="inlineStr">
        <is>
          <t>avverkningsanmälan</t>
        </is>
      </c>
      <c r="C633" t="inlineStr">
        <is>
          <t>Föryngringsavverkning</t>
        </is>
      </c>
      <c r="D633" s="1" t="n">
        <v>45177</v>
      </c>
      <c r="E633" s="1" t="n">
        <v>46223</v>
      </c>
      <c r="F633" t="inlineStr">
        <is>
          <t>DALARNAS LÄN</t>
        </is>
      </c>
      <c r="G633" t="inlineStr">
        <is>
          <t>MALUNG-SÄLEN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24663-2025</t>
        </is>
      </c>
      <c r="B634" t="inlineStr">
        <is>
          <t>avverkningsanmälan</t>
        </is>
      </c>
      <c r="C634" t="inlineStr">
        <is>
          <t>Avverkning för annat ändamål</t>
        </is>
      </c>
      <c r="D634" s="1" t="n">
        <v>45792</v>
      </c>
      <c r="E634" s="1" t="n">
        <v>46223</v>
      </c>
      <c r="F634" t="inlineStr">
        <is>
          <t>DALARNAS LÄN</t>
        </is>
      </c>
      <c r="G634" t="inlineStr">
        <is>
          <t>MALUNG-SÄLEN</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57474-2023</t>
        </is>
      </c>
      <c r="B635" t="inlineStr">
        <is>
          <t>avverkningsanmälan</t>
        </is>
      </c>
      <c r="C635" t="inlineStr">
        <is>
          <t>Föryngringsavverkning</t>
        </is>
      </c>
      <c r="D635" s="1" t="n">
        <v>45246</v>
      </c>
      <c r="E635" s="1" t="n">
        <v>46223</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58363-2023</t>
        </is>
      </c>
      <c r="B636" t="inlineStr">
        <is>
          <t>avverkningsanmälan</t>
        </is>
      </c>
      <c r="C636" t="inlineStr">
        <is>
          <t>Föryngringsavverkning</t>
        </is>
      </c>
      <c r="D636" s="1" t="n">
        <v>45245</v>
      </c>
      <c r="E636" s="1" t="n">
        <v>46223</v>
      </c>
      <c r="F636" t="inlineStr">
        <is>
          <t>DALARNAS LÄN</t>
        </is>
      </c>
      <c r="G636" t="inlineStr">
        <is>
          <t>MALUNG-SÄLEN</t>
        </is>
      </c>
      <c r="I636" t="n">
        <v>3.6</v>
      </c>
      <c r="J636" t="n">
        <v>0</v>
      </c>
      <c r="K636" t="n">
        <v>0</v>
      </c>
      <c r="L636" t="n">
        <v>0</v>
      </c>
      <c r="M636" t="n">
        <v>0</v>
      </c>
      <c r="N636" t="n">
        <v>0</v>
      </c>
      <c r="O636" t="n">
        <v>0</v>
      </c>
      <c r="P636" t="n">
        <v>0</v>
      </c>
      <c r="Q636" t="n">
        <v>0</v>
      </c>
      <c r="R636" t="n">
        <v>0</v>
      </c>
      <c r="S636" t="n">
        <v>0</v>
      </c>
      <c r="T636" t="n">
        <v>0</v>
      </c>
      <c r="U636" s="2" t="inlineStr"/>
    </row>
    <row r="637" ht="15" customHeight="1">
      <c r="A637" t="inlineStr">
        <is>
          <t>A 46850-2021</t>
        </is>
      </c>
      <c r="B637" t="inlineStr">
        <is>
          <t>avverkningsanmälan</t>
        </is>
      </c>
      <c r="C637" t="inlineStr">
        <is>
          <t>Föryngringsavverkning</t>
        </is>
      </c>
      <c r="D637" s="1" t="n">
        <v>44445</v>
      </c>
      <c r="E637" s="1" t="n">
        <v>46223</v>
      </c>
      <c r="F637" t="inlineStr">
        <is>
          <t>DALARNAS LÄN</t>
        </is>
      </c>
      <c r="G637" t="inlineStr">
        <is>
          <t>MALUNG-SÄLEN</t>
        </is>
      </c>
      <c r="H637" t="inlineStr">
        <is>
          <t>Allmännings- och besparingsskogar</t>
        </is>
      </c>
      <c r="I637" t="n">
        <v>10.3</v>
      </c>
      <c r="J637" t="n">
        <v>0</v>
      </c>
      <c r="K637" t="n">
        <v>0</v>
      </c>
      <c r="L637" t="n">
        <v>0</v>
      </c>
      <c r="M637" t="n">
        <v>0</v>
      </c>
      <c r="N637" t="n">
        <v>0</v>
      </c>
      <c r="O637" t="n">
        <v>0</v>
      </c>
      <c r="P637" t="n">
        <v>0</v>
      </c>
      <c r="Q637" t="n">
        <v>0</v>
      </c>
      <c r="R637" t="n">
        <v>0</v>
      </c>
      <c r="S637" t="n">
        <v>0</v>
      </c>
      <c r="T637" t="n">
        <v>0</v>
      </c>
      <c r="U637" s="2" t="inlineStr"/>
    </row>
    <row r="638" ht="15" customHeight="1">
      <c r="A638" t="inlineStr">
        <is>
          <t>A 16044-2025</t>
        </is>
      </c>
      <c r="B638" t="inlineStr">
        <is>
          <t>avverkningsanmälan</t>
        </is>
      </c>
      <c r="C638" t="inlineStr">
        <is>
          <t>Avverkning för annat ändamål</t>
        </is>
      </c>
      <c r="D638" s="1" t="n">
        <v>45749</v>
      </c>
      <c r="E638" s="1" t="n">
        <v>46223</v>
      </c>
      <c r="F638" t="inlineStr">
        <is>
          <t>DALARNAS LÄN</t>
        </is>
      </c>
      <c r="G638" t="inlineStr">
        <is>
          <t>MALUNG-SÄLEN</t>
        </is>
      </c>
      <c r="H638" t="inlineStr">
        <is>
          <t>Kommuner</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41583-2023</t>
        </is>
      </c>
      <c r="B639" t="inlineStr">
        <is>
          <t>avverkningsanmälan</t>
        </is>
      </c>
      <c r="C639" t="inlineStr">
        <is>
          <t>Föryngringsavverkning</t>
        </is>
      </c>
      <c r="D639" s="1" t="n">
        <v>45175</v>
      </c>
      <c r="E639" s="1" t="n">
        <v>46223</v>
      </c>
      <c r="F639" t="inlineStr">
        <is>
          <t>DALARNAS LÄN</t>
        </is>
      </c>
      <c r="G639" t="inlineStr">
        <is>
          <t>MALUNG-SÄLEN</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58375-2023</t>
        </is>
      </c>
      <c r="B640" t="inlineStr">
        <is>
          <t>avverkningsanmälan</t>
        </is>
      </c>
      <c r="C640" t="inlineStr">
        <is>
          <t>Föryngringsavverkning</t>
        </is>
      </c>
      <c r="D640" s="1" t="n">
        <v>45245</v>
      </c>
      <c r="E640" s="1" t="n">
        <v>46223</v>
      </c>
      <c r="F640" t="inlineStr">
        <is>
          <t>DALARNAS LÄN</t>
        </is>
      </c>
      <c r="G640" t="inlineStr">
        <is>
          <t>MALUNG-SÄLEN</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45779-2023</t>
        </is>
      </c>
      <c r="B641" t="inlineStr">
        <is>
          <t>avverkningsanmälan</t>
        </is>
      </c>
      <c r="C641" t="inlineStr">
        <is>
          <t>Avverkning för att bevara och utveckla /försöksver</t>
        </is>
      </c>
      <c r="D641" s="1" t="n">
        <v>45188</v>
      </c>
      <c r="E641" s="1" t="n">
        <v>46223</v>
      </c>
      <c r="F641" t="inlineStr">
        <is>
          <t>DALARNAS LÄN</t>
        </is>
      </c>
      <c r="G641" t="inlineStr">
        <is>
          <t>MALUNG-SÄLEN</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45780-2023</t>
        </is>
      </c>
      <c r="B642" t="inlineStr">
        <is>
          <t>avverkningsanmälan</t>
        </is>
      </c>
      <c r="C642" t="inlineStr">
        <is>
          <t>Föryngringsavverkning</t>
        </is>
      </c>
      <c r="D642" s="1" t="n">
        <v>45188</v>
      </c>
      <c r="E642" s="1" t="n">
        <v>46223</v>
      </c>
      <c r="F642" t="inlineStr">
        <is>
          <t>DALARNAS LÄN</t>
        </is>
      </c>
      <c r="G642" t="inlineStr">
        <is>
          <t>MALUNG-SÄLEN</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62002-2024</t>
        </is>
      </c>
      <c r="B643" t="inlineStr">
        <is>
          <t>avverkningsanmälan</t>
        </is>
      </c>
      <c r="C643" t="inlineStr">
        <is>
          <t>Föryngringsavverkning</t>
        </is>
      </c>
      <c r="D643" s="1" t="n">
        <v>45654</v>
      </c>
      <c r="E643" s="1" t="n">
        <v>46223</v>
      </c>
      <c r="F643" t="inlineStr">
        <is>
          <t>DALARNAS LÄN</t>
        </is>
      </c>
      <c r="G643" t="inlineStr">
        <is>
          <t>MALUNG-SÄLEN</t>
        </is>
      </c>
      <c r="I643" t="n">
        <v>5</v>
      </c>
      <c r="J643" t="n">
        <v>0</v>
      </c>
      <c r="K643" t="n">
        <v>0</v>
      </c>
      <c r="L643" t="n">
        <v>0</v>
      </c>
      <c r="M643" t="n">
        <v>0</v>
      </c>
      <c r="N643" t="n">
        <v>0</v>
      </c>
      <c r="O643" t="n">
        <v>0</v>
      </c>
      <c r="P643" t="n">
        <v>0</v>
      </c>
      <c r="Q643" t="n">
        <v>0</v>
      </c>
      <c r="R643" t="n">
        <v>0</v>
      </c>
      <c r="S643" t="n">
        <v>0</v>
      </c>
      <c r="T643" t="n">
        <v>0</v>
      </c>
      <c r="U643" s="2" t="inlineStr"/>
    </row>
    <row r="644" ht="15" customHeight="1">
      <c r="A644" t="inlineStr">
        <is>
          <t>A 20899-2026</t>
        </is>
      </c>
      <c r="B644" t="inlineStr">
        <is>
          <t>avverkningsanmälan</t>
        </is>
      </c>
      <c r="C644" t="inlineStr">
        <is>
          <t>Föryngringsavverkning</t>
        </is>
      </c>
      <c r="D644" s="1" t="n">
        <v>46142</v>
      </c>
      <c r="E644" s="1" t="n">
        <v>46223</v>
      </c>
      <c r="F644" t="inlineStr">
        <is>
          <t>DALARNAS LÄN</t>
        </is>
      </c>
      <c r="G644" t="inlineStr">
        <is>
          <t>MALUNG-SÄLEN</t>
        </is>
      </c>
      <c r="H644" t="inlineStr">
        <is>
          <t>Allmännings- och besparingsskogar</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29771-2024</t>
        </is>
      </c>
      <c r="B645" t="inlineStr">
        <is>
          <t>avverkningsanmälan</t>
        </is>
      </c>
      <c r="C645" t="inlineStr">
        <is>
          <t>Föryngringsavverkning</t>
        </is>
      </c>
      <c r="D645" s="1" t="n">
        <v>45485</v>
      </c>
      <c r="E645" s="1" t="n">
        <v>46223</v>
      </c>
      <c r="F645" t="inlineStr">
        <is>
          <t>DALARNAS LÄN</t>
        </is>
      </c>
      <c r="G645" t="inlineStr">
        <is>
          <t>MALUNG-SÄLEN</t>
        </is>
      </c>
      <c r="H645" t="inlineStr">
        <is>
          <t>Bergvik skog öst AB</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26837-2024</t>
        </is>
      </c>
      <c r="B646" t="inlineStr">
        <is>
          <t>avverkningsanmälan</t>
        </is>
      </c>
      <c r="C646" t="inlineStr">
        <is>
          <t>Föryngringsavverkning</t>
        </is>
      </c>
      <c r="D646" s="1" t="n">
        <v>45470</v>
      </c>
      <c r="E646" s="1" t="n">
        <v>46223</v>
      </c>
      <c r="F646" t="inlineStr">
        <is>
          <t>DALARNAS LÄN</t>
        </is>
      </c>
      <c r="G646" t="inlineStr">
        <is>
          <t>MALUNG-SÄLEN</t>
        </is>
      </c>
      <c r="H646" t="inlineStr">
        <is>
          <t>Bergvik skog väst AB</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32015-2024</t>
        </is>
      </c>
      <c r="B647" t="inlineStr">
        <is>
          <t>avverkningsanmälan</t>
        </is>
      </c>
      <c r="C647" t="inlineStr">
        <is>
          <t>Föryngringsavverkning</t>
        </is>
      </c>
      <c r="D647" s="1" t="n">
        <v>45510</v>
      </c>
      <c r="E647" s="1" t="n">
        <v>46223</v>
      </c>
      <c r="F647" t="inlineStr">
        <is>
          <t>DALARNAS LÄN</t>
        </is>
      </c>
      <c r="G647" t="inlineStr">
        <is>
          <t>MALUNG-SÄLEN</t>
        </is>
      </c>
      <c r="H647" t="inlineStr">
        <is>
          <t>Bergvik skog väst AB</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61890-2023</t>
        </is>
      </c>
      <c r="B648" t="inlineStr">
        <is>
          <t>avverkningsanmälan</t>
        </is>
      </c>
      <c r="C648" t="inlineStr">
        <is>
          <t>Föryngringsavverkning</t>
        </is>
      </c>
      <c r="D648" s="1" t="n">
        <v>45266</v>
      </c>
      <c r="E648" s="1" t="n">
        <v>46223</v>
      </c>
      <c r="F648" t="inlineStr">
        <is>
          <t>DALARNAS LÄN</t>
        </is>
      </c>
      <c r="G648" t="inlineStr">
        <is>
          <t>MALUNG-SÄLEN</t>
        </is>
      </c>
      <c r="I648" t="n">
        <v>8.1</v>
      </c>
      <c r="J648" t="n">
        <v>0</v>
      </c>
      <c r="K648" t="n">
        <v>0</v>
      </c>
      <c r="L648" t="n">
        <v>0</v>
      </c>
      <c r="M648" t="n">
        <v>0</v>
      </c>
      <c r="N648" t="n">
        <v>0</v>
      </c>
      <c r="O648" t="n">
        <v>0</v>
      </c>
      <c r="P648" t="n">
        <v>0</v>
      </c>
      <c r="Q648" t="n">
        <v>0</v>
      </c>
      <c r="R648" t="n">
        <v>0</v>
      </c>
      <c r="S648" t="n">
        <v>0</v>
      </c>
      <c r="T648" t="n">
        <v>0</v>
      </c>
      <c r="U648" s="2" t="inlineStr"/>
    </row>
    <row r="649" ht="15" customHeight="1">
      <c r="A649" t="inlineStr">
        <is>
          <t>A 41416-2023</t>
        </is>
      </c>
      <c r="B649" t="inlineStr">
        <is>
          <t>avverkningsanmälan</t>
        </is>
      </c>
      <c r="C649" t="inlineStr">
        <is>
          <t>Föryngringsavverkning</t>
        </is>
      </c>
      <c r="D649" s="1" t="n">
        <v>45175</v>
      </c>
      <c r="E649" s="1" t="n">
        <v>46223</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52507-2023</t>
        </is>
      </c>
      <c r="B650" t="inlineStr">
        <is>
          <t>avverkningsanmälan</t>
        </is>
      </c>
      <c r="C650" t="inlineStr">
        <is>
          <t>Föryngringsavverkning</t>
        </is>
      </c>
      <c r="D650" s="1" t="n">
        <v>45225</v>
      </c>
      <c r="E650" s="1" t="n">
        <v>46223</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38492-2021</t>
        </is>
      </c>
      <c r="B651" t="inlineStr">
        <is>
          <t>avverkningsanmälan</t>
        </is>
      </c>
      <c r="C651" t="inlineStr">
        <is>
          <t>Föryngringsavverkning</t>
        </is>
      </c>
      <c r="D651" s="1" t="n">
        <v>44405</v>
      </c>
      <c r="E651" s="1" t="n">
        <v>46223</v>
      </c>
      <c r="F651" t="inlineStr">
        <is>
          <t>DALARNAS LÄN</t>
        </is>
      </c>
      <c r="G651" t="inlineStr">
        <is>
          <t>MALUNG-SÄLEN</t>
        </is>
      </c>
      <c r="H651" t="inlineStr">
        <is>
          <t>Naturvårdsverket</t>
        </is>
      </c>
      <c r="I651" t="n">
        <v>5.2</v>
      </c>
      <c r="J651" t="n">
        <v>0</v>
      </c>
      <c r="K651" t="n">
        <v>0</v>
      </c>
      <c r="L651" t="n">
        <v>0</v>
      </c>
      <c r="M651" t="n">
        <v>0</v>
      </c>
      <c r="N651" t="n">
        <v>0</v>
      </c>
      <c r="O651" t="n">
        <v>0</v>
      </c>
      <c r="P651" t="n">
        <v>0</v>
      </c>
      <c r="Q651" t="n">
        <v>0</v>
      </c>
      <c r="R651" t="n">
        <v>0</v>
      </c>
      <c r="S651" t="n">
        <v>0</v>
      </c>
      <c r="T651" t="n">
        <v>0</v>
      </c>
      <c r="U651" s="2" t="inlineStr"/>
    </row>
    <row r="652" ht="15" customHeight="1">
      <c r="A652" t="inlineStr">
        <is>
          <t>A 33680-2025</t>
        </is>
      </c>
      <c r="B652" t="inlineStr">
        <is>
          <t>avverkningsanmälan</t>
        </is>
      </c>
      <c r="C652" t="inlineStr">
        <is>
          <t>Föryngringsavverkning</t>
        </is>
      </c>
      <c r="D652" s="1" t="n">
        <v>45841</v>
      </c>
      <c r="E652" s="1" t="n">
        <v>46223</v>
      </c>
      <c r="F652" t="inlineStr">
        <is>
          <t>DALARNAS LÄN</t>
        </is>
      </c>
      <c r="G652" t="inlineStr">
        <is>
          <t>MALUNG-SÄLEN</t>
        </is>
      </c>
      <c r="H652" t="inlineStr">
        <is>
          <t>Bergvik skog väst AB</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59088-2023</t>
        </is>
      </c>
      <c r="B653" t="inlineStr">
        <is>
          <t>avverkningsanmälan</t>
        </is>
      </c>
      <c r="C653" t="inlineStr">
        <is>
          <t>Föryngringsavverkning</t>
        </is>
      </c>
      <c r="D653" s="1" t="n">
        <v>45252</v>
      </c>
      <c r="E653" s="1" t="n">
        <v>46223</v>
      </c>
      <c r="F653" t="inlineStr">
        <is>
          <t>DALARNAS LÄN</t>
        </is>
      </c>
      <c r="G653" t="inlineStr">
        <is>
          <t>MALUNG-SÄLEN</t>
        </is>
      </c>
      <c r="I653" t="n">
        <v>5.8</v>
      </c>
      <c r="J653" t="n">
        <v>0</v>
      </c>
      <c r="K653" t="n">
        <v>0</v>
      </c>
      <c r="L653" t="n">
        <v>0</v>
      </c>
      <c r="M653" t="n">
        <v>0</v>
      </c>
      <c r="N653" t="n">
        <v>0</v>
      </c>
      <c r="O653" t="n">
        <v>0</v>
      </c>
      <c r="P653" t="n">
        <v>0</v>
      </c>
      <c r="Q653" t="n">
        <v>0</v>
      </c>
      <c r="R653" t="n">
        <v>0</v>
      </c>
      <c r="S653" t="n">
        <v>0</v>
      </c>
      <c r="T653" t="n">
        <v>0</v>
      </c>
      <c r="U653" s="2" t="inlineStr"/>
    </row>
    <row r="654" ht="15" customHeight="1">
      <c r="A654" t="inlineStr">
        <is>
          <t>A 26672-2022</t>
        </is>
      </c>
      <c r="B654" t="inlineStr">
        <is>
          <t>avverkningsanmälan</t>
        </is>
      </c>
      <c r="C654" t="inlineStr">
        <is>
          <t>Föryngringsavverkning</t>
        </is>
      </c>
      <c r="D654" s="1" t="n">
        <v>44739</v>
      </c>
      <c r="E654" s="1" t="n">
        <v>46223</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61233-2024</t>
        </is>
      </c>
      <c r="B655" t="inlineStr">
        <is>
          <t>avverkningsanmälan</t>
        </is>
      </c>
      <c r="C655" t="inlineStr">
        <is>
          <t>Föryngringsavverkning</t>
        </is>
      </c>
      <c r="D655" s="1" t="n">
        <v>45645</v>
      </c>
      <c r="E655" s="1" t="n">
        <v>46223</v>
      </c>
      <c r="F655" t="inlineStr">
        <is>
          <t>DALARNAS LÄN</t>
        </is>
      </c>
      <c r="G655" t="inlineStr">
        <is>
          <t>MALUNG-SÄLEN</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59954-2023</t>
        </is>
      </c>
      <c r="B656" t="inlineStr">
        <is>
          <t>avverkningsanmälan</t>
        </is>
      </c>
      <c r="C656" t="inlineStr">
        <is>
          <t>Föryngringsavverkning</t>
        </is>
      </c>
      <c r="D656" s="1" t="n">
        <v>45257</v>
      </c>
      <c r="E656" s="1" t="n">
        <v>46223</v>
      </c>
      <c r="F656" t="inlineStr">
        <is>
          <t>DALARNAS LÄN</t>
        </is>
      </c>
      <c r="G656" t="inlineStr">
        <is>
          <t>MALUNG-SÄLEN</t>
        </is>
      </c>
      <c r="I656" t="n">
        <v>10.1</v>
      </c>
      <c r="J656" t="n">
        <v>0</v>
      </c>
      <c r="K656" t="n">
        <v>0</v>
      </c>
      <c r="L656" t="n">
        <v>0</v>
      </c>
      <c r="M656" t="n">
        <v>0</v>
      </c>
      <c r="N656" t="n">
        <v>0</v>
      </c>
      <c r="O656" t="n">
        <v>0</v>
      </c>
      <c r="P656" t="n">
        <v>0</v>
      </c>
      <c r="Q656" t="n">
        <v>0</v>
      </c>
      <c r="R656" t="n">
        <v>0</v>
      </c>
      <c r="S656" t="n">
        <v>0</v>
      </c>
      <c r="T656" t="n">
        <v>0</v>
      </c>
      <c r="U656" s="2" t="inlineStr"/>
    </row>
    <row r="657" ht="15" customHeight="1">
      <c r="A657" t="inlineStr">
        <is>
          <t>A 32486-2022</t>
        </is>
      </c>
      <c r="B657" t="inlineStr">
        <is>
          <t>avverkningsanmälan</t>
        </is>
      </c>
      <c r="C657" t="inlineStr">
        <is>
          <t>Föryngringsavverkning</t>
        </is>
      </c>
      <c r="D657" s="1" t="n">
        <v>44782</v>
      </c>
      <c r="E657" s="1" t="n">
        <v>46223</v>
      </c>
      <c r="F657" t="inlineStr">
        <is>
          <t>DALARNAS LÄN</t>
        </is>
      </c>
      <c r="G657" t="inlineStr">
        <is>
          <t>MALUNG-SÄLEN</t>
        </is>
      </c>
      <c r="H657" t="inlineStr">
        <is>
          <t>Bergvik skog öst AB</t>
        </is>
      </c>
      <c r="I657" t="n">
        <v>3.8</v>
      </c>
      <c r="J657" t="n">
        <v>0</v>
      </c>
      <c r="K657" t="n">
        <v>0</v>
      </c>
      <c r="L657" t="n">
        <v>0</v>
      </c>
      <c r="M657" t="n">
        <v>0</v>
      </c>
      <c r="N657" t="n">
        <v>0</v>
      </c>
      <c r="O657" t="n">
        <v>0</v>
      </c>
      <c r="P657" t="n">
        <v>0</v>
      </c>
      <c r="Q657" t="n">
        <v>0</v>
      </c>
      <c r="R657" t="n">
        <v>0</v>
      </c>
      <c r="S657" t="n">
        <v>0</v>
      </c>
      <c r="T657" t="n">
        <v>0</v>
      </c>
      <c r="U657" s="2" t="inlineStr"/>
    </row>
    <row r="658" ht="15" customHeight="1">
      <c r="A658" t="inlineStr">
        <is>
          <t>A 21075-2026</t>
        </is>
      </c>
      <c r="B658" t="inlineStr">
        <is>
          <t>avverkningsanmälan</t>
        </is>
      </c>
      <c r="C658" t="inlineStr">
        <is>
          <t>Föryngringsavverkning</t>
        </is>
      </c>
      <c r="D658" s="1" t="n">
        <v>46146</v>
      </c>
      <c r="E658" s="1" t="n">
        <v>46223</v>
      </c>
      <c r="F658" t="inlineStr">
        <is>
          <t>DALARNAS LÄN</t>
        </is>
      </c>
      <c r="G658" t="inlineStr">
        <is>
          <t>MALUNG-SÄLEN</t>
        </is>
      </c>
      <c r="H658" t="inlineStr">
        <is>
          <t>Bergvik skog öst AB</t>
        </is>
      </c>
      <c r="I658" t="n">
        <v>29.3</v>
      </c>
      <c r="J658" t="n">
        <v>0</v>
      </c>
      <c r="K658" t="n">
        <v>0</v>
      </c>
      <c r="L658" t="n">
        <v>0</v>
      </c>
      <c r="M658" t="n">
        <v>0</v>
      </c>
      <c r="N658" t="n">
        <v>0</v>
      </c>
      <c r="O658" t="n">
        <v>0</v>
      </c>
      <c r="P658" t="n">
        <v>0</v>
      </c>
      <c r="Q658" t="n">
        <v>0</v>
      </c>
      <c r="R658" t="n">
        <v>0</v>
      </c>
      <c r="S658" t="n">
        <v>0</v>
      </c>
      <c r="T658" t="n">
        <v>0</v>
      </c>
      <c r="U658" s="2" t="inlineStr"/>
    </row>
    <row r="659" ht="15" customHeight="1">
      <c r="A659" t="inlineStr">
        <is>
          <t>A 11593-2025</t>
        </is>
      </c>
      <c r="B659" t="inlineStr">
        <is>
          <t>avverkningsanmälan</t>
        </is>
      </c>
      <c r="C659" t="inlineStr">
        <is>
          <t>Föryngringsavverkning</t>
        </is>
      </c>
      <c r="D659" s="1" t="n">
        <v>45727</v>
      </c>
      <c r="E659" s="1" t="n">
        <v>46223</v>
      </c>
      <c r="F659" t="inlineStr">
        <is>
          <t>DALARNAS LÄN</t>
        </is>
      </c>
      <c r="G659" t="inlineStr">
        <is>
          <t>MALUNG-SÄLEN</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58954-2023</t>
        </is>
      </c>
      <c r="B660" t="inlineStr">
        <is>
          <t>avverkningsanmälan</t>
        </is>
      </c>
      <c r="C660" t="inlineStr">
        <is>
          <t>Föryngringsavverkning</t>
        </is>
      </c>
      <c r="D660" s="1" t="n">
        <v>45252</v>
      </c>
      <c r="E660" s="1" t="n">
        <v>46223</v>
      </c>
      <c r="F660" t="inlineStr">
        <is>
          <t>DALARNAS LÄN</t>
        </is>
      </c>
      <c r="G660" t="inlineStr">
        <is>
          <t>MALUNG-SÄLEN</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9037-2025</t>
        </is>
      </c>
      <c r="B661" t="inlineStr">
        <is>
          <t>avverkningsanmälan</t>
        </is>
      </c>
      <c r="C661" t="inlineStr">
        <is>
          <t>Föryngringsavverkning</t>
        </is>
      </c>
      <c r="D661" s="1" t="n">
        <v>45713</v>
      </c>
      <c r="E661" s="1" t="n">
        <v>46223</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3853-2024</t>
        </is>
      </c>
      <c r="B662" t="inlineStr">
        <is>
          <t>avverkningsanmälan</t>
        </is>
      </c>
      <c r="C662" t="inlineStr">
        <is>
          <t>Föryngringsavverkning</t>
        </is>
      </c>
      <c r="D662" s="1" t="n">
        <v>45322</v>
      </c>
      <c r="E662" s="1" t="n">
        <v>46223</v>
      </c>
      <c r="F662" t="inlineStr">
        <is>
          <t>DALARNAS LÄN</t>
        </is>
      </c>
      <c r="G662" t="inlineStr">
        <is>
          <t>MALUNG-SÄLEN</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54928-2022</t>
        </is>
      </c>
      <c r="B663" t="inlineStr">
        <is>
          <t>avverkningsanmälan</t>
        </is>
      </c>
      <c r="C663" t="inlineStr">
        <is>
          <t>Föryngringsavverkning</t>
        </is>
      </c>
      <c r="D663" s="1" t="n">
        <v>44886</v>
      </c>
      <c r="E663" s="1" t="n">
        <v>46223</v>
      </c>
      <c r="F663" t="inlineStr">
        <is>
          <t>DALARNAS LÄN</t>
        </is>
      </c>
      <c r="G663" t="inlineStr">
        <is>
          <t>MALUNG-SÄLEN</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54932-2022</t>
        </is>
      </c>
      <c r="B664" t="inlineStr">
        <is>
          <t>avverkningsanmälan</t>
        </is>
      </c>
      <c r="C664" t="inlineStr">
        <is>
          <t>Föryngringsavverkning</t>
        </is>
      </c>
      <c r="D664" s="1" t="n">
        <v>44881</v>
      </c>
      <c r="E664" s="1" t="n">
        <v>46223</v>
      </c>
      <c r="F664" t="inlineStr">
        <is>
          <t>DALARNAS LÄN</t>
        </is>
      </c>
      <c r="G664" t="inlineStr">
        <is>
          <t>MALUNG-SÄLEN</t>
        </is>
      </c>
      <c r="I664" t="n">
        <v>8.1</v>
      </c>
      <c r="J664" t="n">
        <v>0</v>
      </c>
      <c r="K664" t="n">
        <v>0</v>
      </c>
      <c r="L664" t="n">
        <v>0</v>
      </c>
      <c r="M664" t="n">
        <v>0</v>
      </c>
      <c r="N664" t="n">
        <v>0</v>
      </c>
      <c r="O664" t="n">
        <v>0</v>
      </c>
      <c r="P664" t="n">
        <v>0</v>
      </c>
      <c r="Q664" t="n">
        <v>0</v>
      </c>
      <c r="R664" t="n">
        <v>0</v>
      </c>
      <c r="S664" t="n">
        <v>0</v>
      </c>
      <c r="T664" t="n">
        <v>0</v>
      </c>
      <c r="U664" s="2" t="inlineStr"/>
    </row>
    <row r="665" ht="15" customHeight="1">
      <c r="A665" t="inlineStr">
        <is>
          <t>A 55204-2023</t>
        </is>
      </c>
      <c r="B665" t="inlineStr">
        <is>
          <t>avverkningsanmälan</t>
        </is>
      </c>
      <c r="C665" t="inlineStr">
        <is>
          <t>Föryngringsavverkning</t>
        </is>
      </c>
      <c r="D665" s="1" t="n">
        <v>45237</v>
      </c>
      <c r="E665" s="1" t="n">
        <v>46223</v>
      </c>
      <c r="F665" t="inlineStr">
        <is>
          <t>DALARNAS LÄN</t>
        </is>
      </c>
      <c r="G665" t="inlineStr">
        <is>
          <t>MALUNG-SÄLEN</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55209-2023</t>
        </is>
      </c>
      <c r="B666" t="inlineStr">
        <is>
          <t>avverkningsanmälan</t>
        </is>
      </c>
      <c r="C666" t="inlineStr">
        <is>
          <t>Föryngringsavverkning</t>
        </is>
      </c>
      <c r="D666" s="1" t="n">
        <v>45237</v>
      </c>
      <c r="E666" s="1" t="n">
        <v>46223</v>
      </c>
      <c r="F666" t="inlineStr">
        <is>
          <t>DALARNAS LÄN</t>
        </is>
      </c>
      <c r="G666" t="inlineStr">
        <is>
          <t>MALUNG-SÄLEN</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21556-2026</t>
        </is>
      </c>
      <c r="B667" t="inlineStr">
        <is>
          <t>avverkningsanmälan</t>
        </is>
      </c>
      <c r="C667" t="inlineStr">
        <is>
          <t>Föryngringsavverkning</t>
        </is>
      </c>
      <c r="D667" s="1" t="n">
        <v>46148</v>
      </c>
      <c r="E667" s="1" t="n">
        <v>46223</v>
      </c>
      <c r="F667" t="inlineStr">
        <is>
          <t>DALARNAS LÄN</t>
        </is>
      </c>
      <c r="G667" t="inlineStr">
        <is>
          <t>MALUNG-SÄLEN</t>
        </is>
      </c>
      <c r="H667" t="inlineStr">
        <is>
          <t>Bergvik skog öst AB</t>
        </is>
      </c>
      <c r="I667" t="n">
        <v>12.6</v>
      </c>
      <c r="J667" t="n">
        <v>0</v>
      </c>
      <c r="K667" t="n">
        <v>0</v>
      </c>
      <c r="L667" t="n">
        <v>0</v>
      </c>
      <c r="M667" t="n">
        <v>0</v>
      </c>
      <c r="N667" t="n">
        <v>0</v>
      </c>
      <c r="O667" t="n">
        <v>0</v>
      </c>
      <c r="P667" t="n">
        <v>0</v>
      </c>
      <c r="Q667" t="n">
        <v>0</v>
      </c>
      <c r="R667" t="n">
        <v>0</v>
      </c>
      <c r="S667" t="n">
        <v>0</v>
      </c>
      <c r="T667" t="n">
        <v>0</v>
      </c>
      <c r="U667" s="2" t="inlineStr"/>
    </row>
    <row r="668" ht="15" customHeight="1">
      <c r="A668" t="inlineStr">
        <is>
          <t>A 59915-2023</t>
        </is>
      </c>
      <c r="B668" t="inlineStr">
        <is>
          <t>avverkningsanmälan</t>
        </is>
      </c>
      <c r="C668" t="inlineStr">
        <is>
          <t>Föryngringsavverkning</t>
        </is>
      </c>
      <c r="D668" s="1" t="n">
        <v>45257</v>
      </c>
      <c r="E668" s="1" t="n">
        <v>46223</v>
      </c>
      <c r="F668" t="inlineStr">
        <is>
          <t>DALARNAS LÄN</t>
        </is>
      </c>
      <c r="G668" t="inlineStr">
        <is>
          <t>MALUNG-SÄLEN</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27477-2026</t>
        </is>
      </c>
      <c r="B669" t="inlineStr">
        <is>
          <t>avverkningsanmälan</t>
        </is>
      </c>
      <c r="C669" t="inlineStr">
        <is>
          <t>Föryngringsavverkning</t>
        </is>
      </c>
      <c r="D669" s="1" t="n">
        <v>46189</v>
      </c>
      <c r="E669" s="1" t="n">
        <v>46223</v>
      </c>
      <c r="F669" t="inlineStr">
        <is>
          <t>DALARNAS LÄN</t>
        </is>
      </c>
      <c r="G669" t="inlineStr">
        <is>
          <t>MALUNG-SÄLEN</t>
        </is>
      </c>
      <c r="H669" t="inlineStr">
        <is>
          <t>Allmännings- och besparingsskogar</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27497-2026</t>
        </is>
      </c>
      <c r="B670" t="inlineStr">
        <is>
          <t>avverkningsanmälan</t>
        </is>
      </c>
      <c r="C670" t="inlineStr">
        <is>
          <t>Föryngringsavverkning</t>
        </is>
      </c>
      <c r="D670" s="1" t="n">
        <v>46189</v>
      </c>
      <c r="E670" s="1" t="n">
        <v>46223</v>
      </c>
      <c r="F670" t="inlineStr">
        <is>
          <t>DALARNAS LÄN</t>
        </is>
      </c>
      <c r="G670" t="inlineStr">
        <is>
          <t>MALUNG-SÄLEN</t>
        </is>
      </c>
      <c r="H670" t="inlineStr">
        <is>
          <t>Allmännings- och besparingsskogar</t>
        </is>
      </c>
      <c r="I670" t="n">
        <v>23.9</v>
      </c>
      <c r="J670" t="n">
        <v>0</v>
      </c>
      <c r="K670" t="n">
        <v>0</v>
      </c>
      <c r="L670" t="n">
        <v>0</v>
      </c>
      <c r="M670" t="n">
        <v>0</v>
      </c>
      <c r="N670" t="n">
        <v>0</v>
      </c>
      <c r="O670" t="n">
        <v>0</v>
      </c>
      <c r="P670" t="n">
        <v>0</v>
      </c>
      <c r="Q670" t="n">
        <v>0</v>
      </c>
      <c r="R670" t="n">
        <v>0</v>
      </c>
      <c r="S670" t="n">
        <v>0</v>
      </c>
      <c r="T670" t="n">
        <v>0</v>
      </c>
      <c r="U670" s="2" t="inlineStr"/>
    </row>
    <row r="671" ht="15" customHeight="1">
      <c r="A671" t="inlineStr">
        <is>
          <t>A 28038-2025</t>
        </is>
      </c>
      <c r="B671" t="inlineStr">
        <is>
          <t>avverkningsanmälan</t>
        </is>
      </c>
      <c r="C671" t="inlineStr">
        <is>
          <t>Avverkning för annat ändamål</t>
        </is>
      </c>
      <c r="D671" s="1" t="n">
        <v>45817</v>
      </c>
      <c r="E671" s="1" t="n">
        <v>46223</v>
      </c>
      <c r="F671" t="inlineStr">
        <is>
          <t>DALARNAS LÄN</t>
        </is>
      </c>
      <c r="G671" t="inlineStr">
        <is>
          <t>MALUNG-SÄLEN</t>
        </is>
      </c>
      <c r="H671" t="inlineStr">
        <is>
          <t>Kommuner</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19312-2025</t>
        </is>
      </c>
      <c r="B672" t="inlineStr">
        <is>
          <t>avverkningsanmälan</t>
        </is>
      </c>
      <c r="C672" t="inlineStr">
        <is>
          <t>Föryngringsavverkning</t>
        </is>
      </c>
      <c r="D672" s="1" t="n">
        <v>45769</v>
      </c>
      <c r="E672" s="1" t="n">
        <v>46223</v>
      </c>
      <c r="F672" t="inlineStr">
        <is>
          <t>DALARNAS LÄN</t>
        </is>
      </c>
      <c r="G672" t="inlineStr">
        <is>
          <t>MALUNG-SÄLEN</t>
        </is>
      </c>
      <c r="H672" t="inlineStr">
        <is>
          <t>Bergvik skog öst AB</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8826-2024</t>
        </is>
      </c>
      <c r="B673" t="inlineStr">
        <is>
          <t>avverkningsanmälan</t>
        </is>
      </c>
      <c r="C673" t="inlineStr">
        <is>
          <t>Avverkning för annat ändamål</t>
        </is>
      </c>
      <c r="D673" s="1" t="n">
        <v>45355</v>
      </c>
      <c r="E673" s="1" t="n">
        <v>46223</v>
      </c>
      <c r="F673" t="inlineStr">
        <is>
          <t>DALARNAS LÄN</t>
        </is>
      </c>
      <c r="G673" t="inlineStr">
        <is>
          <t>MALUNG-SÄLEN</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27839-2026</t>
        </is>
      </c>
      <c r="B674" t="inlineStr">
        <is>
          <t>avverkningsanmälan</t>
        </is>
      </c>
      <c r="C674" t="inlineStr">
        <is>
          <t>Föryngringsavverkning</t>
        </is>
      </c>
      <c r="D674" s="1" t="n">
        <v>46191</v>
      </c>
      <c r="E674" s="1" t="n">
        <v>46223</v>
      </c>
      <c r="F674" t="inlineStr">
        <is>
          <t>DALARNAS LÄN</t>
        </is>
      </c>
      <c r="G674" t="inlineStr">
        <is>
          <t>MALUNG-SÄLEN</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59875-2022</t>
        </is>
      </c>
      <c r="B675" t="inlineStr">
        <is>
          <t>avverkningsanmälan</t>
        </is>
      </c>
      <c r="C675" t="inlineStr">
        <is>
          <t>Föryngringsavverkning</t>
        </is>
      </c>
      <c r="D675" s="1" t="n">
        <v>44908</v>
      </c>
      <c r="E675" s="1" t="n">
        <v>46223</v>
      </c>
      <c r="F675" t="inlineStr">
        <is>
          <t>DALARNAS LÄN</t>
        </is>
      </c>
      <c r="G675" t="inlineStr">
        <is>
          <t>MALUNG-SÄLEN</t>
        </is>
      </c>
      <c r="H675" t="inlineStr">
        <is>
          <t>Kommuner</t>
        </is>
      </c>
      <c r="I675" t="n">
        <v>17.8</v>
      </c>
      <c r="J675" t="n">
        <v>0</v>
      </c>
      <c r="K675" t="n">
        <v>0</v>
      </c>
      <c r="L675" t="n">
        <v>0</v>
      </c>
      <c r="M675" t="n">
        <v>0</v>
      </c>
      <c r="N675" t="n">
        <v>0</v>
      </c>
      <c r="O675" t="n">
        <v>0</v>
      </c>
      <c r="P675" t="n">
        <v>0</v>
      </c>
      <c r="Q675" t="n">
        <v>0</v>
      </c>
      <c r="R675" t="n">
        <v>0</v>
      </c>
      <c r="S675" t="n">
        <v>0</v>
      </c>
      <c r="T675" t="n">
        <v>0</v>
      </c>
      <c r="U675" s="2" t="inlineStr"/>
    </row>
    <row r="676" ht="15" customHeight="1">
      <c r="A676" t="inlineStr">
        <is>
          <t>A 21759-2026</t>
        </is>
      </c>
      <c r="B676" t="inlineStr">
        <is>
          <t>avverkningsanmälan</t>
        </is>
      </c>
      <c r="C676" t="inlineStr">
        <is>
          <t>Föryngringsavverkning</t>
        </is>
      </c>
      <c r="D676" s="1" t="n">
        <v>46149</v>
      </c>
      <c r="E676" s="1" t="n">
        <v>46223</v>
      </c>
      <c r="F676" t="inlineStr">
        <is>
          <t>DALARNAS LÄN</t>
        </is>
      </c>
      <c r="G676" t="inlineStr">
        <is>
          <t>MALUNG-SÄLEN</t>
        </is>
      </c>
      <c r="H676" t="inlineStr">
        <is>
          <t>Bergvik skog väst AB</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21734-2026</t>
        </is>
      </c>
      <c r="B677" t="inlineStr">
        <is>
          <t>avverkningsanmälan</t>
        </is>
      </c>
      <c r="C677" t="inlineStr">
        <is>
          <t>Föryngringsavverkning</t>
        </is>
      </c>
      <c r="D677" s="1" t="n">
        <v>46149</v>
      </c>
      <c r="E677" s="1" t="n">
        <v>46223</v>
      </c>
      <c r="F677" t="inlineStr">
        <is>
          <t>DALARNAS LÄN</t>
        </is>
      </c>
      <c r="G677" t="inlineStr">
        <is>
          <t>MALUNG-SÄLEN</t>
        </is>
      </c>
      <c r="H677" t="inlineStr">
        <is>
          <t>Bergvik skog öst AB</t>
        </is>
      </c>
      <c r="I677" t="n">
        <v>3</v>
      </c>
      <c r="J677" t="n">
        <v>0</v>
      </c>
      <c r="K677" t="n">
        <v>0</v>
      </c>
      <c r="L677" t="n">
        <v>0</v>
      </c>
      <c r="M677" t="n">
        <v>0</v>
      </c>
      <c r="N677" t="n">
        <v>0</v>
      </c>
      <c r="O677" t="n">
        <v>0</v>
      </c>
      <c r="P677" t="n">
        <v>0</v>
      </c>
      <c r="Q677" t="n">
        <v>0</v>
      </c>
      <c r="R677" t="n">
        <v>0</v>
      </c>
      <c r="S677" t="n">
        <v>0</v>
      </c>
      <c r="T677" t="n">
        <v>0</v>
      </c>
      <c r="U677" s="2" t="inlineStr"/>
    </row>
    <row r="678" ht="15" customHeight="1">
      <c r="A678" t="inlineStr">
        <is>
          <t>A 3543-2023</t>
        </is>
      </c>
      <c r="B678" t="inlineStr">
        <is>
          <t>avverkningsanmälan</t>
        </is>
      </c>
      <c r="C678" t="inlineStr">
        <is>
          <t>Föryngringsavverkning</t>
        </is>
      </c>
      <c r="D678" s="1" t="n">
        <v>44950</v>
      </c>
      <c r="E678" s="1" t="n">
        <v>46223</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3583-2023</t>
        </is>
      </c>
      <c r="B679" t="inlineStr">
        <is>
          <t>avverkningsanmälan</t>
        </is>
      </c>
      <c r="C679" t="inlineStr">
        <is>
          <t>Föryngringsavverkning</t>
        </is>
      </c>
      <c r="D679" s="1" t="n">
        <v>44950</v>
      </c>
      <c r="E679" s="1" t="n">
        <v>46223</v>
      </c>
      <c r="F679" t="inlineStr">
        <is>
          <t>DALARNAS LÄN</t>
        </is>
      </c>
      <c r="G679" t="inlineStr">
        <is>
          <t>MALUNG-SÄLEN</t>
        </is>
      </c>
      <c r="I679" t="n">
        <v>4</v>
      </c>
      <c r="J679" t="n">
        <v>0</v>
      </c>
      <c r="K679" t="n">
        <v>0</v>
      </c>
      <c r="L679" t="n">
        <v>0</v>
      </c>
      <c r="M679" t="n">
        <v>0</v>
      </c>
      <c r="N679" t="n">
        <v>0</v>
      </c>
      <c r="O679" t="n">
        <v>0</v>
      </c>
      <c r="P679" t="n">
        <v>0</v>
      </c>
      <c r="Q679" t="n">
        <v>0</v>
      </c>
      <c r="R679" t="n">
        <v>0</v>
      </c>
      <c r="S679" t="n">
        <v>0</v>
      </c>
      <c r="T679" t="n">
        <v>0</v>
      </c>
      <c r="U679" s="2" t="inlineStr"/>
    </row>
    <row r="680" ht="15" customHeight="1">
      <c r="A680" t="inlineStr">
        <is>
          <t>A 63007-2023</t>
        </is>
      </c>
      <c r="B680" t="inlineStr">
        <is>
          <t>avverkningsanmälan</t>
        </is>
      </c>
      <c r="C680" t="inlineStr">
        <is>
          <t>Föryngringsavverkning</t>
        </is>
      </c>
      <c r="D680" s="1" t="n">
        <v>45272</v>
      </c>
      <c r="E680" s="1" t="n">
        <v>46223</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21740-2026</t>
        </is>
      </c>
      <c r="B681" t="inlineStr">
        <is>
          <t>avverkningsanmälan</t>
        </is>
      </c>
      <c r="C681" t="inlineStr">
        <is>
          <t>Föryngringsavverkning</t>
        </is>
      </c>
      <c r="D681" s="1" t="n">
        <v>46149</v>
      </c>
      <c r="E681" s="1" t="n">
        <v>46223</v>
      </c>
      <c r="F681" t="inlineStr">
        <is>
          <t>DALARNAS LÄN</t>
        </is>
      </c>
      <c r="G681" t="inlineStr">
        <is>
          <t>MALUNG-SÄLEN</t>
        </is>
      </c>
      <c r="H681" t="inlineStr">
        <is>
          <t>Bergvik skog öst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8824-2024</t>
        </is>
      </c>
      <c r="B682" t="inlineStr">
        <is>
          <t>avverkningsanmälan</t>
        </is>
      </c>
      <c r="C682" t="inlineStr">
        <is>
          <t>Avverkning för annat ändamål</t>
        </is>
      </c>
      <c r="D682" s="1" t="n">
        <v>45355</v>
      </c>
      <c r="E682" s="1" t="n">
        <v>46223</v>
      </c>
      <c r="F682" t="inlineStr">
        <is>
          <t>DALARNAS LÄN</t>
        </is>
      </c>
      <c r="G682" t="inlineStr">
        <is>
          <t>MALUNG-SÄLEN</t>
        </is>
      </c>
      <c r="H682" t="inlineStr">
        <is>
          <t>Allmännings- och besparingsskogar</t>
        </is>
      </c>
      <c r="I682" t="n">
        <v>0.2</v>
      </c>
      <c r="J682" t="n">
        <v>0</v>
      </c>
      <c r="K682" t="n">
        <v>0</v>
      </c>
      <c r="L682" t="n">
        <v>0</v>
      </c>
      <c r="M682" t="n">
        <v>0</v>
      </c>
      <c r="N682" t="n">
        <v>0</v>
      </c>
      <c r="O682" t="n">
        <v>0</v>
      </c>
      <c r="P682" t="n">
        <v>0</v>
      </c>
      <c r="Q682" t="n">
        <v>0</v>
      </c>
      <c r="R682" t="n">
        <v>0</v>
      </c>
      <c r="S682" t="n">
        <v>0</v>
      </c>
      <c r="T682" t="n">
        <v>0</v>
      </c>
      <c r="U682" s="2" t="inlineStr"/>
    </row>
    <row r="683" ht="15" customHeight="1">
      <c r="A683" t="inlineStr">
        <is>
          <t>A 21757-2026</t>
        </is>
      </c>
      <c r="B683" t="inlineStr">
        <is>
          <t>avverkningsanmälan</t>
        </is>
      </c>
      <c r="C683" t="inlineStr">
        <is>
          <t>Föryngringsavverkning</t>
        </is>
      </c>
      <c r="D683" s="1" t="n">
        <v>46149</v>
      </c>
      <c r="E683" s="1" t="n">
        <v>46223</v>
      </c>
      <c r="F683" t="inlineStr">
        <is>
          <t>DALARNAS LÄN</t>
        </is>
      </c>
      <c r="G683" t="inlineStr">
        <is>
          <t>MALUNG-SÄLEN</t>
        </is>
      </c>
      <c r="H683" t="inlineStr">
        <is>
          <t>Bergvik skog väst AB</t>
        </is>
      </c>
      <c r="I683" t="n">
        <v>24.4</v>
      </c>
      <c r="J683" t="n">
        <v>0</v>
      </c>
      <c r="K683" t="n">
        <v>0</v>
      </c>
      <c r="L683" t="n">
        <v>0</v>
      </c>
      <c r="M683" t="n">
        <v>0</v>
      </c>
      <c r="N683" t="n">
        <v>0</v>
      </c>
      <c r="O683" t="n">
        <v>0</v>
      </c>
      <c r="P683" t="n">
        <v>0</v>
      </c>
      <c r="Q683" t="n">
        <v>0</v>
      </c>
      <c r="R683" t="n">
        <v>0</v>
      </c>
      <c r="S683" t="n">
        <v>0</v>
      </c>
      <c r="T683" t="n">
        <v>0</v>
      </c>
      <c r="U683" s="2" t="inlineStr"/>
    </row>
    <row r="684" ht="15" customHeight="1">
      <c r="A684" t="inlineStr">
        <is>
          <t>A 22026-2026</t>
        </is>
      </c>
      <c r="B684" t="inlineStr">
        <is>
          <t>avverkningsanmälan</t>
        </is>
      </c>
      <c r="C684" t="inlineStr">
        <is>
          <t>Föryngringsavverkning</t>
        </is>
      </c>
      <c r="D684" s="1" t="n">
        <v>46153</v>
      </c>
      <c r="E684" s="1" t="n">
        <v>46223</v>
      </c>
      <c r="F684" t="inlineStr">
        <is>
          <t>DALARNAS LÄN</t>
        </is>
      </c>
      <c r="G684" t="inlineStr">
        <is>
          <t>MALUNG-SÄLEN</t>
        </is>
      </c>
      <c r="I684" t="n">
        <v>3.5</v>
      </c>
      <c r="J684" t="n">
        <v>0</v>
      </c>
      <c r="K684" t="n">
        <v>0</v>
      </c>
      <c r="L684" t="n">
        <v>0</v>
      </c>
      <c r="M684" t="n">
        <v>0</v>
      </c>
      <c r="N684" t="n">
        <v>0</v>
      </c>
      <c r="O684" t="n">
        <v>0</v>
      </c>
      <c r="P684" t="n">
        <v>0</v>
      </c>
      <c r="Q684" t="n">
        <v>0</v>
      </c>
      <c r="R684" t="n">
        <v>0</v>
      </c>
      <c r="S684" t="n">
        <v>0</v>
      </c>
      <c r="T684" t="n">
        <v>0</v>
      </c>
      <c r="U684" s="2" t="inlineStr"/>
    </row>
    <row r="685" ht="15" customHeight="1">
      <c r="A685" t="inlineStr">
        <is>
          <t>A 37677-2024</t>
        </is>
      </c>
      <c r="B685" t="inlineStr">
        <is>
          <t>avverkningsanmälan</t>
        </is>
      </c>
      <c r="C685" t="inlineStr">
        <is>
          <t>Föryngringsavverkning</t>
        </is>
      </c>
      <c r="D685" s="1" t="n">
        <v>45541</v>
      </c>
      <c r="E685" s="1" t="n">
        <v>46223</v>
      </c>
      <c r="F685" t="inlineStr">
        <is>
          <t>DALARNAS LÄN</t>
        </is>
      </c>
      <c r="G685" t="inlineStr">
        <is>
          <t>MALUNG-SÄLEN</t>
        </is>
      </c>
      <c r="H685" t="inlineStr">
        <is>
          <t>Bergvik skog öst AB</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60230-2021</t>
        </is>
      </c>
      <c r="B686" t="inlineStr">
        <is>
          <t>avverkningsanmälan</t>
        </is>
      </c>
      <c r="C686" t="inlineStr">
        <is>
          <t>Föryngringsavverkning</t>
        </is>
      </c>
      <c r="D686" s="1" t="n">
        <v>44495</v>
      </c>
      <c r="E686" s="1" t="n">
        <v>46223</v>
      </c>
      <c r="F686" t="inlineStr">
        <is>
          <t>DALARNAS LÄN</t>
        </is>
      </c>
      <c r="G686" t="inlineStr">
        <is>
          <t>MALUNG-SÄLEN</t>
        </is>
      </c>
      <c r="I686" t="n">
        <v>4</v>
      </c>
      <c r="J686" t="n">
        <v>0</v>
      </c>
      <c r="K686" t="n">
        <v>0</v>
      </c>
      <c r="L686" t="n">
        <v>0</v>
      </c>
      <c r="M686" t="n">
        <v>0</v>
      </c>
      <c r="N686" t="n">
        <v>0</v>
      </c>
      <c r="O686" t="n">
        <v>0</v>
      </c>
      <c r="P686" t="n">
        <v>0</v>
      </c>
      <c r="Q686" t="n">
        <v>0</v>
      </c>
      <c r="R686" t="n">
        <v>0</v>
      </c>
      <c r="S686" t="n">
        <v>0</v>
      </c>
      <c r="T686" t="n">
        <v>0</v>
      </c>
      <c r="U686" s="2" t="inlineStr"/>
    </row>
    <row r="687" ht="15" customHeight="1">
      <c r="A687" t="inlineStr">
        <is>
          <t>A 971-2024</t>
        </is>
      </c>
      <c r="B687" t="inlineStr">
        <is>
          <t>avverkningsanmälan</t>
        </is>
      </c>
      <c r="C687" t="inlineStr">
        <is>
          <t>Föryngringsavverkning</t>
        </is>
      </c>
      <c r="D687" s="1" t="n">
        <v>45301</v>
      </c>
      <c r="E687" s="1" t="n">
        <v>46223</v>
      </c>
      <c r="F687" t="inlineStr">
        <is>
          <t>DALARNAS LÄN</t>
        </is>
      </c>
      <c r="G687" t="inlineStr">
        <is>
          <t>MALUNG-SÄLEN</t>
        </is>
      </c>
      <c r="I687" t="n">
        <v>4.7</v>
      </c>
      <c r="J687" t="n">
        <v>0</v>
      </c>
      <c r="K687" t="n">
        <v>0</v>
      </c>
      <c r="L687" t="n">
        <v>0</v>
      </c>
      <c r="M687" t="n">
        <v>0</v>
      </c>
      <c r="N687" t="n">
        <v>0</v>
      </c>
      <c r="O687" t="n">
        <v>0</v>
      </c>
      <c r="P687" t="n">
        <v>0</v>
      </c>
      <c r="Q687" t="n">
        <v>0</v>
      </c>
      <c r="R687" t="n">
        <v>0</v>
      </c>
      <c r="S687" t="n">
        <v>0</v>
      </c>
      <c r="T687" t="n">
        <v>0</v>
      </c>
      <c r="U687" s="2" t="inlineStr"/>
    </row>
    <row r="688" ht="15" customHeight="1">
      <c r="A688" t="inlineStr">
        <is>
          <t>A 1400-2024</t>
        </is>
      </c>
      <c r="B688" t="inlineStr">
        <is>
          <t>avverkningsanmälan</t>
        </is>
      </c>
      <c r="C688" t="inlineStr">
        <is>
          <t>Föryngringsavverkning</t>
        </is>
      </c>
      <c r="D688" s="1" t="n">
        <v>45303</v>
      </c>
      <c r="E688" s="1" t="n">
        <v>46223</v>
      </c>
      <c r="F688" t="inlineStr">
        <is>
          <t>DALARNAS LÄN</t>
        </is>
      </c>
      <c r="G688" t="inlineStr">
        <is>
          <t>MALUNG-SÄLEN</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1704-2023</t>
        </is>
      </c>
      <c r="B689" t="inlineStr">
        <is>
          <t>avverkningsanmälan</t>
        </is>
      </c>
      <c r="C689" t="inlineStr">
        <is>
          <t>Föryngringsavverkning</t>
        </is>
      </c>
      <c r="D689" s="1" t="n">
        <v>44938</v>
      </c>
      <c r="E689" s="1" t="n">
        <v>46223</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s="2" t="inlineStr"/>
    </row>
    <row r="690" ht="15" customHeight="1">
      <c r="A690" t="inlineStr">
        <is>
          <t>A 42924-2024</t>
        </is>
      </c>
      <c r="B690" t="inlineStr">
        <is>
          <t>avverkningsanmälan</t>
        </is>
      </c>
      <c r="C690" t="inlineStr">
        <is>
          <t>Föryngringsavverkning</t>
        </is>
      </c>
      <c r="D690" s="1" t="n">
        <v>45567</v>
      </c>
      <c r="E690" s="1" t="n">
        <v>46223</v>
      </c>
      <c r="F690" t="inlineStr">
        <is>
          <t>DALARNAS LÄN</t>
        </is>
      </c>
      <c r="G690" t="inlineStr">
        <is>
          <t>MALUNG-SÄLEN</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38900-2024</t>
        </is>
      </c>
      <c r="B691" t="inlineStr">
        <is>
          <t>avverkningsanmälan</t>
        </is>
      </c>
      <c r="C691" t="inlineStr">
        <is>
          <t>Avverkning för annat ändamål</t>
        </is>
      </c>
      <c r="D691" s="1" t="n">
        <v>45547</v>
      </c>
      <c r="E691" s="1" t="n">
        <v>46223</v>
      </c>
      <c r="F691" t="inlineStr">
        <is>
          <t>DALARNAS LÄN</t>
        </is>
      </c>
      <c r="G691" t="inlineStr">
        <is>
          <t>MALUNG-SÄLEN</t>
        </is>
      </c>
      <c r="I691" t="n">
        <v>0.1</v>
      </c>
      <c r="J691" t="n">
        <v>0</v>
      </c>
      <c r="K691" t="n">
        <v>0</v>
      </c>
      <c r="L691" t="n">
        <v>0</v>
      </c>
      <c r="M691" t="n">
        <v>0</v>
      </c>
      <c r="N691" t="n">
        <v>0</v>
      </c>
      <c r="O691" t="n">
        <v>0</v>
      </c>
      <c r="P691" t="n">
        <v>0</v>
      </c>
      <c r="Q691" t="n">
        <v>0</v>
      </c>
      <c r="R691" t="n">
        <v>0</v>
      </c>
      <c r="S691" t="n">
        <v>0</v>
      </c>
      <c r="T691" t="n">
        <v>0</v>
      </c>
      <c r="U691" s="2" t="inlineStr"/>
    </row>
    <row r="692" ht="15" customHeight="1">
      <c r="A692" t="inlineStr">
        <is>
          <t>A 19857-2023</t>
        </is>
      </c>
      <c r="B692" t="inlineStr">
        <is>
          <t>avverkningsanmälan</t>
        </is>
      </c>
      <c r="C692" t="inlineStr">
        <is>
          <t>Föryngringsavverkning</t>
        </is>
      </c>
      <c r="D692" s="1" t="n">
        <v>45053</v>
      </c>
      <c r="E692" s="1" t="n">
        <v>46223</v>
      </c>
      <c r="F692" t="inlineStr">
        <is>
          <t>DALARNAS LÄN</t>
        </is>
      </c>
      <c r="G692" t="inlineStr">
        <is>
          <t>MALUNG-SÄLEN</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36988-2025</t>
        </is>
      </c>
      <c r="B693" t="inlineStr">
        <is>
          <t>avverkningsanmälan</t>
        </is>
      </c>
      <c r="C693" t="inlineStr">
        <is>
          <t>Föryngringsavverkning</t>
        </is>
      </c>
      <c r="D693" s="1" t="n">
        <v>45874</v>
      </c>
      <c r="E693" s="1" t="n">
        <v>46223</v>
      </c>
      <c r="F693" t="inlineStr">
        <is>
          <t>DALARNAS LÄN</t>
        </is>
      </c>
      <c r="G693" t="inlineStr">
        <is>
          <t>MALUNG-SÄLEN</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48982-2022</t>
        </is>
      </c>
      <c r="B694" t="inlineStr">
        <is>
          <t>avverkningsanmälan</t>
        </is>
      </c>
      <c r="C694" t="inlineStr">
        <is>
          <t>Föryngringsavverkning</t>
        </is>
      </c>
      <c r="D694" s="1" t="n">
        <v>44860</v>
      </c>
      <c r="E694" s="1" t="n">
        <v>46223</v>
      </c>
      <c r="F694" t="inlineStr">
        <is>
          <t>DALARNAS LÄN</t>
        </is>
      </c>
      <c r="G694" t="inlineStr">
        <is>
          <t>MALUNG-SÄLEN</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57895-2022</t>
        </is>
      </c>
      <c r="B695" t="inlineStr">
        <is>
          <t>avverkningsanmälan</t>
        </is>
      </c>
      <c r="C695" t="inlineStr">
        <is>
          <t>Föryngringsavverkning</t>
        </is>
      </c>
      <c r="D695" s="1" t="n">
        <v>44900</v>
      </c>
      <c r="E695" s="1" t="n">
        <v>46223</v>
      </c>
      <c r="F695" t="inlineStr">
        <is>
          <t>DALARNAS LÄN</t>
        </is>
      </c>
      <c r="G695" t="inlineStr">
        <is>
          <t>MALUNG-SÄLEN</t>
        </is>
      </c>
      <c r="H695" t="inlineStr">
        <is>
          <t>Allmännings- och besparingsskogar</t>
        </is>
      </c>
      <c r="I695" t="n">
        <v>6</v>
      </c>
      <c r="J695" t="n">
        <v>0</v>
      </c>
      <c r="K695" t="n">
        <v>0</v>
      </c>
      <c r="L695" t="n">
        <v>0</v>
      </c>
      <c r="M695" t="n">
        <v>0</v>
      </c>
      <c r="N695" t="n">
        <v>0</v>
      </c>
      <c r="O695" t="n">
        <v>0</v>
      </c>
      <c r="P695" t="n">
        <v>0</v>
      </c>
      <c r="Q695" t="n">
        <v>0</v>
      </c>
      <c r="R695" t="n">
        <v>0</v>
      </c>
      <c r="S695" t="n">
        <v>0</v>
      </c>
      <c r="T695" t="n">
        <v>0</v>
      </c>
      <c r="U695" s="2" t="inlineStr"/>
    </row>
    <row r="696" ht="15" customHeight="1">
      <c r="A696" t="inlineStr">
        <is>
          <t>A 55969-2024</t>
        </is>
      </c>
      <c r="B696" t="inlineStr">
        <is>
          <t>avverkningsanmälan</t>
        </is>
      </c>
      <c r="C696" t="inlineStr">
        <is>
          <t>Föryngringsavverkning</t>
        </is>
      </c>
      <c r="D696" s="1" t="n">
        <v>45623</v>
      </c>
      <c r="E696" s="1" t="n">
        <v>46223</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23413-2024</t>
        </is>
      </c>
      <c r="B697" t="inlineStr">
        <is>
          <t>avverkningsanmälan</t>
        </is>
      </c>
      <c r="C697" t="inlineStr">
        <is>
          <t>Föryngringsavverkning</t>
        </is>
      </c>
      <c r="D697" s="1" t="n">
        <v>45453</v>
      </c>
      <c r="E697" s="1" t="n">
        <v>46223</v>
      </c>
      <c r="F697" t="inlineStr">
        <is>
          <t>DALARNAS LÄN</t>
        </is>
      </c>
      <c r="G697" t="inlineStr">
        <is>
          <t>MALUNG-SÄLEN</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57744-2022</t>
        </is>
      </c>
      <c r="B698" t="inlineStr">
        <is>
          <t>avverkningsanmälan</t>
        </is>
      </c>
      <c r="C698" t="inlineStr">
        <is>
          <t>Föryngringsavverkning</t>
        </is>
      </c>
      <c r="D698" s="1" t="n">
        <v>44897</v>
      </c>
      <c r="E698" s="1" t="n">
        <v>46223</v>
      </c>
      <c r="F698" t="inlineStr">
        <is>
          <t>DALARNAS LÄN</t>
        </is>
      </c>
      <c r="G698" t="inlineStr">
        <is>
          <t>MALUNG-SÄLEN</t>
        </is>
      </c>
      <c r="I698" t="n">
        <v>3.6</v>
      </c>
      <c r="J698" t="n">
        <v>0</v>
      </c>
      <c r="K698" t="n">
        <v>0</v>
      </c>
      <c r="L698" t="n">
        <v>0</v>
      </c>
      <c r="M698" t="n">
        <v>0</v>
      </c>
      <c r="N698" t="n">
        <v>0</v>
      </c>
      <c r="O698" t="n">
        <v>0</v>
      </c>
      <c r="P698" t="n">
        <v>0</v>
      </c>
      <c r="Q698" t="n">
        <v>0</v>
      </c>
      <c r="R698" t="n">
        <v>0</v>
      </c>
      <c r="S698" t="n">
        <v>0</v>
      </c>
      <c r="T698" t="n">
        <v>0</v>
      </c>
      <c r="U698" s="2" t="inlineStr"/>
    </row>
    <row r="699" ht="15" customHeight="1">
      <c r="A699" t="inlineStr">
        <is>
          <t>A 26913-2022</t>
        </is>
      </c>
      <c r="B699" t="inlineStr">
        <is>
          <t>avverkningsanmälan</t>
        </is>
      </c>
      <c r="C699" t="inlineStr">
        <is>
          <t>Föryngringsavverkning</t>
        </is>
      </c>
      <c r="D699" s="1" t="n">
        <v>44740</v>
      </c>
      <c r="E699" s="1" t="n">
        <v>46223</v>
      </c>
      <c r="F699" t="inlineStr">
        <is>
          <t>DALARNAS LÄN</t>
        </is>
      </c>
      <c r="G699" t="inlineStr">
        <is>
          <t>MALUNG-SÄLEN</t>
        </is>
      </c>
      <c r="H699" t="inlineStr">
        <is>
          <t>Bergvik skog öst AB</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4420-2022</t>
        </is>
      </c>
      <c r="B700" t="inlineStr">
        <is>
          <t>avverkningsanmälan</t>
        </is>
      </c>
      <c r="C700" t="inlineStr">
        <is>
          <t>Avverkning för annat ändamål</t>
        </is>
      </c>
      <c r="D700" s="1" t="n">
        <v>44589</v>
      </c>
      <c r="E700" s="1" t="n">
        <v>46223</v>
      </c>
      <c r="F700" t="inlineStr">
        <is>
          <t>DALARNAS LÄN</t>
        </is>
      </c>
      <c r="G700" t="inlineStr">
        <is>
          <t>MALUNG-SÄLEN</t>
        </is>
      </c>
      <c r="H700" t="inlineStr">
        <is>
          <t>Bergvik skog väst AB</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4811-2023</t>
        </is>
      </c>
      <c r="B701" t="inlineStr">
        <is>
          <t>avverkningsanmälan</t>
        </is>
      </c>
      <c r="C701" t="inlineStr">
        <is>
          <t>Föryngringsavverkning</t>
        </is>
      </c>
      <c r="D701" s="1" t="n">
        <v>44957</v>
      </c>
      <c r="E701" s="1" t="n">
        <v>46223</v>
      </c>
      <c r="F701" t="inlineStr">
        <is>
          <t>DALARNAS LÄN</t>
        </is>
      </c>
      <c r="G701" t="inlineStr">
        <is>
          <t>MALUNG-SÄLEN</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42672-2022</t>
        </is>
      </c>
      <c r="B702" t="inlineStr">
        <is>
          <t>avverkningsanmälan</t>
        </is>
      </c>
      <c r="C702" t="inlineStr">
        <is>
          <t>Föryngringsavverkning</t>
        </is>
      </c>
      <c r="D702" s="1" t="n">
        <v>44832</v>
      </c>
      <c r="E702" s="1" t="n">
        <v>46223</v>
      </c>
      <c r="F702" t="inlineStr">
        <is>
          <t>DALARNAS LÄN</t>
        </is>
      </c>
      <c r="G702" t="inlineStr">
        <is>
          <t>MALUNG-SÄLEN</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27143-2022</t>
        </is>
      </c>
      <c r="B703" t="inlineStr">
        <is>
          <t>avverkningsanmälan</t>
        </is>
      </c>
      <c r="C703" t="inlineStr">
        <is>
          <t>Föryngringsavverkning</t>
        </is>
      </c>
      <c r="D703" s="1" t="n">
        <v>44741</v>
      </c>
      <c r="E703" s="1" t="n">
        <v>46223</v>
      </c>
      <c r="F703" t="inlineStr">
        <is>
          <t>DALARNAS LÄN</t>
        </is>
      </c>
      <c r="G703" t="inlineStr">
        <is>
          <t>MALUNG-SÄLEN</t>
        </is>
      </c>
      <c r="H703" t="inlineStr">
        <is>
          <t>Kommuner</t>
        </is>
      </c>
      <c r="I703" t="n">
        <v>3.6</v>
      </c>
      <c r="J703" t="n">
        <v>0</v>
      </c>
      <c r="K703" t="n">
        <v>0</v>
      </c>
      <c r="L703" t="n">
        <v>0</v>
      </c>
      <c r="M703" t="n">
        <v>0</v>
      </c>
      <c r="N703" t="n">
        <v>0</v>
      </c>
      <c r="O703" t="n">
        <v>0</v>
      </c>
      <c r="P703" t="n">
        <v>0</v>
      </c>
      <c r="Q703" t="n">
        <v>0</v>
      </c>
      <c r="R703" t="n">
        <v>0</v>
      </c>
      <c r="S703" t="n">
        <v>0</v>
      </c>
      <c r="T703" t="n">
        <v>0</v>
      </c>
      <c r="U703" s="2" t="inlineStr"/>
    </row>
    <row r="704" ht="15" customHeight="1">
      <c r="A704" t="inlineStr">
        <is>
          <t>A 18045-2024</t>
        </is>
      </c>
      <c r="B704" t="inlineStr">
        <is>
          <t>avverkningsanmälan</t>
        </is>
      </c>
      <c r="C704" t="inlineStr">
        <is>
          <t>Föryngringsavverkning</t>
        </is>
      </c>
      <c r="D704" s="1" t="n">
        <v>45420</v>
      </c>
      <c r="E704" s="1" t="n">
        <v>46223</v>
      </c>
      <c r="F704" t="inlineStr">
        <is>
          <t>DALARNAS LÄN</t>
        </is>
      </c>
      <c r="G704" t="inlineStr">
        <is>
          <t>MALUNG-SÄLEN</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9977-2023</t>
        </is>
      </c>
      <c r="B705" t="inlineStr">
        <is>
          <t>avverkningsanmälan</t>
        </is>
      </c>
      <c r="C705" t="inlineStr">
        <is>
          <t>Avverkning för annat ändamål</t>
        </is>
      </c>
      <c r="D705" s="1" t="n">
        <v>44979</v>
      </c>
      <c r="E705" s="1" t="n">
        <v>46223</v>
      </c>
      <c r="F705" t="inlineStr">
        <is>
          <t>DALARNAS LÄN</t>
        </is>
      </c>
      <c r="G705" t="inlineStr">
        <is>
          <t>MALUNG-SÄLEN</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29266-2026</t>
        </is>
      </c>
      <c r="B706" t="inlineStr">
        <is>
          <t>avverkningsanmälan</t>
        </is>
      </c>
      <c r="C706" t="inlineStr">
        <is>
          <t>Föryngringsavverkning</t>
        </is>
      </c>
      <c r="D706" s="1" t="n">
        <v>46202</v>
      </c>
      <c r="E706" s="1" t="n">
        <v>46223</v>
      </c>
      <c r="F706" t="inlineStr">
        <is>
          <t>DALARNAS LÄN</t>
        </is>
      </c>
      <c r="G706" t="inlineStr">
        <is>
          <t>MALUNG-SÄLEN</t>
        </is>
      </c>
      <c r="H706" t="inlineStr">
        <is>
          <t>Bergvik skog väst AB</t>
        </is>
      </c>
      <c r="I706" t="n">
        <v>14.8</v>
      </c>
      <c r="J706" t="n">
        <v>0</v>
      </c>
      <c r="K706" t="n">
        <v>0</v>
      </c>
      <c r="L706" t="n">
        <v>0</v>
      </c>
      <c r="M706" t="n">
        <v>0</v>
      </c>
      <c r="N706" t="n">
        <v>0</v>
      </c>
      <c r="O706" t="n">
        <v>0</v>
      </c>
      <c r="P706" t="n">
        <v>0</v>
      </c>
      <c r="Q706" t="n">
        <v>0</v>
      </c>
      <c r="R706" t="n">
        <v>0</v>
      </c>
      <c r="S706" t="n">
        <v>0</v>
      </c>
      <c r="T706" t="n">
        <v>0</v>
      </c>
      <c r="U706" s="2" t="inlineStr"/>
    </row>
    <row r="707" ht="15" customHeight="1">
      <c r="A707" t="inlineStr">
        <is>
          <t>A 12345-2022</t>
        </is>
      </c>
      <c r="B707" t="inlineStr">
        <is>
          <t>avverkningsanmälan</t>
        </is>
      </c>
      <c r="C707" t="inlineStr">
        <is>
          <t>Föryngringsavverkning</t>
        </is>
      </c>
      <c r="D707" s="1" t="n">
        <v>44637</v>
      </c>
      <c r="E707" s="1" t="n">
        <v>46223</v>
      </c>
      <c r="F707" t="inlineStr">
        <is>
          <t>DALARNAS LÄN</t>
        </is>
      </c>
      <c r="G707" t="inlineStr">
        <is>
          <t>MALUNG-SÄLEN</t>
        </is>
      </c>
      <c r="H707" t="inlineStr">
        <is>
          <t>Allmännings- och besparingsskogar</t>
        </is>
      </c>
      <c r="I707" t="n">
        <v>17.5</v>
      </c>
      <c r="J707" t="n">
        <v>0</v>
      </c>
      <c r="K707" t="n">
        <v>0</v>
      </c>
      <c r="L707" t="n">
        <v>0</v>
      </c>
      <c r="M707" t="n">
        <v>0</v>
      </c>
      <c r="N707" t="n">
        <v>0</v>
      </c>
      <c r="O707" t="n">
        <v>0</v>
      </c>
      <c r="P707" t="n">
        <v>0</v>
      </c>
      <c r="Q707" t="n">
        <v>0</v>
      </c>
      <c r="R707" t="n">
        <v>0</v>
      </c>
      <c r="S707" t="n">
        <v>0</v>
      </c>
      <c r="T707" t="n">
        <v>0</v>
      </c>
      <c r="U707" s="2" t="inlineStr"/>
    </row>
    <row r="708" ht="15" customHeight="1">
      <c r="A708" t="inlineStr">
        <is>
          <t>A 22819-2026</t>
        </is>
      </c>
      <c r="B708" t="inlineStr">
        <is>
          <t>avverkningsanmälan</t>
        </is>
      </c>
      <c r="C708" t="inlineStr">
        <is>
          <t>Föryngringsavverkning</t>
        </is>
      </c>
      <c r="D708" s="1" t="n">
        <v>46160</v>
      </c>
      <c r="E708" s="1" t="n">
        <v>46223</v>
      </c>
      <c r="F708" t="inlineStr">
        <is>
          <t>DALARNAS LÄN</t>
        </is>
      </c>
      <c r="G708" t="inlineStr">
        <is>
          <t>MALUNG-SÄLEN</t>
        </is>
      </c>
      <c r="H708" t="inlineStr">
        <is>
          <t>Bergvik skog öst AB</t>
        </is>
      </c>
      <c r="I708" t="n">
        <v>5.2</v>
      </c>
      <c r="J708" t="n">
        <v>0</v>
      </c>
      <c r="K708" t="n">
        <v>0</v>
      </c>
      <c r="L708" t="n">
        <v>0</v>
      </c>
      <c r="M708" t="n">
        <v>0</v>
      </c>
      <c r="N708" t="n">
        <v>0</v>
      </c>
      <c r="O708" t="n">
        <v>0</v>
      </c>
      <c r="P708" t="n">
        <v>0</v>
      </c>
      <c r="Q708" t="n">
        <v>0</v>
      </c>
      <c r="R708" t="n">
        <v>0</v>
      </c>
      <c r="S708" t="n">
        <v>0</v>
      </c>
      <c r="T708" t="n">
        <v>0</v>
      </c>
      <c r="U708" s="2" t="inlineStr"/>
    </row>
    <row r="709" ht="15" customHeight="1">
      <c r="A709" t="inlineStr">
        <is>
          <t>A 22859-2026</t>
        </is>
      </c>
      <c r="B709" t="inlineStr">
        <is>
          <t>avverkningsanmälan</t>
        </is>
      </c>
      <c r="C709" t="inlineStr">
        <is>
          <t>Föryngringsavverkning</t>
        </is>
      </c>
      <c r="D709" s="1" t="n">
        <v>46160</v>
      </c>
      <c r="E709" s="1" t="n">
        <v>46223</v>
      </c>
      <c r="F709" t="inlineStr">
        <is>
          <t>DALARNAS LÄN</t>
        </is>
      </c>
      <c r="G709" t="inlineStr">
        <is>
          <t>MALUNG-SÄLEN</t>
        </is>
      </c>
      <c r="H709" t="inlineStr">
        <is>
          <t>Bergvik skog öst AB</t>
        </is>
      </c>
      <c r="I709" t="n">
        <v>6.7</v>
      </c>
      <c r="J709" t="n">
        <v>0</v>
      </c>
      <c r="K709" t="n">
        <v>0</v>
      </c>
      <c r="L709" t="n">
        <v>0</v>
      </c>
      <c r="M709" t="n">
        <v>0</v>
      </c>
      <c r="N709" t="n">
        <v>0</v>
      </c>
      <c r="O709" t="n">
        <v>0</v>
      </c>
      <c r="P709" t="n">
        <v>0</v>
      </c>
      <c r="Q709" t="n">
        <v>0</v>
      </c>
      <c r="R709" t="n">
        <v>0</v>
      </c>
      <c r="S709" t="n">
        <v>0</v>
      </c>
      <c r="T709" t="n">
        <v>0</v>
      </c>
      <c r="U709" s="2" t="inlineStr"/>
    </row>
    <row r="710" ht="15" customHeight="1">
      <c r="A710" t="inlineStr">
        <is>
          <t>A 10457-2022</t>
        </is>
      </c>
      <c r="B710" t="inlineStr">
        <is>
          <t>avverkningsanmälan</t>
        </is>
      </c>
      <c r="C710" t="inlineStr">
        <is>
          <t>Föryngringsavverkning</t>
        </is>
      </c>
      <c r="D710" s="1" t="n">
        <v>44623</v>
      </c>
      <c r="E710" s="1" t="n">
        <v>46223</v>
      </c>
      <c r="F710" t="inlineStr">
        <is>
          <t>DALARNAS LÄN</t>
        </is>
      </c>
      <c r="G710" t="inlineStr">
        <is>
          <t>MALUNG-SÄLEN</t>
        </is>
      </c>
      <c r="H710" t="inlineStr">
        <is>
          <t>Kommuner</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38569-2023</t>
        </is>
      </c>
      <c r="B711" t="inlineStr">
        <is>
          <t>avverkningsanmälan</t>
        </is>
      </c>
      <c r="C711" t="inlineStr">
        <is>
          <t>Föryngringsavverkning</t>
        </is>
      </c>
      <c r="D711" s="1" t="n">
        <v>45162</v>
      </c>
      <c r="E711" s="1" t="n">
        <v>46223</v>
      </c>
      <c r="F711" t="inlineStr">
        <is>
          <t>DALARNAS LÄN</t>
        </is>
      </c>
      <c r="G711" t="inlineStr">
        <is>
          <t>MALUNG-SÄLEN</t>
        </is>
      </c>
      <c r="H711" t="inlineStr">
        <is>
          <t>Bergvik skog öst AB</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3179-2023</t>
        </is>
      </c>
      <c r="B712" t="inlineStr">
        <is>
          <t>avverkningsanmälan</t>
        </is>
      </c>
      <c r="C712" t="inlineStr">
        <is>
          <t>Föryngringsavverkning</t>
        </is>
      </c>
      <c r="D712" s="1" t="n">
        <v>44946</v>
      </c>
      <c r="E712" s="1" t="n">
        <v>46223</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22856-2026</t>
        </is>
      </c>
      <c r="B713" t="inlineStr">
        <is>
          <t>avverkningsanmälan</t>
        </is>
      </c>
      <c r="C713" t="inlineStr">
        <is>
          <t>Föryngringsavverkning</t>
        </is>
      </c>
      <c r="D713" s="1" t="n">
        <v>46160</v>
      </c>
      <c r="E713" s="1" t="n">
        <v>46223</v>
      </c>
      <c r="F713" t="inlineStr">
        <is>
          <t>DALARNAS LÄN</t>
        </is>
      </c>
      <c r="G713" t="inlineStr">
        <is>
          <t>MALUNG-SÄLEN</t>
        </is>
      </c>
      <c r="H713" t="inlineStr">
        <is>
          <t>Bergvik skog öst AB</t>
        </is>
      </c>
      <c r="I713" t="n">
        <v>8.800000000000001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2469-2025</t>
        </is>
      </c>
      <c r="B714" t="inlineStr">
        <is>
          <t>avverkningsanmälan</t>
        </is>
      </c>
      <c r="C714" t="inlineStr">
        <is>
          <t>Föryngringsavverkning</t>
        </is>
      </c>
      <c r="D714" s="1" t="n">
        <v>45674</v>
      </c>
      <c r="E714" s="1" t="n">
        <v>46223</v>
      </c>
      <c r="F714" t="inlineStr">
        <is>
          <t>DALARNAS LÄN</t>
        </is>
      </c>
      <c r="G714" t="inlineStr">
        <is>
          <t>MALUNG-SÄLEN</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23079-2024</t>
        </is>
      </c>
      <c r="B715" t="inlineStr">
        <is>
          <t>avverkningsanmälan</t>
        </is>
      </c>
      <c r="C715" t="inlineStr">
        <is>
          <t>Föryngringsavverkning</t>
        </is>
      </c>
      <c r="D715" s="1" t="n">
        <v>45450</v>
      </c>
      <c r="E715" s="1" t="n">
        <v>46223</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47971-2023</t>
        </is>
      </c>
      <c r="B716" t="inlineStr">
        <is>
          <t>avverkningsanmälan</t>
        </is>
      </c>
      <c r="C716" t="inlineStr">
        <is>
          <t>Föryngringsavverkning</t>
        </is>
      </c>
      <c r="D716" s="1" t="n">
        <v>45204</v>
      </c>
      <c r="E716" s="1" t="n">
        <v>46223</v>
      </c>
      <c r="F716" t="inlineStr">
        <is>
          <t>DALARNAS LÄN</t>
        </is>
      </c>
      <c r="G716" t="inlineStr">
        <is>
          <t>MALUNG-SÄLEN</t>
        </is>
      </c>
      <c r="H716" t="inlineStr">
        <is>
          <t>Bergvik skog öst AB</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10386-2022</t>
        </is>
      </c>
      <c r="B717" t="inlineStr">
        <is>
          <t>avverkningsanmälan</t>
        </is>
      </c>
      <c r="C717" t="inlineStr">
        <is>
          <t>Föryngringsavverkning</t>
        </is>
      </c>
      <c r="D717" s="1" t="n">
        <v>44623</v>
      </c>
      <c r="E717" s="1" t="n">
        <v>46223</v>
      </c>
      <c r="F717" t="inlineStr">
        <is>
          <t>DALARNAS LÄN</t>
        </is>
      </c>
      <c r="G717" t="inlineStr">
        <is>
          <t>MALUNG-SÄLEN</t>
        </is>
      </c>
      <c r="I717" t="n">
        <v>3.5</v>
      </c>
      <c r="J717" t="n">
        <v>0</v>
      </c>
      <c r="K717" t="n">
        <v>0</v>
      </c>
      <c r="L717" t="n">
        <v>0</v>
      </c>
      <c r="M717" t="n">
        <v>0</v>
      </c>
      <c r="N717" t="n">
        <v>0</v>
      </c>
      <c r="O717" t="n">
        <v>0</v>
      </c>
      <c r="P717" t="n">
        <v>0</v>
      </c>
      <c r="Q717" t="n">
        <v>0</v>
      </c>
      <c r="R717" t="n">
        <v>0</v>
      </c>
      <c r="S717" t="n">
        <v>0</v>
      </c>
      <c r="T717" t="n">
        <v>0</v>
      </c>
      <c r="U717" s="2" t="inlineStr"/>
    </row>
    <row r="718" ht="15" customHeight="1">
      <c r="A718" t="inlineStr">
        <is>
          <t>A 52871-2023</t>
        </is>
      </c>
      <c r="B718" t="inlineStr">
        <is>
          <t>avverkningsanmälan</t>
        </is>
      </c>
      <c r="C718" t="inlineStr">
        <is>
          <t>Föryngringsavverkning</t>
        </is>
      </c>
      <c r="D718" s="1" t="n">
        <v>45226</v>
      </c>
      <c r="E718" s="1" t="n">
        <v>46223</v>
      </c>
      <c r="F718" t="inlineStr">
        <is>
          <t>DALARNAS LÄN</t>
        </is>
      </c>
      <c r="G718" t="inlineStr">
        <is>
          <t>MALUNG-SÄLEN</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29690-2026</t>
        </is>
      </c>
      <c r="B719" t="inlineStr">
        <is>
          <t>avverkningsanmälan</t>
        </is>
      </c>
      <c r="C719" t="inlineStr">
        <is>
          <t>Föryngringsavverkning</t>
        </is>
      </c>
      <c r="D719" s="1" t="n">
        <v>46204</v>
      </c>
      <c r="E719" s="1" t="n">
        <v>46223</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18233-2023</t>
        </is>
      </c>
      <c r="B720" t="inlineStr">
        <is>
          <t>avverkningsanmälan</t>
        </is>
      </c>
      <c r="C720" t="inlineStr">
        <is>
          <t>Föryngringsavverkning</t>
        </is>
      </c>
      <c r="D720" s="1" t="n">
        <v>45041</v>
      </c>
      <c r="E720" s="1" t="n">
        <v>46223</v>
      </c>
      <c r="F720" t="inlineStr">
        <is>
          <t>DALARNAS LÄN</t>
        </is>
      </c>
      <c r="G720" t="inlineStr">
        <is>
          <t>MALUNG-SÄLEN</t>
        </is>
      </c>
      <c r="H720" t="inlineStr">
        <is>
          <t>Bergvik skog öst AB</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28282-2024</t>
        </is>
      </c>
      <c r="B721" t="inlineStr">
        <is>
          <t>avverkningsanmälan</t>
        </is>
      </c>
      <c r="C721" t="inlineStr">
        <is>
          <t>Föryngringsavverkning</t>
        </is>
      </c>
      <c r="D721" s="1" t="n">
        <v>45477</v>
      </c>
      <c r="E721" s="1" t="n">
        <v>46223</v>
      </c>
      <c r="F721" t="inlineStr">
        <is>
          <t>DALARNAS LÄN</t>
        </is>
      </c>
      <c r="G721" t="inlineStr">
        <is>
          <t>MALUNG-SÄLEN</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29378-2023</t>
        </is>
      </c>
      <c r="B722" t="inlineStr">
        <is>
          <t>avverkningsanmälan</t>
        </is>
      </c>
      <c r="C722" t="inlineStr">
        <is>
          <t>Föryngringsavverkning</t>
        </is>
      </c>
      <c r="D722" s="1" t="n">
        <v>45106</v>
      </c>
      <c r="E722" s="1" t="n">
        <v>46223</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64581-2021</t>
        </is>
      </c>
      <c r="B723" t="inlineStr">
        <is>
          <t>avverkningsanmälan</t>
        </is>
      </c>
      <c r="C723" t="inlineStr">
        <is>
          <t>Föryngringsavverkning</t>
        </is>
      </c>
      <c r="D723" s="1" t="n">
        <v>44511</v>
      </c>
      <c r="E723" s="1" t="n">
        <v>46223</v>
      </c>
      <c r="F723" t="inlineStr">
        <is>
          <t>DALARNAS LÄN</t>
        </is>
      </c>
      <c r="G723" t="inlineStr">
        <is>
          <t>MALUNG-SÄLEN</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29914-2026</t>
        </is>
      </c>
      <c r="B724" t="inlineStr">
        <is>
          <t>avverkningsanmälan</t>
        </is>
      </c>
      <c r="C724" t="inlineStr">
        <is>
          <t>Föryngringsavverkning</t>
        </is>
      </c>
      <c r="D724" s="1" t="n">
        <v>46205</v>
      </c>
      <c r="E724" s="1" t="n">
        <v>46223</v>
      </c>
      <c r="F724" t="inlineStr">
        <is>
          <t>DALARNAS LÄN</t>
        </is>
      </c>
      <c r="G724" t="inlineStr">
        <is>
          <t>MALUNG-SÄLEN</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62336-2022</t>
        </is>
      </c>
      <c r="B725" t="inlineStr">
        <is>
          <t>avverkningsanmälan</t>
        </is>
      </c>
      <c r="C725" t="inlineStr">
        <is>
          <t>Föryngringsavverkning</t>
        </is>
      </c>
      <c r="D725" s="1" t="n">
        <v>44923</v>
      </c>
      <c r="E725" s="1" t="n">
        <v>46223</v>
      </c>
      <c r="F725" t="inlineStr">
        <is>
          <t>DALARNAS LÄN</t>
        </is>
      </c>
      <c r="G725" t="inlineStr">
        <is>
          <t>MALUNG-SÄLEN</t>
        </is>
      </c>
      <c r="I725" t="n">
        <v>10.6</v>
      </c>
      <c r="J725" t="n">
        <v>0</v>
      </c>
      <c r="K725" t="n">
        <v>0</v>
      </c>
      <c r="L725" t="n">
        <v>0</v>
      </c>
      <c r="M725" t="n">
        <v>0</v>
      </c>
      <c r="N725" t="n">
        <v>0</v>
      </c>
      <c r="O725" t="n">
        <v>0</v>
      </c>
      <c r="P725" t="n">
        <v>0</v>
      </c>
      <c r="Q725" t="n">
        <v>0</v>
      </c>
      <c r="R725" t="n">
        <v>0</v>
      </c>
      <c r="S725" t="n">
        <v>0</v>
      </c>
      <c r="T725" t="n">
        <v>0</v>
      </c>
      <c r="U725" s="2" t="inlineStr"/>
    </row>
    <row r="726" ht="15" customHeight="1">
      <c r="A726" t="inlineStr">
        <is>
          <t>A 5870-2023</t>
        </is>
      </c>
      <c r="B726" t="inlineStr">
        <is>
          <t>avverkningsanmälan</t>
        </is>
      </c>
      <c r="C726" t="inlineStr">
        <is>
          <t>Föryngringsavverkning</t>
        </is>
      </c>
      <c r="D726" s="1" t="n">
        <v>44963</v>
      </c>
      <c r="E726" s="1" t="n">
        <v>46223</v>
      </c>
      <c r="F726" t="inlineStr">
        <is>
          <t>DALARNAS LÄN</t>
        </is>
      </c>
      <c r="G726" t="inlineStr">
        <is>
          <t>MALUNG-SÄLEN</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13827-2023</t>
        </is>
      </c>
      <c r="B727" t="inlineStr">
        <is>
          <t>avverkningsanmälan</t>
        </is>
      </c>
      <c r="C727" t="inlineStr">
        <is>
          <t>Föryngringsavverkning</t>
        </is>
      </c>
      <c r="D727" s="1" t="n">
        <v>45007</v>
      </c>
      <c r="E727" s="1" t="n">
        <v>46223</v>
      </c>
      <c r="F727" t="inlineStr">
        <is>
          <t>DALARNAS LÄN</t>
        </is>
      </c>
      <c r="G727" t="inlineStr">
        <is>
          <t>MALUNG-SÄLEN</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48493-2024</t>
        </is>
      </c>
      <c r="B728" t="inlineStr">
        <is>
          <t>avverkningsanmälan</t>
        </is>
      </c>
      <c r="C728" t="inlineStr">
        <is>
          <t>Föryngringsavverkning</t>
        </is>
      </c>
      <c r="D728" s="1" t="n">
        <v>45592</v>
      </c>
      <c r="E728" s="1" t="n">
        <v>46223</v>
      </c>
      <c r="F728" t="inlineStr">
        <is>
          <t>DALARNAS LÄN</t>
        </is>
      </c>
      <c r="G728" t="inlineStr">
        <is>
          <t>MALUNG-SÄLEN</t>
        </is>
      </c>
      <c r="I728" t="n">
        <v>5.8</v>
      </c>
      <c r="J728" t="n">
        <v>0</v>
      </c>
      <c r="K728" t="n">
        <v>0</v>
      </c>
      <c r="L728" t="n">
        <v>0</v>
      </c>
      <c r="M728" t="n">
        <v>0</v>
      </c>
      <c r="N728" t="n">
        <v>0</v>
      </c>
      <c r="O728" t="n">
        <v>0</v>
      </c>
      <c r="P728" t="n">
        <v>0</v>
      </c>
      <c r="Q728" t="n">
        <v>0</v>
      </c>
      <c r="R728" t="n">
        <v>0</v>
      </c>
      <c r="S728" t="n">
        <v>0</v>
      </c>
      <c r="T728" t="n">
        <v>0</v>
      </c>
      <c r="U728" s="2" t="inlineStr"/>
    </row>
    <row r="729" ht="15" customHeight="1">
      <c r="A729" t="inlineStr">
        <is>
          <t>A 12966-2022</t>
        </is>
      </c>
      <c r="B729" t="inlineStr">
        <is>
          <t>avverkningsanmälan</t>
        </is>
      </c>
      <c r="C729" t="inlineStr">
        <is>
          <t>Föryngringsavverkning</t>
        </is>
      </c>
      <c r="D729" s="1" t="n">
        <v>44643</v>
      </c>
      <c r="E729" s="1" t="n">
        <v>46223</v>
      </c>
      <c r="F729" t="inlineStr">
        <is>
          <t>DALARNAS LÄN</t>
        </is>
      </c>
      <c r="G729" t="inlineStr">
        <is>
          <t>MALUNG-SÄLEN</t>
        </is>
      </c>
      <c r="H729" t="inlineStr">
        <is>
          <t>Kommuner</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8827-2023</t>
        </is>
      </c>
      <c r="B730" t="inlineStr">
        <is>
          <t>avverkningsanmälan</t>
        </is>
      </c>
      <c r="C730" t="inlineStr">
        <is>
          <t>Föryngringsavverkning</t>
        </is>
      </c>
      <c r="D730" s="1" t="n">
        <v>44978</v>
      </c>
      <c r="E730" s="1" t="n">
        <v>46223</v>
      </c>
      <c r="F730" t="inlineStr">
        <is>
          <t>DALARNAS LÄN</t>
        </is>
      </c>
      <c r="G730" t="inlineStr">
        <is>
          <t>MALUNG-SÄLEN</t>
        </is>
      </c>
      <c r="I730" t="n">
        <v>4.9</v>
      </c>
      <c r="J730" t="n">
        <v>0</v>
      </c>
      <c r="K730" t="n">
        <v>0</v>
      </c>
      <c r="L730" t="n">
        <v>0</v>
      </c>
      <c r="M730" t="n">
        <v>0</v>
      </c>
      <c r="N730" t="n">
        <v>0</v>
      </c>
      <c r="O730" t="n">
        <v>0</v>
      </c>
      <c r="P730" t="n">
        <v>0</v>
      </c>
      <c r="Q730" t="n">
        <v>0</v>
      </c>
      <c r="R730" t="n">
        <v>0</v>
      </c>
      <c r="S730" t="n">
        <v>0</v>
      </c>
      <c r="T730" t="n">
        <v>0</v>
      </c>
      <c r="U730" s="2" t="inlineStr"/>
    </row>
    <row r="731" ht="15" customHeight="1">
      <c r="A731" t="inlineStr">
        <is>
          <t>A 60448-2022</t>
        </is>
      </c>
      <c r="B731" t="inlineStr">
        <is>
          <t>avverkningsanmälan</t>
        </is>
      </c>
      <c r="C731" t="inlineStr">
        <is>
          <t>Föryngringsavverkning</t>
        </is>
      </c>
      <c r="D731" s="1" t="n">
        <v>44911</v>
      </c>
      <c r="E731" s="1" t="n">
        <v>46223</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46604-2021</t>
        </is>
      </c>
      <c r="B732" t="inlineStr">
        <is>
          <t>avverkningsanmälan</t>
        </is>
      </c>
      <c r="C732" t="inlineStr">
        <is>
          <t>Föryngringsavverkning</t>
        </is>
      </c>
      <c r="D732" s="1" t="n">
        <v>44445</v>
      </c>
      <c r="E732" s="1" t="n">
        <v>46223</v>
      </c>
      <c r="F732" t="inlineStr">
        <is>
          <t>DALARNAS LÄN</t>
        </is>
      </c>
      <c r="G732" t="inlineStr">
        <is>
          <t>MALUNG-SÄLEN</t>
        </is>
      </c>
      <c r="I732" t="n">
        <v>9.699999999999999</v>
      </c>
      <c r="J732" t="n">
        <v>0</v>
      </c>
      <c r="K732" t="n">
        <v>0</v>
      </c>
      <c r="L732" t="n">
        <v>0</v>
      </c>
      <c r="M732" t="n">
        <v>0</v>
      </c>
      <c r="N732" t="n">
        <v>0</v>
      </c>
      <c r="O732" t="n">
        <v>0</v>
      </c>
      <c r="P732" t="n">
        <v>0</v>
      </c>
      <c r="Q732" t="n">
        <v>0</v>
      </c>
      <c r="R732" t="n">
        <v>0</v>
      </c>
      <c r="S732" t="n">
        <v>0</v>
      </c>
      <c r="T732" t="n">
        <v>0</v>
      </c>
      <c r="U732" s="2" t="inlineStr"/>
    </row>
    <row r="733" ht="15" customHeight="1">
      <c r="A733" t="inlineStr">
        <is>
          <t>A 54000-2023</t>
        </is>
      </c>
      <c r="B733" t="inlineStr">
        <is>
          <t>avverkningsanmälan</t>
        </is>
      </c>
      <c r="C733" t="inlineStr">
        <is>
          <t>Föryngringsavverkning</t>
        </is>
      </c>
      <c r="D733" s="1" t="n">
        <v>45231</v>
      </c>
      <c r="E733" s="1" t="n">
        <v>46223</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36841-2024</t>
        </is>
      </c>
      <c r="B734" t="inlineStr">
        <is>
          <t>avverkningsanmälan</t>
        </is>
      </c>
      <c r="C734" t="inlineStr">
        <is>
          <t>Föryngringsavverkning</t>
        </is>
      </c>
      <c r="D734" s="1" t="n">
        <v>45538</v>
      </c>
      <c r="E734" s="1" t="n">
        <v>46223</v>
      </c>
      <c r="F734" t="inlineStr">
        <is>
          <t>DALARNAS LÄN</t>
        </is>
      </c>
      <c r="G734" t="inlineStr">
        <is>
          <t>MALUNG-SÄLEN</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49807-2024</t>
        </is>
      </c>
      <c r="B735" t="inlineStr">
        <is>
          <t>avverkningsanmälan</t>
        </is>
      </c>
      <c r="C735" t="inlineStr">
        <is>
          <t>Föryngringsavverkning</t>
        </is>
      </c>
      <c r="D735" s="1" t="n">
        <v>45597</v>
      </c>
      <c r="E735" s="1" t="n">
        <v>46223</v>
      </c>
      <c r="F735" t="inlineStr">
        <is>
          <t>DALARNAS LÄN</t>
        </is>
      </c>
      <c r="G735" t="inlineStr">
        <is>
          <t>MALUNG-SÄLEN</t>
        </is>
      </c>
      <c r="I735" t="n">
        <v>5.3</v>
      </c>
      <c r="J735" t="n">
        <v>0</v>
      </c>
      <c r="K735" t="n">
        <v>0</v>
      </c>
      <c r="L735" t="n">
        <v>0</v>
      </c>
      <c r="M735" t="n">
        <v>0</v>
      </c>
      <c r="N735" t="n">
        <v>0</v>
      </c>
      <c r="O735" t="n">
        <v>0</v>
      </c>
      <c r="P735" t="n">
        <v>0</v>
      </c>
      <c r="Q735" t="n">
        <v>0</v>
      </c>
      <c r="R735" t="n">
        <v>0</v>
      </c>
      <c r="S735" t="n">
        <v>0</v>
      </c>
      <c r="T735" t="n">
        <v>0</v>
      </c>
      <c r="U735" s="2" t="inlineStr"/>
    </row>
    <row r="736" ht="15" customHeight="1">
      <c r="A736" t="inlineStr">
        <is>
          <t>A 1723-2023</t>
        </is>
      </c>
      <c r="B736" t="inlineStr">
        <is>
          <t>avverkningsanmälan</t>
        </is>
      </c>
      <c r="C736" t="inlineStr">
        <is>
          <t>Föryngringsavverkning</t>
        </is>
      </c>
      <c r="D736" s="1" t="n">
        <v>44938</v>
      </c>
      <c r="E736" s="1" t="n">
        <v>46223</v>
      </c>
      <c r="F736" t="inlineStr">
        <is>
          <t>DALARNAS LÄN</t>
        </is>
      </c>
      <c r="G736" t="inlineStr">
        <is>
          <t>MALUNG-SÄLEN</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61993-2021</t>
        </is>
      </c>
      <c r="B737" t="inlineStr">
        <is>
          <t>avverkningsanmälan</t>
        </is>
      </c>
      <c r="C737" t="inlineStr">
        <is>
          <t>Föryngringsavverkning</t>
        </is>
      </c>
      <c r="D737" s="1" t="n">
        <v>44501</v>
      </c>
      <c r="E737" s="1" t="n">
        <v>46223</v>
      </c>
      <c r="F737" t="inlineStr">
        <is>
          <t>DALARNAS LÄN</t>
        </is>
      </c>
      <c r="G737" t="inlineStr">
        <is>
          <t>MALUNG-SÄLEN</t>
        </is>
      </c>
      <c r="H737" t="inlineStr">
        <is>
          <t>Allmännings- och besparingsskogar</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22811-2023</t>
        </is>
      </c>
      <c r="B738" t="inlineStr">
        <is>
          <t>avverkningsanmälan</t>
        </is>
      </c>
      <c r="C738" t="inlineStr">
        <is>
          <t>Föryngringsavverkning</t>
        </is>
      </c>
      <c r="D738" s="1" t="n">
        <v>45072</v>
      </c>
      <c r="E738" s="1" t="n">
        <v>46223</v>
      </c>
      <c r="F738" t="inlineStr">
        <is>
          <t>DALARNAS LÄN</t>
        </is>
      </c>
      <c r="G738" t="inlineStr">
        <is>
          <t>MALUNG-SÄLEN</t>
        </is>
      </c>
      <c r="H738" t="inlineStr">
        <is>
          <t>Bergvik skog öst AB</t>
        </is>
      </c>
      <c r="I738" t="n">
        <v>5.8</v>
      </c>
      <c r="J738" t="n">
        <v>0</v>
      </c>
      <c r="K738" t="n">
        <v>0</v>
      </c>
      <c r="L738" t="n">
        <v>0</v>
      </c>
      <c r="M738" t="n">
        <v>0</v>
      </c>
      <c r="N738" t="n">
        <v>0</v>
      </c>
      <c r="O738" t="n">
        <v>0</v>
      </c>
      <c r="P738" t="n">
        <v>0</v>
      </c>
      <c r="Q738" t="n">
        <v>0</v>
      </c>
      <c r="R738" t="n">
        <v>0</v>
      </c>
      <c r="S738" t="n">
        <v>0</v>
      </c>
      <c r="T738" t="n">
        <v>0</v>
      </c>
      <c r="U738" s="2" t="inlineStr"/>
    </row>
    <row r="739" ht="15" customHeight="1">
      <c r="A739" t="inlineStr">
        <is>
          <t>A 12-2024</t>
        </is>
      </c>
      <c r="B739" t="inlineStr">
        <is>
          <t>avverkningsanmälan</t>
        </is>
      </c>
      <c r="C739" t="inlineStr">
        <is>
          <t>Föryngringsavverkning</t>
        </is>
      </c>
      <c r="D739" s="1" t="n">
        <v>45293</v>
      </c>
      <c r="E739" s="1" t="n">
        <v>46223</v>
      </c>
      <c r="F739" t="inlineStr">
        <is>
          <t>DALARNAS LÄN</t>
        </is>
      </c>
      <c r="G739" t="inlineStr">
        <is>
          <t>MALUNG-SÄLEN</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56848-2022</t>
        </is>
      </c>
      <c r="B740" t="inlineStr">
        <is>
          <t>avverkningsanmälan</t>
        </is>
      </c>
      <c r="C740" t="inlineStr">
        <is>
          <t>Föryngringsavverkning</t>
        </is>
      </c>
      <c r="D740" s="1" t="n">
        <v>44894</v>
      </c>
      <c r="E740" s="1" t="n">
        <v>46223</v>
      </c>
      <c r="F740" t="inlineStr">
        <is>
          <t>DALARNAS LÄN</t>
        </is>
      </c>
      <c r="G740" t="inlineStr">
        <is>
          <t>MALUNG-SÄLEN</t>
        </is>
      </c>
      <c r="H740" t="inlineStr">
        <is>
          <t>Bergvik skog öst AB</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30662-2026</t>
        </is>
      </c>
      <c r="B741" t="inlineStr">
        <is>
          <t>avverkningsanmälan</t>
        </is>
      </c>
      <c r="C741" t="inlineStr">
        <is>
          <t>Föryngringsavverkning</t>
        </is>
      </c>
      <c r="D741" s="1" t="n">
        <v>46211</v>
      </c>
      <c r="E741" s="1" t="n">
        <v>46223</v>
      </c>
      <c r="F741" t="inlineStr">
        <is>
          <t>DALARNAS LÄN</t>
        </is>
      </c>
      <c r="G741" t="inlineStr">
        <is>
          <t>MALUNG-SÄLEN</t>
        </is>
      </c>
      <c r="H741" t="inlineStr">
        <is>
          <t>Bergvik skog öst AB</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30660-2026</t>
        </is>
      </c>
      <c r="B742" t="inlineStr">
        <is>
          <t>avverkningsanmälan</t>
        </is>
      </c>
      <c r="C742" t="inlineStr">
        <is>
          <t>Föryngringsavverkning</t>
        </is>
      </c>
      <c r="D742" s="1" t="n">
        <v>46211</v>
      </c>
      <c r="E742" s="1" t="n">
        <v>46223</v>
      </c>
      <c r="F742" t="inlineStr">
        <is>
          <t>DALARNAS LÄN</t>
        </is>
      </c>
      <c r="G742" t="inlineStr">
        <is>
          <t>MALUNG-SÄLEN</t>
        </is>
      </c>
      <c r="H742" t="inlineStr">
        <is>
          <t>Bergvik skog öst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18186-2025</t>
        </is>
      </c>
      <c r="B743" t="inlineStr">
        <is>
          <t>avverkningsanmälan</t>
        </is>
      </c>
      <c r="C743" t="inlineStr">
        <is>
          <t>Föryngringsavverkning</t>
        </is>
      </c>
      <c r="D743" s="1" t="n">
        <v>45761</v>
      </c>
      <c r="E743" s="1" t="n">
        <v>46223</v>
      </c>
      <c r="F743" t="inlineStr">
        <is>
          <t>DALARNAS LÄN</t>
        </is>
      </c>
      <c r="G743" t="inlineStr">
        <is>
          <t>MALUNG-SÄLEN</t>
        </is>
      </c>
      <c r="H743" t="inlineStr">
        <is>
          <t>Bergvik skog öst AB</t>
        </is>
      </c>
      <c r="I743" t="n">
        <v>7.9</v>
      </c>
      <c r="J743" t="n">
        <v>0</v>
      </c>
      <c r="K743" t="n">
        <v>0</v>
      </c>
      <c r="L743" t="n">
        <v>0</v>
      </c>
      <c r="M743" t="n">
        <v>0</v>
      </c>
      <c r="N743" t="n">
        <v>0</v>
      </c>
      <c r="O743" t="n">
        <v>0</v>
      </c>
      <c r="P743" t="n">
        <v>0</v>
      </c>
      <c r="Q743" t="n">
        <v>0</v>
      </c>
      <c r="R743" t="n">
        <v>0</v>
      </c>
      <c r="S743" t="n">
        <v>0</v>
      </c>
      <c r="T743" t="n">
        <v>0</v>
      </c>
      <c r="U743" s="2" t="inlineStr"/>
    </row>
    <row r="744" ht="15" customHeight="1">
      <c r="A744" t="inlineStr">
        <is>
          <t>A 47379-2023</t>
        </is>
      </c>
      <c r="B744" t="inlineStr">
        <is>
          <t>avverkningsanmälan</t>
        </is>
      </c>
      <c r="C744" t="inlineStr">
        <is>
          <t>Föryngringsavverkning</t>
        </is>
      </c>
      <c r="D744" s="1" t="n">
        <v>45202</v>
      </c>
      <c r="E744" s="1" t="n">
        <v>46223</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s="2" t="inlineStr"/>
    </row>
    <row r="745" ht="15" customHeight="1">
      <c r="A745" t="inlineStr">
        <is>
          <t>A 906-2024</t>
        </is>
      </c>
      <c r="B745" t="inlineStr">
        <is>
          <t>avverkningsanmälan</t>
        </is>
      </c>
      <c r="C745" t="inlineStr">
        <is>
          <t>Föryngringsavverkning</t>
        </is>
      </c>
      <c r="D745" s="1" t="n">
        <v>45301</v>
      </c>
      <c r="E745" s="1" t="n">
        <v>46223</v>
      </c>
      <c r="F745" t="inlineStr">
        <is>
          <t>DALARNAS LÄN</t>
        </is>
      </c>
      <c r="G745" t="inlineStr">
        <is>
          <t>MALUNG-SÄLEN</t>
        </is>
      </c>
      <c r="I745" t="n">
        <v>10.4</v>
      </c>
      <c r="J745" t="n">
        <v>0</v>
      </c>
      <c r="K745" t="n">
        <v>0</v>
      </c>
      <c r="L745" t="n">
        <v>0</v>
      </c>
      <c r="M745" t="n">
        <v>0</v>
      </c>
      <c r="N745" t="n">
        <v>0</v>
      </c>
      <c r="O745" t="n">
        <v>0</v>
      </c>
      <c r="P745" t="n">
        <v>0</v>
      </c>
      <c r="Q745" t="n">
        <v>0</v>
      </c>
      <c r="R745" t="n">
        <v>0</v>
      </c>
      <c r="S745" t="n">
        <v>0</v>
      </c>
      <c r="T745" t="n">
        <v>0</v>
      </c>
      <c r="U745" s="2" t="inlineStr"/>
    </row>
    <row r="746" ht="15" customHeight="1">
      <c r="A746" t="inlineStr">
        <is>
          <t>A 44570-2024</t>
        </is>
      </c>
      <c r="B746" t="inlineStr">
        <is>
          <t>avverkningsanmälan</t>
        </is>
      </c>
      <c r="C746" t="inlineStr">
        <is>
          <t>Föryngringsavverkning</t>
        </is>
      </c>
      <c r="D746" s="1" t="n">
        <v>45574</v>
      </c>
      <c r="E746" s="1" t="n">
        <v>46223</v>
      </c>
      <c r="F746" t="inlineStr">
        <is>
          <t>DALARNAS LÄN</t>
        </is>
      </c>
      <c r="G746" t="inlineStr">
        <is>
          <t>MALUNG-SÄLEN</t>
        </is>
      </c>
      <c r="H746" t="inlineStr">
        <is>
          <t>Bergvik skog öst AB</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60649-2024</t>
        </is>
      </c>
      <c r="B747" t="inlineStr">
        <is>
          <t>avverkningsanmälan</t>
        </is>
      </c>
      <c r="C747" t="inlineStr">
        <is>
          <t>Föryngringsavverkning</t>
        </is>
      </c>
      <c r="D747" s="1" t="n">
        <v>45644</v>
      </c>
      <c r="E747" s="1" t="n">
        <v>46223</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1530-2025</t>
        </is>
      </c>
      <c r="B748" t="inlineStr">
        <is>
          <t>avverkningsanmälan</t>
        </is>
      </c>
      <c r="C748" t="inlineStr">
        <is>
          <t>Föryngringsavverkning</t>
        </is>
      </c>
      <c r="D748" s="1" t="n">
        <v>45670</v>
      </c>
      <c r="E748" s="1" t="n">
        <v>46223</v>
      </c>
      <c r="F748" t="inlineStr">
        <is>
          <t>DALARNAS LÄN</t>
        </is>
      </c>
      <c r="G748" t="inlineStr">
        <is>
          <t>MALUNG-SÄLEN</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37678-2024</t>
        </is>
      </c>
      <c r="B749" t="inlineStr">
        <is>
          <t>avverkningsanmälan</t>
        </is>
      </c>
      <c r="C749" t="inlineStr">
        <is>
          <t>Föryngringsavverkning</t>
        </is>
      </c>
      <c r="D749" s="1" t="n">
        <v>45541</v>
      </c>
      <c r="E749" s="1" t="n">
        <v>46223</v>
      </c>
      <c r="F749" t="inlineStr">
        <is>
          <t>DALARNAS LÄN</t>
        </is>
      </c>
      <c r="G749" t="inlineStr">
        <is>
          <t>MALUNG-SÄLEN</t>
        </is>
      </c>
      <c r="H749" t="inlineStr">
        <is>
          <t>Bergvik skog öst AB</t>
        </is>
      </c>
      <c r="I749" t="n">
        <v>6.7</v>
      </c>
      <c r="J749" t="n">
        <v>0</v>
      </c>
      <c r="K749" t="n">
        <v>0</v>
      </c>
      <c r="L749" t="n">
        <v>0</v>
      </c>
      <c r="M749" t="n">
        <v>0</v>
      </c>
      <c r="N749" t="n">
        <v>0</v>
      </c>
      <c r="O749" t="n">
        <v>0</v>
      </c>
      <c r="P749" t="n">
        <v>0</v>
      </c>
      <c r="Q749" t="n">
        <v>0</v>
      </c>
      <c r="R749" t="n">
        <v>0</v>
      </c>
      <c r="S749" t="n">
        <v>0</v>
      </c>
      <c r="T749" t="n">
        <v>0</v>
      </c>
      <c r="U749" s="2" t="inlineStr"/>
    </row>
    <row r="750" ht="15" customHeight="1">
      <c r="A750" t="inlineStr">
        <is>
          <t>A 24511-2024</t>
        </is>
      </c>
      <c r="B750" t="inlineStr">
        <is>
          <t>avverkningsanmälan</t>
        </is>
      </c>
      <c r="C750" t="inlineStr">
        <is>
          <t>Föryngringsavverkning</t>
        </is>
      </c>
      <c r="D750" s="1" t="n">
        <v>45460</v>
      </c>
      <c r="E750" s="1" t="n">
        <v>46223</v>
      </c>
      <c r="F750" t="inlineStr">
        <is>
          <t>DALARNAS LÄN</t>
        </is>
      </c>
      <c r="G750" t="inlineStr">
        <is>
          <t>MALUNG-SÄLEN</t>
        </is>
      </c>
      <c r="H750" t="inlineStr">
        <is>
          <t>Bergvik skog öst AB</t>
        </is>
      </c>
      <c r="I750" t="n">
        <v>5.7</v>
      </c>
      <c r="J750" t="n">
        <v>0</v>
      </c>
      <c r="K750" t="n">
        <v>0</v>
      </c>
      <c r="L750" t="n">
        <v>0</v>
      </c>
      <c r="M750" t="n">
        <v>0</v>
      </c>
      <c r="N750" t="n">
        <v>0</v>
      </c>
      <c r="O750" t="n">
        <v>0</v>
      </c>
      <c r="P750" t="n">
        <v>0</v>
      </c>
      <c r="Q750" t="n">
        <v>0</v>
      </c>
      <c r="R750" t="n">
        <v>0</v>
      </c>
      <c r="S750" t="n">
        <v>0</v>
      </c>
      <c r="T750" t="n">
        <v>0</v>
      </c>
      <c r="U750" s="2" t="inlineStr"/>
    </row>
    <row r="751" ht="15" customHeight="1">
      <c r="A751" t="inlineStr">
        <is>
          <t>A 24985-2026</t>
        </is>
      </c>
      <c r="B751" t="inlineStr">
        <is>
          <t>avverkningsanmälan</t>
        </is>
      </c>
      <c r="C751" t="inlineStr">
        <is>
          <t>Föryngringsavverkning</t>
        </is>
      </c>
      <c r="D751" s="1" t="n">
        <v>46174</v>
      </c>
      <c r="E751" s="1" t="n">
        <v>46223</v>
      </c>
      <c r="F751" t="inlineStr">
        <is>
          <t>DALARNAS LÄN</t>
        </is>
      </c>
      <c r="G751" t="inlineStr">
        <is>
          <t>MALUNG-SÄLEN</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2729-2025</t>
        </is>
      </c>
      <c r="B752" t="inlineStr">
        <is>
          <t>avverkningsanmälan</t>
        </is>
      </c>
      <c r="C752" t="inlineStr">
        <is>
          <t>Föryngringsavverkning</t>
        </is>
      </c>
      <c r="D752" s="1" t="n">
        <v>45677</v>
      </c>
      <c r="E752" s="1" t="n">
        <v>46223</v>
      </c>
      <c r="F752" t="inlineStr">
        <is>
          <t>DALARNAS LÄN</t>
        </is>
      </c>
      <c r="G752" t="inlineStr">
        <is>
          <t>MALUNG-SÄLEN</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54199-2022</t>
        </is>
      </c>
      <c r="B753" t="inlineStr">
        <is>
          <t>avverkningsanmälan</t>
        </is>
      </c>
      <c r="C753" t="inlineStr">
        <is>
          <t>Föryngringsavverkning</t>
        </is>
      </c>
      <c r="D753" s="1" t="n">
        <v>44881</v>
      </c>
      <c r="E753" s="1" t="n">
        <v>46223</v>
      </c>
      <c r="F753" t="inlineStr">
        <is>
          <t>DALARNAS LÄN</t>
        </is>
      </c>
      <c r="G753" t="inlineStr">
        <is>
          <t>MALUNG-SÄLEN</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59966-2023</t>
        </is>
      </c>
      <c r="B754" t="inlineStr">
        <is>
          <t>avverkningsanmälan</t>
        </is>
      </c>
      <c r="C754" t="inlineStr">
        <is>
          <t>Föryngringsavverkning</t>
        </is>
      </c>
      <c r="D754" s="1" t="n">
        <v>45257</v>
      </c>
      <c r="E754" s="1" t="n">
        <v>46223</v>
      </c>
      <c r="F754" t="inlineStr">
        <is>
          <t>DALARNAS LÄN</t>
        </is>
      </c>
      <c r="G754" t="inlineStr">
        <is>
          <t>MALUNG-SÄLEN</t>
        </is>
      </c>
      <c r="H754" t="inlineStr">
        <is>
          <t>Övriga statliga verk och myndigheter</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688-2025</t>
        </is>
      </c>
      <c r="B755" t="inlineStr">
        <is>
          <t>avverkningsanmälan</t>
        </is>
      </c>
      <c r="C755" t="inlineStr">
        <is>
          <t>Föryngringsavverkning</t>
        </is>
      </c>
      <c r="D755" s="1" t="n">
        <v>45665</v>
      </c>
      <c r="E755" s="1" t="n">
        <v>46223</v>
      </c>
      <c r="F755" t="inlineStr">
        <is>
          <t>DALARNAS LÄN</t>
        </is>
      </c>
      <c r="G755" t="inlineStr">
        <is>
          <t>MALUNG-SÄLEN</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55583-2023</t>
        </is>
      </c>
      <c r="B756" t="inlineStr">
        <is>
          <t>avverkningsanmälan</t>
        </is>
      </c>
      <c r="C756" t="inlineStr">
        <is>
          <t>Avverkning för annat ändamål</t>
        </is>
      </c>
      <c r="D756" s="1" t="n">
        <v>45238</v>
      </c>
      <c r="E756" s="1" t="n">
        <v>46223</v>
      </c>
      <c r="F756" t="inlineStr">
        <is>
          <t>DALARNAS LÄN</t>
        </is>
      </c>
      <c r="G756" t="inlineStr">
        <is>
          <t>MALUNG-SÄLEN</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25587-2026</t>
        </is>
      </c>
      <c r="B757" t="inlineStr">
        <is>
          <t>avverkningsanmälan</t>
        </is>
      </c>
      <c r="C757" t="inlineStr">
        <is>
          <t>Föryngringsavverkning</t>
        </is>
      </c>
      <c r="D757" s="1" t="n">
        <v>46177</v>
      </c>
      <c r="E757" s="1" t="n">
        <v>46223</v>
      </c>
      <c r="F757" t="inlineStr">
        <is>
          <t>DALARNAS LÄN</t>
        </is>
      </c>
      <c r="G757" t="inlineStr">
        <is>
          <t>MALUNG-SÄLEN</t>
        </is>
      </c>
      <c r="H757" t="inlineStr">
        <is>
          <t>Bergvik skog väst AB</t>
        </is>
      </c>
      <c r="I757" t="n">
        <v>4</v>
      </c>
      <c r="J757" t="n">
        <v>0</v>
      </c>
      <c r="K757" t="n">
        <v>0</v>
      </c>
      <c r="L757" t="n">
        <v>0</v>
      </c>
      <c r="M757" t="n">
        <v>0</v>
      </c>
      <c r="N757" t="n">
        <v>0</v>
      </c>
      <c r="O757" t="n">
        <v>0</v>
      </c>
      <c r="P757" t="n">
        <v>0</v>
      </c>
      <c r="Q757" t="n">
        <v>0</v>
      </c>
      <c r="R757" t="n">
        <v>0</v>
      </c>
      <c r="S757" t="n">
        <v>0</v>
      </c>
      <c r="T757" t="n">
        <v>0</v>
      </c>
      <c r="U757" s="2" t="inlineStr"/>
    </row>
    <row r="758" ht="15" customHeight="1">
      <c r="A758" t="inlineStr">
        <is>
          <t>A 41574-2024</t>
        </is>
      </c>
      <c r="B758" t="inlineStr">
        <is>
          <t>avverkningsanmälan</t>
        </is>
      </c>
      <c r="C758" t="inlineStr">
        <is>
          <t>Föryngringsavverkning</t>
        </is>
      </c>
      <c r="D758" s="1" t="n">
        <v>45560</v>
      </c>
      <c r="E758" s="1" t="n">
        <v>46223</v>
      </c>
      <c r="F758" t="inlineStr">
        <is>
          <t>DALARNAS LÄN</t>
        </is>
      </c>
      <c r="G758" t="inlineStr">
        <is>
          <t>MALUNG-SÄLEN</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36466-2023</t>
        </is>
      </c>
      <c r="B759" t="inlineStr">
        <is>
          <t>avverkningsanmälan</t>
        </is>
      </c>
      <c r="C759" t="inlineStr">
        <is>
          <t>Avverkning för annat ändamål</t>
        </is>
      </c>
      <c r="D759" s="1" t="n">
        <v>45152</v>
      </c>
      <c r="E759" s="1" t="n">
        <v>46223</v>
      </c>
      <c r="F759" t="inlineStr">
        <is>
          <t>DALARNAS LÄN</t>
        </is>
      </c>
      <c r="G759" t="inlineStr">
        <is>
          <t>MALUNG-SÄLEN</t>
        </is>
      </c>
      <c r="H759" t="inlineStr">
        <is>
          <t>Bergvik skog väst AB</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26813-2023</t>
        </is>
      </c>
      <c r="B760" t="inlineStr">
        <is>
          <t>avverkningsanmälan</t>
        </is>
      </c>
      <c r="C760" t="inlineStr">
        <is>
          <t>Föryngringsavverkning</t>
        </is>
      </c>
      <c r="D760" s="1" t="n">
        <v>45090</v>
      </c>
      <c r="E760" s="1" t="n">
        <v>46223</v>
      </c>
      <c r="F760" t="inlineStr">
        <is>
          <t>DALARNAS LÄN</t>
        </is>
      </c>
      <c r="G760" t="inlineStr">
        <is>
          <t>MALUNG-SÄLEN</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22780-2023</t>
        </is>
      </c>
      <c r="B761" t="inlineStr">
        <is>
          <t>avverkningsanmälan</t>
        </is>
      </c>
      <c r="C761" t="inlineStr">
        <is>
          <t>Föryngringsavverkning</t>
        </is>
      </c>
      <c r="D761" s="1" t="n">
        <v>45072</v>
      </c>
      <c r="E761" s="1" t="n">
        <v>46223</v>
      </c>
      <c r="F761" t="inlineStr">
        <is>
          <t>DALARNAS LÄN</t>
        </is>
      </c>
      <c r="G761" t="inlineStr">
        <is>
          <t>MALUNG-SÄLEN</t>
        </is>
      </c>
      <c r="H761" t="inlineStr">
        <is>
          <t>Bergvik skog öst AB</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65275-2021</t>
        </is>
      </c>
      <c r="B762" t="inlineStr">
        <is>
          <t>avverkningsanmälan</t>
        </is>
      </c>
      <c r="C762" t="inlineStr">
        <is>
          <t>Föryngringsavverkning</t>
        </is>
      </c>
      <c r="D762" s="1" t="n">
        <v>44515</v>
      </c>
      <c r="E762" s="1" t="n">
        <v>46223</v>
      </c>
      <c r="F762" t="inlineStr">
        <is>
          <t>DALARNAS LÄN</t>
        </is>
      </c>
      <c r="G762" t="inlineStr">
        <is>
          <t>MALUNG-SÄLEN</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21279-2023</t>
        </is>
      </c>
      <c r="B763" t="inlineStr">
        <is>
          <t>avverkningsanmälan</t>
        </is>
      </c>
      <c r="C763" t="inlineStr">
        <is>
          <t>Föryngringsavverkning</t>
        </is>
      </c>
      <c r="D763" s="1" t="n">
        <v>45062</v>
      </c>
      <c r="E763" s="1" t="n">
        <v>46223</v>
      </c>
      <c r="F763" t="inlineStr">
        <is>
          <t>DALARNAS LÄN</t>
        </is>
      </c>
      <c r="G763" t="inlineStr">
        <is>
          <t>MALUNG-SÄLEN</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752-2023</t>
        </is>
      </c>
      <c r="B764" t="inlineStr">
        <is>
          <t>avverkningsanmälan</t>
        </is>
      </c>
      <c r="C764" t="inlineStr">
        <is>
          <t>Föryngringsavverkning</t>
        </is>
      </c>
      <c r="D764" s="1" t="n">
        <v>44931</v>
      </c>
      <c r="E764" s="1" t="n">
        <v>46223</v>
      </c>
      <c r="F764" t="inlineStr">
        <is>
          <t>DALARNAS LÄN</t>
        </is>
      </c>
      <c r="G764" t="inlineStr">
        <is>
          <t>MALUNG-SÄLEN</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6496-2024</t>
        </is>
      </c>
      <c r="B765" t="inlineStr">
        <is>
          <t>avverkningsanmälan</t>
        </is>
      </c>
      <c r="C765" t="inlineStr">
        <is>
          <t>Föryngringsavverkning</t>
        </is>
      </c>
      <c r="D765" s="1" t="n">
        <v>45339</v>
      </c>
      <c r="E765" s="1" t="n">
        <v>46223</v>
      </c>
      <c r="F765" t="inlineStr">
        <is>
          <t>DALARNAS LÄN</t>
        </is>
      </c>
      <c r="G765" t="inlineStr">
        <is>
          <t>MALUNG-SÄLEN</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16391-2024</t>
        </is>
      </c>
      <c r="B766" t="inlineStr">
        <is>
          <t>avverkningsanmälan</t>
        </is>
      </c>
      <c r="C766" t="inlineStr">
        <is>
          <t>Avverkning för annat ändamål</t>
        </is>
      </c>
      <c r="D766" s="1" t="n">
        <v>45407</v>
      </c>
      <c r="E766" s="1" t="n">
        <v>46223</v>
      </c>
      <c r="F766" t="inlineStr">
        <is>
          <t>DALARNAS LÄN</t>
        </is>
      </c>
      <c r="G766" t="inlineStr">
        <is>
          <t>MALUNG-SÄLEN</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55847-2022</t>
        </is>
      </c>
      <c r="B767" t="inlineStr">
        <is>
          <t>avverkningsanmälan</t>
        </is>
      </c>
      <c r="C767" t="inlineStr">
        <is>
          <t>Föryngringsavverkning</t>
        </is>
      </c>
      <c r="D767" s="1" t="n">
        <v>44888</v>
      </c>
      <c r="E767" s="1" t="n">
        <v>46223</v>
      </c>
      <c r="F767" t="inlineStr">
        <is>
          <t>DALARNAS LÄN</t>
        </is>
      </c>
      <c r="G767" t="inlineStr">
        <is>
          <t>MALUNG-SÄLEN</t>
        </is>
      </c>
      <c r="I767" t="n">
        <v>8.300000000000001</v>
      </c>
      <c r="J767" t="n">
        <v>0</v>
      </c>
      <c r="K767" t="n">
        <v>0</v>
      </c>
      <c r="L767" t="n">
        <v>0</v>
      </c>
      <c r="M767" t="n">
        <v>0</v>
      </c>
      <c r="N767" t="n">
        <v>0</v>
      </c>
      <c r="O767" t="n">
        <v>0</v>
      </c>
      <c r="P767" t="n">
        <v>0</v>
      </c>
      <c r="Q767" t="n">
        <v>0</v>
      </c>
      <c r="R767" t="n">
        <v>0</v>
      </c>
      <c r="S767" t="n">
        <v>0</v>
      </c>
      <c r="T767" t="n">
        <v>0</v>
      </c>
      <c r="U767" s="2" t="inlineStr"/>
    </row>
    <row r="768" ht="15" customHeight="1">
      <c r="A768" t="inlineStr">
        <is>
          <t>A 38817-2023</t>
        </is>
      </c>
      <c r="B768" t="inlineStr">
        <is>
          <t>avverkningsanmälan</t>
        </is>
      </c>
      <c r="C768" t="inlineStr">
        <is>
          <t>Föryngringsavverkning</t>
        </is>
      </c>
      <c r="D768" s="1" t="n">
        <v>45163</v>
      </c>
      <c r="E768" s="1" t="n">
        <v>46223</v>
      </c>
      <c r="F768" t="inlineStr">
        <is>
          <t>DALARNAS LÄN</t>
        </is>
      </c>
      <c r="G768" t="inlineStr">
        <is>
          <t>MALUNG-SÄLEN</t>
        </is>
      </c>
      <c r="H768" t="inlineStr">
        <is>
          <t>Bergvik skog öst AB</t>
        </is>
      </c>
      <c r="I768" t="n">
        <v>0.9</v>
      </c>
      <c r="J768" t="n">
        <v>0</v>
      </c>
      <c r="K768" t="n">
        <v>0</v>
      </c>
      <c r="L768" t="n">
        <v>0</v>
      </c>
      <c r="M768" t="n">
        <v>0</v>
      </c>
      <c r="N768" t="n">
        <v>0</v>
      </c>
      <c r="O768" t="n">
        <v>0</v>
      </c>
      <c r="P768" t="n">
        <v>0</v>
      </c>
      <c r="Q768" t="n">
        <v>0</v>
      </c>
      <c r="R768" t="n">
        <v>0</v>
      </c>
      <c r="S768" t="n">
        <v>0</v>
      </c>
      <c r="T768" t="n">
        <v>0</v>
      </c>
      <c r="U768" s="2" t="inlineStr"/>
    </row>
    <row r="769" ht="15" customHeight="1">
      <c r="A769" t="inlineStr">
        <is>
          <t>A 60298-2024</t>
        </is>
      </c>
      <c r="B769" t="inlineStr">
        <is>
          <t>avverkningsanmälan</t>
        </is>
      </c>
      <c r="C769" t="inlineStr">
        <is>
          <t>Föryngringsavverkning</t>
        </is>
      </c>
      <c r="D769" s="1" t="n">
        <v>45643</v>
      </c>
      <c r="E769" s="1" t="n">
        <v>46223</v>
      </c>
      <c r="F769" t="inlineStr">
        <is>
          <t>DALARNAS LÄN</t>
        </is>
      </c>
      <c r="G769" t="inlineStr">
        <is>
          <t>MALUNG-SÄLEN</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55599-2023</t>
        </is>
      </c>
      <c r="B770" t="inlineStr">
        <is>
          <t>avverkningsanmälan</t>
        </is>
      </c>
      <c r="C770" t="inlineStr">
        <is>
          <t>Föryngringsavverkning</t>
        </is>
      </c>
      <c r="D770" s="1" t="n">
        <v>45238</v>
      </c>
      <c r="E770" s="1" t="n">
        <v>46223</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19597-2024</t>
        </is>
      </c>
      <c r="B771" t="inlineStr">
        <is>
          <t>avverkningsanmälan</t>
        </is>
      </c>
      <c r="C771" t="inlineStr">
        <is>
          <t>Föryngringsavverkning</t>
        </is>
      </c>
      <c r="D771" s="1" t="n">
        <v>45430</v>
      </c>
      <c r="E771" s="1" t="n">
        <v>46223</v>
      </c>
      <c r="F771" t="inlineStr">
        <is>
          <t>DALARNAS LÄN</t>
        </is>
      </c>
      <c r="G771" t="inlineStr">
        <is>
          <t>MALUNG-SÄLEN</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42737-2023</t>
        </is>
      </c>
      <c r="B772" t="inlineStr">
        <is>
          <t>avverkningsanmälan</t>
        </is>
      </c>
      <c r="C772" t="inlineStr">
        <is>
          <t>Föryngringsavverkning</t>
        </is>
      </c>
      <c r="D772" s="1" t="n">
        <v>45177</v>
      </c>
      <c r="E772" s="1" t="n">
        <v>46223</v>
      </c>
      <c r="F772" t="inlineStr">
        <is>
          <t>DALARNAS LÄN</t>
        </is>
      </c>
      <c r="G772" t="inlineStr">
        <is>
          <t>MALUNG-SÄLEN</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20861-2024</t>
        </is>
      </c>
      <c r="B773" t="inlineStr">
        <is>
          <t>avverkningsanmälan</t>
        </is>
      </c>
      <c r="C773" t="inlineStr">
        <is>
          <t>Föryngringsavverkning</t>
        </is>
      </c>
      <c r="D773" s="1" t="n">
        <v>45439</v>
      </c>
      <c r="E773" s="1" t="n">
        <v>46223</v>
      </c>
      <c r="F773" t="inlineStr">
        <is>
          <t>DALARNAS LÄN</t>
        </is>
      </c>
      <c r="G773" t="inlineStr">
        <is>
          <t>MALUNG-SÄLEN</t>
        </is>
      </c>
      <c r="H773" t="inlineStr">
        <is>
          <t>Bergvik skog öst AB</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5369-2025</t>
        </is>
      </c>
      <c r="B774" t="inlineStr">
        <is>
          <t>avverkningsanmälan</t>
        </is>
      </c>
      <c r="C774" t="inlineStr">
        <is>
          <t>Föryngringsavverkning</t>
        </is>
      </c>
      <c r="D774" s="1" t="n">
        <v>45692</v>
      </c>
      <c r="E774" s="1" t="n">
        <v>46223</v>
      </c>
      <c r="F774" t="inlineStr">
        <is>
          <t>DALARNAS LÄN</t>
        </is>
      </c>
      <c r="G774" t="inlineStr">
        <is>
          <t>MALUNG-SÄLEN</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47976-2023</t>
        </is>
      </c>
      <c r="B775" t="inlineStr">
        <is>
          <t>avverkningsanmälan</t>
        </is>
      </c>
      <c r="C775" t="inlineStr">
        <is>
          <t>Föryngringsavverkning</t>
        </is>
      </c>
      <c r="D775" s="1" t="n">
        <v>45204</v>
      </c>
      <c r="E775" s="1" t="n">
        <v>46223</v>
      </c>
      <c r="F775" t="inlineStr">
        <is>
          <t>DALARNAS LÄN</t>
        </is>
      </c>
      <c r="G775" t="inlineStr">
        <is>
          <t>MALUNG-SÄLEN</t>
        </is>
      </c>
      <c r="H775" t="inlineStr">
        <is>
          <t>Bergvik skog öst AB</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10364-2025</t>
        </is>
      </c>
      <c r="B776" t="inlineStr">
        <is>
          <t>avverkningsanmälan</t>
        </is>
      </c>
      <c r="C776" t="inlineStr">
        <is>
          <t>Föryngringsavverkning</t>
        </is>
      </c>
      <c r="D776" s="1" t="n">
        <v>45720</v>
      </c>
      <c r="E776" s="1" t="n">
        <v>46223</v>
      </c>
      <c r="F776" t="inlineStr">
        <is>
          <t>DALARNAS LÄN</t>
        </is>
      </c>
      <c r="G776" t="inlineStr">
        <is>
          <t>MALUNG-SÄLEN</t>
        </is>
      </c>
      <c r="I776" t="n">
        <v>17.1</v>
      </c>
      <c r="J776" t="n">
        <v>0</v>
      </c>
      <c r="K776" t="n">
        <v>0</v>
      </c>
      <c r="L776" t="n">
        <v>0</v>
      </c>
      <c r="M776" t="n">
        <v>0</v>
      </c>
      <c r="N776" t="n">
        <v>0</v>
      </c>
      <c r="O776" t="n">
        <v>0</v>
      </c>
      <c r="P776" t="n">
        <v>0</v>
      </c>
      <c r="Q776" t="n">
        <v>0</v>
      </c>
      <c r="R776" t="n">
        <v>0</v>
      </c>
      <c r="S776" t="n">
        <v>0</v>
      </c>
      <c r="T776" t="n">
        <v>0</v>
      </c>
      <c r="U776" s="2" t="inlineStr"/>
    </row>
    <row r="777" ht="15" customHeight="1">
      <c r="A777" t="inlineStr">
        <is>
          <t>A 56289-2024</t>
        </is>
      </c>
      <c r="B777" t="inlineStr">
        <is>
          <t>avverkningsanmälan</t>
        </is>
      </c>
      <c r="C777" t="inlineStr">
        <is>
          <t>Föryngringsavverkning</t>
        </is>
      </c>
      <c r="D777" s="1" t="n">
        <v>45624</v>
      </c>
      <c r="E777" s="1" t="n">
        <v>46223</v>
      </c>
      <c r="F777" t="inlineStr">
        <is>
          <t>DALARNAS LÄN</t>
        </is>
      </c>
      <c r="G777" t="inlineStr">
        <is>
          <t>MALUNG-SÄLEN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56297-2024</t>
        </is>
      </c>
      <c r="B778" t="inlineStr">
        <is>
          <t>avverkningsanmälan</t>
        </is>
      </c>
      <c r="C778" t="inlineStr">
        <is>
          <t>Föryngringsavverkning</t>
        </is>
      </c>
      <c r="D778" s="1" t="n">
        <v>45624</v>
      </c>
      <c r="E778" s="1" t="n">
        <v>46223</v>
      </c>
      <c r="F778" t="inlineStr">
        <is>
          <t>DALARNAS LÄN</t>
        </is>
      </c>
      <c r="G778" t="inlineStr">
        <is>
          <t>MALUNG-SÄLEN</t>
        </is>
      </c>
      <c r="I778" t="n">
        <v>4.5</v>
      </c>
      <c r="J778" t="n">
        <v>0</v>
      </c>
      <c r="K778" t="n">
        <v>0</v>
      </c>
      <c r="L778" t="n">
        <v>0</v>
      </c>
      <c r="M778" t="n">
        <v>0</v>
      </c>
      <c r="N778" t="n">
        <v>0</v>
      </c>
      <c r="O778" t="n">
        <v>0</v>
      </c>
      <c r="P778" t="n">
        <v>0</v>
      </c>
      <c r="Q778" t="n">
        <v>0</v>
      </c>
      <c r="R778" t="n">
        <v>0</v>
      </c>
      <c r="S778" t="n">
        <v>0</v>
      </c>
      <c r="T778" t="n">
        <v>0</v>
      </c>
      <c r="U778" s="2" t="inlineStr"/>
    </row>
    <row r="779" ht="15" customHeight="1">
      <c r="A779" t="inlineStr">
        <is>
          <t>A 113-2024</t>
        </is>
      </c>
      <c r="B779" t="inlineStr">
        <is>
          <t>avverkningsanmälan</t>
        </is>
      </c>
      <c r="C779" t="inlineStr">
        <is>
          <t>Föryngringsavverkning</t>
        </is>
      </c>
      <c r="D779" s="1" t="n">
        <v>45294</v>
      </c>
      <c r="E779" s="1" t="n">
        <v>46223</v>
      </c>
      <c r="F779" t="inlineStr">
        <is>
          <t>DALARNAS LÄN</t>
        </is>
      </c>
      <c r="G779" t="inlineStr">
        <is>
          <t>MALUNG-SÄLEN</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1978-2025</t>
        </is>
      </c>
      <c r="B780" t="inlineStr">
        <is>
          <t>avverkningsanmälan</t>
        </is>
      </c>
      <c r="C780" t="inlineStr">
        <is>
          <t>Föryngringsavverkning</t>
        </is>
      </c>
      <c r="D780" s="1" t="n">
        <v>45672</v>
      </c>
      <c r="E780" s="1" t="n">
        <v>46223</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19659-2024</t>
        </is>
      </c>
      <c r="B781" t="inlineStr">
        <is>
          <t>avverkningsanmälan</t>
        </is>
      </c>
      <c r="C781" t="inlineStr">
        <is>
          <t>Föryngringsavverkning</t>
        </is>
      </c>
      <c r="D781" s="1" t="n">
        <v>45432</v>
      </c>
      <c r="E781" s="1" t="n">
        <v>46223</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11496-2025</t>
        </is>
      </c>
      <c r="B782" t="inlineStr">
        <is>
          <t>avverkningsanmälan</t>
        </is>
      </c>
      <c r="C782" t="inlineStr">
        <is>
          <t>Föryngringsavverkning</t>
        </is>
      </c>
      <c r="D782" s="1" t="n">
        <v>45726</v>
      </c>
      <c r="E782" s="1" t="n">
        <v>46223</v>
      </c>
      <c r="F782" t="inlineStr">
        <is>
          <t>DALARNAS LÄN</t>
        </is>
      </c>
      <c r="G782" t="inlineStr">
        <is>
          <t>MALUNG-SÄLEN</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50039-2023</t>
        </is>
      </c>
      <c r="B783" t="inlineStr">
        <is>
          <t>avverkningsanmälan</t>
        </is>
      </c>
      <c r="C783" t="inlineStr">
        <is>
          <t>Föryngringsavverkning</t>
        </is>
      </c>
      <c r="D783" s="1" t="n">
        <v>45215</v>
      </c>
      <c r="E783" s="1" t="n">
        <v>46223</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34519-2024</t>
        </is>
      </c>
      <c r="B784" t="inlineStr">
        <is>
          <t>avverkningsanmälan</t>
        </is>
      </c>
      <c r="C784" t="inlineStr">
        <is>
          <t>Föryngringsavverkning</t>
        </is>
      </c>
      <c r="D784" s="1" t="n">
        <v>45525</v>
      </c>
      <c r="E784" s="1" t="n">
        <v>46223</v>
      </c>
      <c r="F784" t="inlineStr">
        <is>
          <t>DALARNAS LÄN</t>
        </is>
      </c>
      <c r="G784" t="inlineStr">
        <is>
          <t>MALUNG-SÄLEN</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29217-2024</t>
        </is>
      </c>
      <c r="B785" t="inlineStr">
        <is>
          <t>avverkningsanmälan</t>
        </is>
      </c>
      <c r="C785" t="inlineStr">
        <is>
          <t>Föryngringsavverkning</t>
        </is>
      </c>
      <c r="D785" s="1" t="n">
        <v>45482</v>
      </c>
      <c r="E785" s="1" t="n">
        <v>46223</v>
      </c>
      <c r="F785" t="inlineStr">
        <is>
          <t>DALARNAS LÄN</t>
        </is>
      </c>
      <c r="G785" t="inlineStr">
        <is>
          <t>MALUNG-SÄLEN</t>
        </is>
      </c>
      <c r="H785" t="inlineStr">
        <is>
          <t>Kommuner</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23790-2024</t>
        </is>
      </c>
      <c r="B786" t="inlineStr">
        <is>
          <t>avverkningsanmälan</t>
        </is>
      </c>
      <c r="C786" t="inlineStr">
        <is>
          <t>Föryngringsavverkning</t>
        </is>
      </c>
      <c r="D786" s="1" t="n">
        <v>45455</v>
      </c>
      <c r="E786" s="1" t="n">
        <v>46223</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12842-2022</t>
        </is>
      </c>
      <c r="B787" t="inlineStr">
        <is>
          <t>avverkningsanmälan</t>
        </is>
      </c>
      <c r="C787" t="inlineStr">
        <is>
          <t>Föryngringsavverkning</t>
        </is>
      </c>
      <c r="D787" s="1" t="n">
        <v>44641</v>
      </c>
      <c r="E787" s="1" t="n">
        <v>46223</v>
      </c>
      <c r="F787" t="inlineStr">
        <is>
          <t>DALARNAS LÄN</t>
        </is>
      </c>
      <c r="G787" t="inlineStr">
        <is>
          <t>MALUNG-SÄLEN</t>
        </is>
      </c>
      <c r="H787" t="inlineStr">
        <is>
          <t>Allmännings- och besparingsskogar</t>
        </is>
      </c>
      <c r="I787" t="n">
        <v>35.1</v>
      </c>
      <c r="J787" t="n">
        <v>0</v>
      </c>
      <c r="K787" t="n">
        <v>0</v>
      </c>
      <c r="L787" t="n">
        <v>0</v>
      </c>
      <c r="M787" t="n">
        <v>0</v>
      </c>
      <c r="N787" t="n">
        <v>0</v>
      </c>
      <c r="O787" t="n">
        <v>0</v>
      </c>
      <c r="P787" t="n">
        <v>0</v>
      </c>
      <c r="Q787" t="n">
        <v>0</v>
      </c>
      <c r="R787" t="n">
        <v>0</v>
      </c>
      <c r="S787" t="n">
        <v>0</v>
      </c>
      <c r="T787" t="n">
        <v>0</v>
      </c>
      <c r="U787" s="2" t="inlineStr"/>
    </row>
    <row r="788" ht="15" customHeight="1">
      <c r="A788" t="inlineStr">
        <is>
          <t>A 60439-2022</t>
        </is>
      </c>
      <c r="B788" t="inlineStr">
        <is>
          <t>avverkningsanmälan</t>
        </is>
      </c>
      <c r="C788" t="inlineStr">
        <is>
          <t>Föryngringsavverkning</t>
        </is>
      </c>
      <c r="D788" s="1" t="n">
        <v>44911</v>
      </c>
      <c r="E788" s="1" t="n">
        <v>46223</v>
      </c>
      <c r="F788" t="inlineStr">
        <is>
          <t>DALARNAS LÄN</t>
        </is>
      </c>
      <c r="G788" t="inlineStr">
        <is>
          <t>MALUNG-SÄLEN</t>
        </is>
      </c>
      <c r="I788" t="n">
        <v>2.9</v>
      </c>
      <c r="J788" t="n">
        <v>0</v>
      </c>
      <c r="K788" t="n">
        <v>0</v>
      </c>
      <c r="L788" t="n">
        <v>0</v>
      </c>
      <c r="M788" t="n">
        <v>0</v>
      </c>
      <c r="N788" t="n">
        <v>0</v>
      </c>
      <c r="O788" t="n">
        <v>0</v>
      </c>
      <c r="P788" t="n">
        <v>0</v>
      </c>
      <c r="Q788" t="n">
        <v>0</v>
      </c>
      <c r="R788" t="n">
        <v>0</v>
      </c>
      <c r="S788" t="n">
        <v>0</v>
      </c>
      <c r="T788" t="n">
        <v>0</v>
      </c>
      <c r="U788" s="2" t="inlineStr"/>
    </row>
    <row r="789" ht="15" customHeight="1">
      <c r="A789" t="inlineStr">
        <is>
          <t>A 14993-2024</t>
        </is>
      </c>
      <c r="B789" t="inlineStr">
        <is>
          <t>avverkningsanmälan</t>
        </is>
      </c>
      <c r="C789" t="inlineStr">
        <is>
          <t>Föryngringsavverkning</t>
        </is>
      </c>
      <c r="D789" s="1" t="n">
        <v>45399</v>
      </c>
      <c r="E789" s="1" t="n">
        <v>46223</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s="2" t="inlineStr"/>
    </row>
    <row r="790" ht="15" customHeight="1">
      <c r="A790" t="inlineStr">
        <is>
          <t>A 20026-2023</t>
        </is>
      </c>
      <c r="B790" t="inlineStr">
        <is>
          <t>avverkningsanmälan</t>
        </is>
      </c>
      <c r="C790" t="inlineStr">
        <is>
          <t>Föryngringsavverkning</t>
        </is>
      </c>
      <c r="D790" s="1" t="n">
        <v>45054</v>
      </c>
      <c r="E790" s="1" t="n">
        <v>46223</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22647-2025</t>
        </is>
      </c>
      <c r="B791" t="inlineStr">
        <is>
          <t>avverkningsanmälan</t>
        </is>
      </c>
      <c r="C791" t="inlineStr">
        <is>
          <t>Avverkning för annat ändamål</t>
        </is>
      </c>
      <c r="D791" s="1" t="n">
        <v>45789</v>
      </c>
      <c r="E791" s="1" t="n">
        <v>46223</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45893-2023</t>
        </is>
      </c>
      <c r="B792" t="inlineStr">
        <is>
          <t>avverkningsanmälan</t>
        </is>
      </c>
      <c r="C792" t="inlineStr">
        <is>
          <t>Föryngringsavverkning</t>
        </is>
      </c>
      <c r="D792" s="1" t="n">
        <v>45195</v>
      </c>
      <c r="E792" s="1" t="n">
        <v>46223</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s="2" t="inlineStr"/>
    </row>
    <row r="793" ht="15" customHeight="1">
      <c r="A793" t="inlineStr">
        <is>
          <t>A 8762-2025</t>
        </is>
      </c>
      <c r="B793" t="inlineStr">
        <is>
          <t>avverkningsanmälan</t>
        </is>
      </c>
      <c r="C793" t="inlineStr">
        <is>
          <t>Föryngringsavverkning</t>
        </is>
      </c>
      <c r="D793" s="1" t="n">
        <v>45712</v>
      </c>
      <c r="E793" s="1" t="n">
        <v>46223</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44350-2023</t>
        </is>
      </c>
      <c r="B794" t="inlineStr">
        <is>
          <t>avverkningsanmälan</t>
        </is>
      </c>
      <c r="C794" t="inlineStr">
        <is>
          <t>Föryngringsavverkning</t>
        </is>
      </c>
      <c r="D794" s="1" t="n">
        <v>45188</v>
      </c>
      <c r="E794" s="1" t="n">
        <v>46223</v>
      </c>
      <c r="F794" t="inlineStr">
        <is>
          <t>DALARNAS LÄN</t>
        </is>
      </c>
      <c r="G794" t="inlineStr">
        <is>
          <t>MALUNG-SÄLEN</t>
        </is>
      </c>
      <c r="I794" t="n">
        <v>3.4</v>
      </c>
      <c r="J794" t="n">
        <v>0</v>
      </c>
      <c r="K794" t="n">
        <v>0</v>
      </c>
      <c r="L794" t="n">
        <v>0</v>
      </c>
      <c r="M794" t="n">
        <v>0</v>
      </c>
      <c r="N794" t="n">
        <v>0</v>
      </c>
      <c r="O794" t="n">
        <v>0</v>
      </c>
      <c r="P794" t="n">
        <v>0</v>
      </c>
      <c r="Q794" t="n">
        <v>0</v>
      </c>
      <c r="R794" t="n">
        <v>0</v>
      </c>
      <c r="S794" t="n">
        <v>0</v>
      </c>
      <c r="T794" t="n">
        <v>0</v>
      </c>
      <c r="U794" s="2" t="inlineStr"/>
    </row>
    <row r="795" ht="15" customHeight="1">
      <c r="A795" t="inlineStr">
        <is>
          <t>A 53149-2023</t>
        </is>
      </c>
      <c r="B795" t="inlineStr">
        <is>
          <t>avverkningsanmälan</t>
        </is>
      </c>
      <c r="C795" t="inlineStr">
        <is>
          <t>Föryngringsavverkning</t>
        </is>
      </c>
      <c r="D795" s="1" t="n">
        <v>45229</v>
      </c>
      <c r="E795" s="1" t="n">
        <v>46223</v>
      </c>
      <c r="F795" t="inlineStr">
        <is>
          <t>DALARNAS LÄN</t>
        </is>
      </c>
      <c r="G795" t="inlineStr">
        <is>
          <t>MALUNG-SÄLEN</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15602-2023</t>
        </is>
      </c>
      <c r="B796" t="inlineStr">
        <is>
          <t>avverkningsanmälan</t>
        </is>
      </c>
      <c r="C796" t="inlineStr">
        <is>
          <t>Föryngringsavverkning</t>
        </is>
      </c>
      <c r="D796" s="1" t="n">
        <v>45020</v>
      </c>
      <c r="E796" s="1" t="n">
        <v>46223</v>
      </c>
      <c r="F796" t="inlineStr">
        <is>
          <t>DALARNAS LÄN</t>
        </is>
      </c>
      <c r="G796" t="inlineStr">
        <is>
          <t>MALUNG-SÄLEN</t>
        </is>
      </c>
      <c r="I796" t="n">
        <v>15.5</v>
      </c>
      <c r="J796" t="n">
        <v>0</v>
      </c>
      <c r="K796" t="n">
        <v>0</v>
      </c>
      <c r="L796" t="n">
        <v>0</v>
      </c>
      <c r="M796" t="n">
        <v>0</v>
      </c>
      <c r="N796" t="n">
        <v>0</v>
      </c>
      <c r="O796" t="n">
        <v>0</v>
      </c>
      <c r="P796" t="n">
        <v>0</v>
      </c>
      <c r="Q796" t="n">
        <v>0</v>
      </c>
      <c r="R796" t="n">
        <v>0</v>
      </c>
      <c r="S796" t="n">
        <v>0</v>
      </c>
      <c r="T796" t="n">
        <v>0</v>
      </c>
      <c r="U796" s="2" t="inlineStr"/>
    </row>
    <row r="797" ht="15" customHeight="1">
      <c r="A797" t="inlineStr">
        <is>
          <t>A 37386-2024</t>
        </is>
      </c>
      <c r="B797" t="inlineStr">
        <is>
          <t>avverkningsanmälan</t>
        </is>
      </c>
      <c r="C797" t="inlineStr">
        <is>
          <t>Föryngringsavverkning</t>
        </is>
      </c>
      <c r="D797" s="1" t="n">
        <v>45540</v>
      </c>
      <c r="E797" s="1" t="n">
        <v>46223</v>
      </c>
      <c r="F797" t="inlineStr">
        <is>
          <t>DALARNAS LÄN</t>
        </is>
      </c>
      <c r="G797" t="inlineStr">
        <is>
          <t>MALUNG-SÄLEN</t>
        </is>
      </c>
      <c r="I797" t="n">
        <v>4.3</v>
      </c>
      <c r="J797" t="n">
        <v>0</v>
      </c>
      <c r="K797" t="n">
        <v>0</v>
      </c>
      <c r="L797" t="n">
        <v>0</v>
      </c>
      <c r="M797" t="n">
        <v>0</v>
      </c>
      <c r="N797" t="n">
        <v>0</v>
      </c>
      <c r="O797" t="n">
        <v>0</v>
      </c>
      <c r="P797" t="n">
        <v>0</v>
      </c>
      <c r="Q797" t="n">
        <v>0</v>
      </c>
      <c r="R797" t="n">
        <v>0</v>
      </c>
      <c r="S797" t="n">
        <v>0</v>
      </c>
      <c r="T797" t="n">
        <v>0</v>
      </c>
      <c r="U797" s="2" t="inlineStr"/>
    </row>
    <row r="798" ht="15" customHeight="1">
      <c r="A798" t="inlineStr">
        <is>
          <t>A 29930-2024</t>
        </is>
      </c>
      <c r="B798" t="inlineStr">
        <is>
          <t>avverkningsanmälan</t>
        </is>
      </c>
      <c r="C798" t="inlineStr">
        <is>
          <t>Föryngringsavverkning</t>
        </is>
      </c>
      <c r="D798" s="1" t="n">
        <v>45488</v>
      </c>
      <c r="E798" s="1" t="n">
        <v>46223</v>
      </c>
      <c r="F798" t="inlineStr">
        <is>
          <t>DALARNAS LÄN</t>
        </is>
      </c>
      <c r="G798" t="inlineStr">
        <is>
          <t>MALUNG-SÄLEN</t>
        </is>
      </c>
      <c r="H798" t="inlineStr">
        <is>
          <t>Bergvik skog öst AB</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17608-2023</t>
        </is>
      </c>
      <c r="B799" t="inlineStr">
        <is>
          <t>avverkningsanmälan</t>
        </is>
      </c>
      <c r="C799" t="inlineStr">
        <is>
          <t>Föryngringsavverkning</t>
        </is>
      </c>
      <c r="D799" s="1" t="n">
        <v>45036</v>
      </c>
      <c r="E799" s="1" t="n">
        <v>46223</v>
      </c>
      <c r="F799" t="inlineStr">
        <is>
          <t>DALARNAS LÄN</t>
        </is>
      </c>
      <c r="G799" t="inlineStr">
        <is>
          <t>MALUNG-SÄLEN</t>
        </is>
      </c>
      <c r="I799" t="n">
        <v>3.9</v>
      </c>
      <c r="J799" t="n">
        <v>0</v>
      </c>
      <c r="K799" t="n">
        <v>0</v>
      </c>
      <c r="L799" t="n">
        <v>0</v>
      </c>
      <c r="M799" t="n">
        <v>0</v>
      </c>
      <c r="N799" t="n">
        <v>0</v>
      </c>
      <c r="O799" t="n">
        <v>0</v>
      </c>
      <c r="P799" t="n">
        <v>0</v>
      </c>
      <c r="Q799" t="n">
        <v>0</v>
      </c>
      <c r="R799" t="n">
        <v>0</v>
      </c>
      <c r="S799" t="n">
        <v>0</v>
      </c>
      <c r="T799" t="n">
        <v>0</v>
      </c>
      <c r="U799" s="2" t="inlineStr"/>
    </row>
    <row r="800" ht="15" customHeight="1">
      <c r="A800" t="inlineStr">
        <is>
          <t>A 62371-2022</t>
        </is>
      </c>
      <c r="B800" t="inlineStr">
        <is>
          <t>avverkningsanmälan</t>
        </is>
      </c>
      <c r="C800" t="inlineStr">
        <is>
          <t>Föryngringsavverkning</t>
        </is>
      </c>
      <c r="D800" s="1" t="n">
        <v>44923</v>
      </c>
      <c r="E800" s="1" t="n">
        <v>46223</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24326-2025</t>
        </is>
      </c>
      <c r="B801" t="inlineStr">
        <is>
          <t>avverkningsanmälan</t>
        </is>
      </c>
      <c r="C801" t="inlineStr">
        <is>
          <t>Föryngringsavverkning</t>
        </is>
      </c>
      <c r="D801" s="1" t="n">
        <v>45797</v>
      </c>
      <c r="E801" s="1" t="n">
        <v>46223</v>
      </c>
      <c r="F801" t="inlineStr">
        <is>
          <t>DALARNAS LÄN</t>
        </is>
      </c>
      <c r="G801" t="inlineStr">
        <is>
          <t>MALUNG-SÄLEN</t>
        </is>
      </c>
      <c r="H801" t="inlineStr">
        <is>
          <t>Bergvik skog öst AB</t>
        </is>
      </c>
      <c r="I801" t="n">
        <v>0.1</v>
      </c>
      <c r="J801" t="n">
        <v>0</v>
      </c>
      <c r="K801" t="n">
        <v>0</v>
      </c>
      <c r="L801" t="n">
        <v>0</v>
      </c>
      <c r="M801" t="n">
        <v>0</v>
      </c>
      <c r="N801" t="n">
        <v>0</v>
      </c>
      <c r="O801" t="n">
        <v>0</v>
      </c>
      <c r="P801" t="n">
        <v>0</v>
      </c>
      <c r="Q801" t="n">
        <v>0</v>
      </c>
      <c r="R801" t="n">
        <v>0</v>
      </c>
      <c r="S801" t="n">
        <v>0</v>
      </c>
      <c r="T801" t="n">
        <v>0</v>
      </c>
      <c r="U801" s="2" t="inlineStr"/>
    </row>
    <row r="802" ht="15" customHeight="1">
      <c r="A802" t="inlineStr">
        <is>
          <t>A 24259-2025</t>
        </is>
      </c>
      <c r="B802" t="inlineStr">
        <is>
          <t>avverkningsanmälan</t>
        </is>
      </c>
      <c r="C802" t="inlineStr">
        <is>
          <t>Föryngringsavverkning</t>
        </is>
      </c>
      <c r="D802" s="1" t="n">
        <v>45797</v>
      </c>
      <c r="E802" s="1" t="n">
        <v>46223</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s="2" t="inlineStr"/>
    </row>
    <row r="803" ht="15" customHeight="1">
      <c r="A803" t="inlineStr">
        <is>
          <t>A 24364-2025</t>
        </is>
      </c>
      <c r="B803" t="inlineStr">
        <is>
          <t>avverkningsanmälan</t>
        </is>
      </c>
      <c r="C803" t="inlineStr">
        <is>
          <t>Föryngringsavverkning</t>
        </is>
      </c>
      <c r="D803" s="1" t="n">
        <v>45797</v>
      </c>
      <c r="E803" s="1" t="n">
        <v>46223</v>
      </c>
      <c r="F803" t="inlineStr">
        <is>
          <t>DALARNAS LÄN</t>
        </is>
      </c>
      <c r="G803" t="inlineStr">
        <is>
          <t>MALUNG-SÄLEN</t>
        </is>
      </c>
      <c r="H803" t="inlineStr">
        <is>
          <t>Bergvik skog öst AB</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24322-2025</t>
        </is>
      </c>
      <c r="B804" t="inlineStr">
        <is>
          <t>avverkningsanmälan</t>
        </is>
      </c>
      <c r="C804" t="inlineStr">
        <is>
          <t>Föryngringsavverkning</t>
        </is>
      </c>
      <c r="D804" s="1" t="n">
        <v>45797</v>
      </c>
      <c r="E804" s="1" t="n">
        <v>46223</v>
      </c>
      <c r="F804" t="inlineStr">
        <is>
          <t>DALARNAS LÄN</t>
        </is>
      </c>
      <c r="G804" t="inlineStr">
        <is>
          <t>MALUNG-SÄLEN</t>
        </is>
      </c>
      <c r="H804" t="inlineStr">
        <is>
          <t>Bergvik skog öst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24968-2025</t>
        </is>
      </c>
      <c r="B805" t="inlineStr">
        <is>
          <t>avverkningsanmälan</t>
        </is>
      </c>
      <c r="C805" t="inlineStr">
        <is>
          <t>Föryngringsavverkning</t>
        </is>
      </c>
      <c r="D805" s="1" t="n">
        <v>45799</v>
      </c>
      <c r="E805" s="1" t="n">
        <v>46223</v>
      </c>
      <c r="F805" t="inlineStr">
        <is>
          <t>DALARNAS LÄN</t>
        </is>
      </c>
      <c r="G805" t="inlineStr">
        <is>
          <t>MALUNG-SÄLEN</t>
        </is>
      </c>
      <c r="I805" t="n">
        <v>5.5</v>
      </c>
      <c r="J805" t="n">
        <v>0</v>
      </c>
      <c r="K805" t="n">
        <v>0</v>
      </c>
      <c r="L805" t="n">
        <v>0</v>
      </c>
      <c r="M805" t="n">
        <v>0</v>
      </c>
      <c r="N805" t="n">
        <v>0</v>
      </c>
      <c r="O805" t="n">
        <v>0</v>
      </c>
      <c r="P805" t="n">
        <v>0</v>
      </c>
      <c r="Q805" t="n">
        <v>0</v>
      </c>
      <c r="R805" t="n">
        <v>0</v>
      </c>
      <c r="S805" t="n">
        <v>0</v>
      </c>
      <c r="T805" t="n">
        <v>0</v>
      </c>
      <c r="U805" s="2" t="inlineStr"/>
    </row>
    <row r="806" ht="15" customHeight="1">
      <c r="A806" t="inlineStr">
        <is>
          <t>A 25141-2025</t>
        </is>
      </c>
      <c r="B806" t="inlineStr">
        <is>
          <t>avverkningsanmälan</t>
        </is>
      </c>
      <c r="C806" t="inlineStr">
        <is>
          <t>Föryngringsavverkning</t>
        </is>
      </c>
      <c r="D806" s="1" t="n">
        <v>45800</v>
      </c>
      <c r="E806" s="1" t="n">
        <v>46223</v>
      </c>
      <c r="F806" t="inlineStr">
        <is>
          <t>DALARNAS LÄN</t>
        </is>
      </c>
      <c r="G806" t="inlineStr">
        <is>
          <t>MALUNG-SÄLEN</t>
        </is>
      </c>
      <c r="H806" t="inlineStr">
        <is>
          <t>Bergvik skog öst AB</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25146-2025</t>
        </is>
      </c>
      <c r="B807" t="inlineStr">
        <is>
          <t>avverkningsanmälan</t>
        </is>
      </c>
      <c r="C807" t="inlineStr">
        <is>
          <t>Föryngringsavverkning</t>
        </is>
      </c>
      <c r="D807" s="1" t="n">
        <v>45800</v>
      </c>
      <c r="E807" s="1" t="n">
        <v>46223</v>
      </c>
      <c r="F807" t="inlineStr">
        <is>
          <t>DALARNAS LÄN</t>
        </is>
      </c>
      <c r="G807" t="inlineStr">
        <is>
          <t>MALUNG-SÄLEN</t>
        </is>
      </c>
      <c r="H807" t="inlineStr">
        <is>
          <t>Bergvik skog öst AB</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25924-2025</t>
        </is>
      </c>
      <c r="B808" t="inlineStr">
        <is>
          <t>avverkningsanmälan</t>
        </is>
      </c>
      <c r="C808" t="inlineStr">
        <is>
          <t>Föryngringsavverkning</t>
        </is>
      </c>
      <c r="D808" s="1" t="n">
        <v>45804</v>
      </c>
      <c r="E808" s="1" t="n">
        <v>46223</v>
      </c>
      <c r="F808" t="inlineStr">
        <is>
          <t>DALARNAS LÄN</t>
        </is>
      </c>
      <c r="G808" t="inlineStr">
        <is>
          <t>MALUNG-SÄLEN</t>
        </is>
      </c>
      <c r="H808" t="inlineStr">
        <is>
          <t>Allmännings- och besparingsskogar</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15334-2025</t>
        </is>
      </c>
      <c r="B809" t="inlineStr">
        <is>
          <t>avverkningsanmälan</t>
        </is>
      </c>
      <c r="C809" t="inlineStr">
        <is>
          <t>Föryngringsavverkning</t>
        </is>
      </c>
      <c r="D809" s="1" t="n">
        <v>45747</v>
      </c>
      <c r="E809" s="1" t="n">
        <v>46223</v>
      </c>
      <c r="F809" t="inlineStr">
        <is>
          <t>DALARNAS LÄN</t>
        </is>
      </c>
      <c r="G809" t="inlineStr">
        <is>
          <t>MALUNG-SÄLEN</t>
        </is>
      </c>
      <c r="H809" t="inlineStr">
        <is>
          <t>Övriga statliga verk och myndigheter</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25891-2025</t>
        </is>
      </c>
      <c r="B810" t="inlineStr">
        <is>
          <t>avverkningsanmälan</t>
        </is>
      </c>
      <c r="C810" t="inlineStr">
        <is>
          <t>Föryngringsavverkning</t>
        </is>
      </c>
      <c r="D810" s="1" t="n">
        <v>45804</v>
      </c>
      <c r="E810" s="1" t="n">
        <v>46223</v>
      </c>
      <c r="F810" t="inlineStr">
        <is>
          <t>DALARNAS LÄN</t>
        </is>
      </c>
      <c r="G810" t="inlineStr">
        <is>
          <t>MALUNG-SÄLEN</t>
        </is>
      </c>
      <c r="I810" t="n">
        <v>2.1</v>
      </c>
      <c r="J810" t="n">
        <v>0</v>
      </c>
      <c r="K810" t="n">
        <v>0</v>
      </c>
      <c r="L810" t="n">
        <v>0</v>
      </c>
      <c r="M810" t="n">
        <v>0</v>
      </c>
      <c r="N810" t="n">
        <v>0</v>
      </c>
      <c r="O810" t="n">
        <v>0</v>
      </c>
      <c r="P810" t="n">
        <v>0</v>
      </c>
      <c r="Q810" t="n">
        <v>0</v>
      </c>
      <c r="R810" t="n">
        <v>0</v>
      </c>
      <c r="S810" t="n">
        <v>0</v>
      </c>
      <c r="T810" t="n">
        <v>0</v>
      </c>
      <c r="U810" s="2" t="inlineStr"/>
    </row>
    <row r="811" ht="15" customHeight="1">
      <c r="A811" t="inlineStr">
        <is>
          <t>S 3180-2022</t>
        </is>
      </c>
      <c r="B811" t="inlineStr">
        <is>
          <t>samrådsanmälan</t>
        </is>
      </c>
      <c r="C811" t="inlineStr">
        <is>
          <t>Askåterföring</t>
        </is>
      </c>
      <c r="D811" s="1" t="n">
        <v>44722</v>
      </c>
      <c r="E811" s="1" t="n">
        <v>46223</v>
      </c>
      <c r="F811" t="inlineStr">
        <is>
          <t>DALARNAS LÄN</t>
        </is>
      </c>
      <c r="G811" t="inlineStr">
        <is>
          <t>MALUNG-SÄLEN</t>
        </is>
      </c>
      <c r="H811" t="inlineStr">
        <is>
          <t>Allmännings- och besparingsskogar</t>
        </is>
      </c>
      <c r="I811" t="n">
        <v>63.9</v>
      </c>
      <c r="J811" t="n">
        <v>0</v>
      </c>
      <c r="K811" t="n">
        <v>0</v>
      </c>
      <c r="L811" t="n">
        <v>0</v>
      </c>
      <c r="M811" t="n">
        <v>0</v>
      </c>
      <c r="N811" t="n">
        <v>0</v>
      </c>
      <c r="O811" t="n">
        <v>0</v>
      </c>
      <c r="P811" t="n">
        <v>0</v>
      </c>
      <c r="Q811" t="n">
        <v>0</v>
      </c>
      <c r="R811" t="n">
        <v>0</v>
      </c>
      <c r="S811" t="n">
        <v>0</v>
      </c>
      <c r="T811" t="n">
        <v>0</v>
      </c>
      <c r="U811" s="2" t="inlineStr"/>
    </row>
    <row r="812" ht="15" customHeight="1">
      <c r="A812" t="inlineStr">
        <is>
          <t>S 2313-2022</t>
        </is>
      </c>
      <c r="B812" t="inlineStr">
        <is>
          <t>samrådsanmälan</t>
        </is>
      </c>
      <c r="C812" t="inlineStr">
        <is>
          <t>Skogsgödsling</t>
        </is>
      </c>
      <c r="D812" s="1" t="n">
        <v>44684</v>
      </c>
      <c r="E812" s="1" t="n">
        <v>46223</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s="2" t="inlineStr"/>
    </row>
    <row r="813" ht="15" customHeight="1">
      <c r="A813" t="inlineStr">
        <is>
          <t>S 6261-2021</t>
        </is>
      </c>
      <c r="B813" t="inlineStr">
        <is>
          <t>samrådsanmälan</t>
        </is>
      </c>
      <c r="C813" t="inlineStr">
        <is>
          <t>Åtgärd i nyckelbiotop</t>
        </is>
      </c>
      <c r="D813" s="1" t="n">
        <v>44446</v>
      </c>
      <c r="E813" s="1" t="n">
        <v>46223</v>
      </c>
      <c r="F813" t="inlineStr">
        <is>
          <t>DALARNAS LÄN</t>
        </is>
      </c>
      <c r="G813" t="inlineStr">
        <is>
          <t>MALUNG-SÄLEN</t>
        </is>
      </c>
      <c r="H813" t="inlineStr">
        <is>
          <t>Bergvik skog öst AB</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S 813-2024</t>
        </is>
      </c>
      <c r="B814" t="inlineStr">
        <is>
          <t>samrådsanmälan</t>
        </is>
      </c>
      <c r="C814" t="inlineStr">
        <is>
          <t>Skogsgödsling</t>
        </is>
      </c>
      <c r="D814" s="1" t="n">
        <v>45371</v>
      </c>
      <c r="E814" s="1" t="n">
        <v>46223</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s="2" t="inlineStr"/>
    </row>
    <row r="815" ht="15" customHeight="1">
      <c r="A815" t="inlineStr">
        <is>
          <t>S 402-2025</t>
        </is>
      </c>
      <c r="B815" t="inlineStr">
        <is>
          <t>samrådsanmälan</t>
        </is>
      </c>
      <c r="C815" t="inlineStr">
        <is>
          <t>Skogsgödsling</t>
        </is>
      </c>
      <c r="D815" s="1" t="n">
        <v>45699</v>
      </c>
      <c r="E815" s="1" t="n">
        <v>46223</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s="2" t="inlineStr"/>
    </row>
    <row r="816" ht="15" customHeight="1">
      <c r="A816" t="inlineStr">
        <is>
          <t>S 1180-2025</t>
        </is>
      </c>
      <c r="B816" t="inlineStr">
        <is>
          <t>samrådsanmälan</t>
        </is>
      </c>
      <c r="C816" t="inlineStr">
        <is>
          <t>Skogsgödsling</t>
        </is>
      </c>
      <c r="D816" s="1" t="n">
        <v>45756</v>
      </c>
      <c r="E816" s="1" t="n">
        <v>46223</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s="2" t="inlineStr"/>
    </row>
    <row r="817" ht="15" customHeight="1">
      <c r="A817" t="inlineStr">
        <is>
          <t>S 1394-2025</t>
        </is>
      </c>
      <c r="B817" t="inlineStr">
        <is>
          <t>samrådsanmälan</t>
        </is>
      </c>
      <c r="C817" t="inlineStr">
        <is>
          <t>Skogsgödsling</t>
        </is>
      </c>
      <c r="D817" s="1" t="n">
        <v>45778</v>
      </c>
      <c r="E817" s="1" t="n">
        <v>46223</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S 471-2024</t>
        </is>
      </c>
      <c r="B818" t="inlineStr">
        <is>
          <t>samrådsanmälan</t>
        </is>
      </c>
      <c r="C818" t="inlineStr">
        <is>
          <t>Skogsgödsling</t>
        </is>
      </c>
      <c r="D818" s="1" t="n">
        <v>45342</v>
      </c>
      <c r="E818" s="1" t="n">
        <v>46223</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S 648-2026</t>
        </is>
      </c>
      <c r="B819" t="inlineStr">
        <is>
          <t>samrådsanmälan</t>
        </is>
      </c>
      <c r="C819" t="inlineStr">
        <is>
          <t>Skogsgödsling</t>
        </is>
      </c>
      <c r="D819" s="1" t="n">
        <v>46089</v>
      </c>
      <c r="E819" s="1" t="n">
        <v>46223</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s="2" t="inlineStr"/>
    </row>
    <row r="820" ht="15" customHeight="1">
      <c r="A820" t="inlineStr">
        <is>
          <t>S 451-2026</t>
        </is>
      </c>
      <c r="B820" t="inlineStr">
        <is>
          <t>samrådsanmälan</t>
        </is>
      </c>
      <c r="C820" t="inlineStr">
        <is>
          <t>Skogsgödsling</t>
        </is>
      </c>
      <c r="D820" s="1" t="n">
        <v>46072</v>
      </c>
      <c r="E820" s="1" t="n">
        <v>46223</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s="2" t="inlineStr"/>
    </row>
    <row r="821">
      <c r="A821" t="inlineStr">
        <is>
          <t>S 1605-2026</t>
        </is>
      </c>
      <c r="B821" t="inlineStr">
        <is>
          <t>samrådsanmälan</t>
        </is>
      </c>
      <c r="C821" t="inlineStr">
        <is>
          <t>Annan skogsbruksåtgärd</t>
        </is>
      </c>
      <c r="D821" s="1" t="n">
        <v>46171</v>
      </c>
      <c r="E821" s="1" t="n">
        <v>46223</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2026-07-20T01:49:29Z</dcterms:created>
  <dcterms:modified xmlns:dcterms="http://purl.org/dc/terms/" xmlns:xsi="http://www.w3.org/2001/XMLSchema-instance" xsi:type="dcterms:W3CDTF">2026-07-20T01:49:30Z</dcterms:modified>
</cp:coreProperties>
</file>