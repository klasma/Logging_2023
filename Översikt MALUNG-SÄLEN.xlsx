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45852</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45852</v>
      </c>
      <c r="D3" t="inlineStr">
        <is>
          <t>DALARNAS LÄN</t>
        </is>
      </c>
      <c r="E3" t="inlineStr">
        <is>
          <t>MALUNG-SÄLEN</t>
        </is>
      </c>
      <c r="G3" t="n">
        <v>54.7</v>
      </c>
      <c r="H3" t="n">
        <v>10</v>
      </c>
      <c r="I3" t="n">
        <v>4</v>
      </c>
      <c r="J3" t="n">
        <v>12</v>
      </c>
      <c r="K3" t="n">
        <v>2</v>
      </c>
      <c r="L3" t="n">
        <v>1</v>
      </c>
      <c r="M3" t="n">
        <v>0</v>
      </c>
      <c r="N3" t="n">
        <v>0</v>
      </c>
      <c r="O3" t="n">
        <v>15</v>
      </c>
      <c r="P3" t="n">
        <v>3</v>
      </c>
      <c r="Q3" t="n">
        <v>23</v>
      </c>
      <c r="R3"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45852</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45852</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45852</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45852</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45852</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45852</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45852</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45852</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45852</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45852</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45852</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45852</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45852</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45852</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45852</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45852</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45852</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45852</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45852</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45852</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45852</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45852</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45852</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45852</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45852</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45852</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45852</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45852</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45852</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45852</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45852</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45852</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45852</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45852</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45852</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45852</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45852</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45852</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45852</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45852</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45852</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45852</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45852</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45852</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45852</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45852</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45852</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45852</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45852</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45852</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45852</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45852</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45852</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45852</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45852</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45852</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45852</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45852</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45852</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45852</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30552-2025</t>
        </is>
      </c>
      <c r="B64" s="1" t="n">
        <v>45831</v>
      </c>
      <c r="C64" s="1" t="n">
        <v>45852</v>
      </c>
      <c r="D64" t="inlineStr">
        <is>
          <t>DALARNAS LÄN</t>
        </is>
      </c>
      <c r="E64" t="inlineStr">
        <is>
          <t>MALUNG-SÄLEN</t>
        </is>
      </c>
      <c r="F64" t="inlineStr">
        <is>
          <t>Bergvik skog väst AB</t>
        </is>
      </c>
      <c r="G64" t="n">
        <v>4.3</v>
      </c>
      <c r="H64" t="n">
        <v>0</v>
      </c>
      <c r="I64" t="n">
        <v>1</v>
      </c>
      <c r="J64" t="n">
        <v>1</v>
      </c>
      <c r="K64" t="n">
        <v>0</v>
      </c>
      <c r="L64" t="n">
        <v>0</v>
      </c>
      <c r="M64" t="n">
        <v>0</v>
      </c>
      <c r="N64" t="n">
        <v>0</v>
      </c>
      <c r="O64" t="n">
        <v>1</v>
      </c>
      <c r="P64" t="n">
        <v>0</v>
      </c>
      <c r="Q64" t="n">
        <v>2</v>
      </c>
      <c r="R64" s="2" t="inlineStr">
        <is>
          <t>Garnlav
Mörk husmossa</t>
        </is>
      </c>
      <c r="S64">
        <f>HYPERLINK("https://klasma.github.io/Logging_202023/artfynd/A 30552-2025 artfynd.xlsx", "A 30552-2025")</f>
        <v/>
      </c>
      <c r="T64">
        <f>HYPERLINK("https://klasma.github.io/Logging_202023/kartor/A 30552-2025 karta.png", "A 30552-2025")</f>
        <v/>
      </c>
      <c r="V64">
        <f>HYPERLINK("https://klasma.github.io/Logging_202023/klagomål/A 30552-2025 FSC-klagomål.docx", "A 30552-2025")</f>
        <v/>
      </c>
      <c r="W64">
        <f>HYPERLINK("https://klasma.github.io/Logging_202023/klagomålsmail/A 30552-2025 FSC-klagomål mail.docx", "A 30552-2025")</f>
        <v/>
      </c>
      <c r="X64">
        <f>HYPERLINK("https://klasma.github.io/Logging_202023/tillsyn/A 30552-2025 tillsynsbegäran.docx", "A 30552-2025")</f>
        <v/>
      </c>
      <c r="Y64">
        <f>HYPERLINK("https://klasma.github.io/Logging_202023/tillsynsmail/A 30552-2025 tillsynsbegäran mail.docx", "A 30552-2025")</f>
        <v/>
      </c>
    </row>
    <row r="65" ht="15" customHeight="1">
      <c r="A65" t="inlineStr">
        <is>
          <t>A 39475-2019</t>
        </is>
      </c>
      <c r="B65" s="1" t="n">
        <v>43691</v>
      </c>
      <c r="C65" s="1" t="n">
        <v>45852</v>
      </c>
      <c r="D65" t="inlineStr">
        <is>
          <t>DALARNAS LÄN</t>
        </is>
      </c>
      <c r="E65" t="inlineStr">
        <is>
          <t>MALUNG-SÄLEN</t>
        </is>
      </c>
      <c r="G65" t="n">
        <v>4.4</v>
      </c>
      <c r="H65" t="n">
        <v>1</v>
      </c>
      <c r="I65" t="n">
        <v>0</v>
      </c>
      <c r="J65" t="n">
        <v>0</v>
      </c>
      <c r="K65" t="n">
        <v>0</v>
      </c>
      <c r="L65" t="n">
        <v>0</v>
      </c>
      <c r="M65" t="n">
        <v>0</v>
      </c>
      <c r="N65" t="n">
        <v>0</v>
      </c>
      <c r="O65" t="n">
        <v>0</v>
      </c>
      <c r="P65" t="n">
        <v>0</v>
      </c>
      <c r="Q65" t="n">
        <v>1</v>
      </c>
      <c r="R65" s="2" t="inlineStr">
        <is>
          <t>Nattviol</t>
        </is>
      </c>
      <c r="S65">
        <f>HYPERLINK("https://klasma.github.io/Logging_2023/artfynd/A 39475-2019 artfynd.xlsx", "A 39475-2019")</f>
        <v/>
      </c>
      <c r="T65">
        <f>HYPERLINK("https://klasma.github.io/Logging_2023/kartor/A 39475-2019 karta.png", "A 39475-2019")</f>
        <v/>
      </c>
      <c r="V65">
        <f>HYPERLINK("https://klasma.github.io/Logging_2023/klagomål/A 39475-2019 FSC-klagomål.docx", "A 39475-2019")</f>
        <v/>
      </c>
      <c r="W65">
        <f>HYPERLINK("https://klasma.github.io/Logging_2023/klagomålsmail/A 39475-2019 FSC-klagomål mail.docx", "A 39475-2019")</f>
        <v/>
      </c>
      <c r="X65">
        <f>HYPERLINK("https://klasma.github.io/Logging_2023/tillsyn/A 39475-2019 tillsynsbegäran.docx", "A 39475-2019")</f>
        <v/>
      </c>
      <c r="Y65">
        <f>HYPERLINK("https://klasma.github.io/Logging_2023/tillsynsmail/A 39475-2019 tillsynsbegäran mail.docx", "A 39475-2019")</f>
        <v/>
      </c>
    </row>
    <row r="66" ht="15" customHeight="1">
      <c r="A66" t="inlineStr">
        <is>
          <t>A 62206-2019</t>
        </is>
      </c>
      <c r="B66" s="1" t="n">
        <v>43788</v>
      </c>
      <c r="C66" s="1" t="n">
        <v>45852</v>
      </c>
      <c r="D66" t="inlineStr">
        <is>
          <t>DALARNAS LÄN</t>
        </is>
      </c>
      <c r="E66" t="inlineStr">
        <is>
          <t>MALUNG-SÄLEN</t>
        </is>
      </c>
      <c r="G66" t="n">
        <v>0.8</v>
      </c>
      <c r="H66" t="n">
        <v>0</v>
      </c>
      <c r="I66" t="n">
        <v>0</v>
      </c>
      <c r="J66" t="n">
        <v>1</v>
      </c>
      <c r="K66" t="n">
        <v>0</v>
      </c>
      <c r="L66" t="n">
        <v>0</v>
      </c>
      <c r="M66" t="n">
        <v>0</v>
      </c>
      <c r="N66" t="n">
        <v>0</v>
      </c>
      <c r="O66" t="n">
        <v>1</v>
      </c>
      <c r="P66" t="n">
        <v>0</v>
      </c>
      <c r="Q66" t="n">
        <v>1</v>
      </c>
      <c r="R66" s="2" t="inlineStr">
        <is>
          <t>Lunglav</t>
        </is>
      </c>
      <c r="S66">
        <f>HYPERLINK("https://klasma.github.io/Logging_2023/artfynd/A 62206-2019 artfynd.xlsx", "A 62206-2019")</f>
        <v/>
      </c>
      <c r="T66">
        <f>HYPERLINK("https://klasma.github.io/Logging_2023/kartor/A 62206-2019 karta.png", "A 62206-2019")</f>
        <v/>
      </c>
      <c r="V66">
        <f>HYPERLINK("https://klasma.github.io/Logging_2023/klagomål/A 62206-2019 FSC-klagomål.docx", "A 62206-2019")</f>
        <v/>
      </c>
      <c r="W66">
        <f>HYPERLINK("https://klasma.github.io/Logging_2023/klagomålsmail/A 62206-2019 FSC-klagomål mail.docx", "A 62206-2019")</f>
        <v/>
      </c>
      <c r="X66">
        <f>HYPERLINK("https://klasma.github.io/Logging_2023/tillsyn/A 62206-2019 tillsynsbegäran.docx", "A 62206-2019")</f>
        <v/>
      </c>
      <c r="Y66">
        <f>HYPERLINK("https://klasma.github.io/Logging_2023/tillsynsmail/A 62206-2019 tillsynsbegäran mail.docx", "A 62206-2019")</f>
        <v/>
      </c>
    </row>
    <row r="67" ht="15" customHeight="1">
      <c r="A67" t="inlineStr">
        <is>
          <t>A 12761-2020</t>
        </is>
      </c>
      <c r="B67" s="1" t="n">
        <v>43899</v>
      </c>
      <c r="C67" s="1" t="n">
        <v>45852</v>
      </c>
      <c r="D67" t="inlineStr">
        <is>
          <t>DALARNAS LÄN</t>
        </is>
      </c>
      <c r="E67" t="inlineStr">
        <is>
          <t>MALUNG-SÄLEN</t>
        </is>
      </c>
      <c r="G67" t="n">
        <v>1.4</v>
      </c>
      <c r="H67" t="n">
        <v>0</v>
      </c>
      <c r="I67" t="n">
        <v>0</v>
      </c>
      <c r="J67" t="n">
        <v>1</v>
      </c>
      <c r="K67" t="n">
        <v>0</v>
      </c>
      <c r="L67" t="n">
        <v>0</v>
      </c>
      <c r="M67" t="n">
        <v>0</v>
      </c>
      <c r="N67" t="n">
        <v>0</v>
      </c>
      <c r="O67" t="n">
        <v>1</v>
      </c>
      <c r="P67" t="n">
        <v>0</v>
      </c>
      <c r="Q67" t="n">
        <v>1</v>
      </c>
      <c r="R67" s="2" t="inlineStr">
        <is>
          <t>Motaggsvamp</t>
        </is>
      </c>
      <c r="S67">
        <f>HYPERLINK("https://klasma.github.io/Logging_2023/artfynd/A 12761-2020 artfynd.xlsx", "A 12761-2020")</f>
        <v/>
      </c>
      <c r="T67">
        <f>HYPERLINK("https://klasma.github.io/Logging_2023/kartor/A 12761-2020 karta.png", "A 12761-2020")</f>
        <v/>
      </c>
      <c r="V67">
        <f>HYPERLINK("https://klasma.github.io/Logging_2023/klagomål/A 12761-2020 FSC-klagomål.docx", "A 12761-2020")</f>
        <v/>
      </c>
      <c r="W67">
        <f>HYPERLINK("https://klasma.github.io/Logging_2023/klagomålsmail/A 12761-2020 FSC-klagomål mail.docx", "A 12761-2020")</f>
        <v/>
      </c>
      <c r="X67">
        <f>HYPERLINK("https://klasma.github.io/Logging_2023/tillsyn/A 12761-2020 tillsynsbegäran.docx", "A 12761-2020")</f>
        <v/>
      </c>
      <c r="Y67">
        <f>HYPERLINK("https://klasma.github.io/Logging_2023/tillsynsmail/A 12761-2020 tillsynsbegäran mail.docx", "A 12761-2020")</f>
        <v/>
      </c>
    </row>
    <row r="68" ht="15" customHeight="1">
      <c r="A68" t="inlineStr">
        <is>
          <t>A 19759-2020</t>
        </is>
      </c>
      <c r="B68" s="1" t="n">
        <v>43942</v>
      </c>
      <c r="C68" s="1" t="n">
        <v>45852</v>
      </c>
      <c r="D68" t="inlineStr">
        <is>
          <t>DALARNAS LÄN</t>
        </is>
      </c>
      <c r="E68" t="inlineStr">
        <is>
          <t>MALUNG-SÄLEN</t>
        </is>
      </c>
      <c r="G68" t="n">
        <v>3.8</v>
      </c>
      <c r="H68" t="n">
        <v>1</v>
      </c>
      <c r="I68" t="n">
        <v>0</v>
      </c>
      <c r="J68" t="n">
        <v>0</v>
      </c>
      <c r="K68" t="n">
        <v>0</v>
      </c>
      <c r="L68" t="n">
        <v>1</v>
      </c>
      <c r="M68" t="n">
        <v>0</v>
      </c>
      <c r="N68" t="n">
        <v>0</v>
      </c>
      <c r="O68" t="n">
        <v>1</v>
      </c>
      <c r="P68" t="n">
        <v>1</v>
      </c>
      <c r="Q68" t="n">
        <v>1</v>
      </c>
      <c r="R68" s="2" t="inlineStr">
        <is>
          <t>Mosippa</t>
        </is>
      </c>
      <c r="S68">
        <f>HYPERLINK("https://klasma.github.io/Logging_2023/artfynd/A 19759-2020 artfynd.xlsx", "A 19759-2020")</f>
        <v/>
      </c>
      <c r="T68">
        <f>HYPERLINK("https://klasma.github.io/Logging_2023/kartor/A 19759-2020 karta.png", "A 19759-2020")</f>
        <v/>
      </c>
      <c r="V68">
        <f>HYPERLINK("https://klasma.github.io/Logging_2023/klagomål/A 19759-2020 FSC-klagomål.docx", "A 19759-2020")</f>
        <v/>
      </c>
      <c r="W68">
        <f>HYPERLINK("https://klasma.github.io/Logging_2023/klagomålsmail/A 19759-2020 FSC-klagomål mail.docx", "A 19759-2020")</f>
        <v/>
      </c>
      <c r="X68">
        <f>HYPERLINK("https://klasma.github.io/Logging_2023/tillsyn/A 19759-2020 tillsynsbegäran.docx", "A 19759-2020")</f>
        <v/>
      </c>
      <c r="Y68">
        <f>HYPERLINK("https://klasma.github.io/Logging_2023/tillsynsmail/A 19759-2020 tillsynsbegäran mail.docx", "A 19759-2020")</f>
        <v/>
      </c>
    </row>
    <row r="69" ht="15" customHeight="1">
      <c r="A69" t="inlineStr">
        <is>
          <t>A 25590-2020</t>
        </is>
      </c>
      <c r="B69" s="1" t="n">
        <v>43983</v>
      </c>
      <c r="C69" s="1" t="n">
        <v>45852</v>
      </c>
      <c r="D69" t="inlineStr">
        <is>
          <t>DALARNAS LÄN</t>
        </is>
      </c>
      <c r="E69" t="inlineStr">
        <is>
          <t>MALUNG-SÄLEN</t>
        </is>
      </c>
      <c r="F69" t="inlineStr">
        <is>
          <t>Allmännings- och besparingsskogar</t>
        </is>
      </c>
      <c r="G69" t="n">
        <v>2.2</v>
      </c>
      <c r="H69" t="n">
        <v>1</v>
      </c>
      <c r="I69" t="n">
        <v>0</v>
      </c>
      <c r="J69" t="n">
        <v>1</v>
      </c>
      <c r="K69" t="n">
        <v>0</v>
      </c>
      <c r="L69" t="n">
        <v>0</v>
      </c>
      <c r="M69" t="n">
        <v>0</v>
      </c>
      <c r="N69" t="n">
        <v>0</v>
      </c>
      <c r="O69" t="n">
        <v>1</v>
      </c>
      <c r="P69" t="n">
        <v>0</v>
      </c>
      <c r="Q69" t="n">
        <v>1</v>
      </c>
      <c r="R69" s="2" t="inlineStr">
        <is>
          <t>Tretåig hackspett</t>
        </is>
      </c>
      <c r="S69">
        <f>HYPERLINK("https://klasma.github.io/Logging_2023/artfynd/A 25590-2020 artfynd.xlsx", "A 25590-2020")</f>
        <v/>
      </c>
      <c r="T69">
        <f>HYPERLINK("https://klasma.github.io/Logging_2023/kartor/A 25590-2020 karta.png", "A 25590-2020")</f>
        <v/>
      </c>
      <c r="V69">
        <f>HYPERLINK("https://klasma.github.io/Logging_2023/klagomål/A 25590-2020 FSC-klagomål.docx", "A 25590-2020")</f>
        <v/>
      </c>
      <c r="W69">
        <f>HYPERLINK("https://klasma.github.io/Logging_2023/klagomålsmail/A 25590-2020 FSC-klagomål mail.docx", "A 25590-2020")</f>
        <v/>
      </c>
      <c r="X69">
        <f>HYPERLINK("https://klasma.github.io/Logging_2023/tillsyn/A 25590-2020 tillsynsbegäran.docx", "A 25590-2020")</f>
        <v/>
      </c>
      <c r="Y69">
        <f>HYPERLINK("https://klasma.github.io/Logging_2023/tillsynsmail/A 25590-2020 tillsynsbegäran mail.docx", "A 25590-2020")</f>
        <v/>
      </c>
      <c r="Z69">
        <f>HYPERLINK("https://klasma.github.io/Logging_2023/fåglar/A 25590-2020 prioriterade fågelarter.docx", "A 25590-2020")</f>
        <v/>
      </c>
    </row>
    <row r="70" ht="15" customHeight="1">
      <c r="A70" t="inlineStr">
        <is>
          <t>A 26557-2020</t>
        </is>
      </c>
      <c r="B70" s="1" t="n">
        <v>43987</v>
      </c>
      <c r="C70" s="1" t="n">
        <v>45852</v>
      </c>
      <c r="D70" t="inlineStr">
        <is>
          <t>DALARNAS LÄN</t>
        </is>
      </c>
      <c r="E70" t="inlineStr">
        <is>
          <t>MALUNG-SÄLEN</t>
        </is>
      </c>
      <c r="F70" t="inlineStr">
        <is>
          <t>Allmännings- och besparingsskogar</t>
        </is>
      </c>
      <c r="G70" t="n">
        <v>30.5</v>
      </c>
      <c r="H70" t="n">
        <v>1</v>
      </c>
      <c r="I70" t="n">
        <v>0</v>
      </c>
      <c r="J70" t="n">
        <v>0</v>
      </c>
      <c r="K70" t="n">
        <v>0</v>
      </c>
      <c r="L70" t="n">
        <v>0</v>
      </c>
      <c r="M70" t="n">
        <v>0</v>
      </c>
      <c r="N70" t="n">
        <v>0</v>
      </c>
      <c r="O70" t="n">
        <v>0</v>
      </c>
      <c r="P70" t="n">
        <v>0</v>
      </c>
      <c r="Q70" t="n">
        <v>1</v>
      </c>
      <c r="R70" s="2" t="inlineStr">
        <is>
          <t>Fläcknycklar</t>
        </is>
      </c>
      <c r="S70">
        <f>HYPERLINK("https://klasma.github.io/Logging_2023/artfynd/A 26557-2020 artfynd.xlsx", "A 26557-2020")</f>
        <v/>
      </c>
      <c r="T70">
        <f>HYPERLINK("https://klasma.github.io/Logging_2023/kartor/A 26557-2020 karta.png", "A 26557-2020")</f>
        <v/>
      </c>
      <c r="V70">
        <f>HYPERLINK("https://klasma.github.io/Logging_2023/klagomål/A 26557-2020 FSC-klagomål.docx", "A 26557-2020")</f>
        <v/>
      </c>
      <c r="W70">
        <f>HYPERLINK("https://klasma.github.io/Logging_2023/klagomålsmail/A 26557-2020 FSC-klagomål mail.docx", "A 26557-2020")</f>
        <v/>
      </c>
      <c r="X70">
        <f>HYPERLINK("https://klasma.github.io/Logging_2023/tillsyn/A 26557-2020 tillsynsbegäran.docx", "A 26557-2020")</f>
        <v/>
      </c>
      <c r="Y70">
        <f>HYPERLINK("https://klasma.github.io/Logging_2023/tillsynsmail/A 26557-2020 tillsynsbegäran mail.docx", "A 26557-2020")</f>
        <v/>
      </c>
    </row>
    <row r="71" ht="15" customHeight="1">
      <c r="A71" t="inlineStr">
        <is>
          <t>A 20921-2021</t>
        </is>
      </c>
      <c r="B71" s="1" t="n">
        <v>44319</v>
      </c>
      <c r="C71" s="1" t="n">
        <v>45852</v>
      </c>
      <c r="D71" t="inlineStr">
        <is>
          <t>DALARNAS LÄN</t>
        </is>
      </c>
      <c r="E71" t="inlineStr">
        <is>
          <t>MALUNG-SÄLEN</t>
        </is>
      </c>
      <c r="G71" t="n">
        <v>1.8</v>
      </c>
      <c r="H71" t="n">
        <v>0</v>
      </c>
      <c r="I71" t="n">
        <v>0</v>
      </c>
      <c r="J71" t="n">
        <v>1</v>
      </c>
      <c r="K71" t="n">
        <v>0</v>
      </c>
      <c r="L71" t="n">
        <v>0</v>
      </c>
      <c r="M71" t="n">
        <v>0</v>
      </c>
      <c r="N71" t="n">
        <v>0</v>
      </c>
      <c r="O71" t="n">
        <v>1</v>
      </c>
      <c r="P71" t="n">
        <v>0</v>
      </c>
      <c r="Q71" t="n">
        <v>1</v>
      </c>
      <c r="R71" s="2" t="inlineStr">
        <is>
          <t>Garnlav</t>
        </is>
      </c>
      <c r="S71">
        <f>HYPERLINK("https://klasma.github.io/Logging_2023/artfynd/A 20921-2021 artfynd.xlsx", "A 20921-2021")</f>
        <v/>
      </c>
      <c r="T71">
        <f>HYPERLINK("https://klasma.github.io/Logging_2023/kartor/A 20921-2021 karta.png", "A 20921-2021")</f>
        <v/>
      </c>
      <c r="V71">
        <f>HYPERLINK("https://klasma.github.io/Logging_2023/klagomål/A 20921-2021 FSC-klagomål.docx", "A 20921-2021")</f>
        <v/>
      </c>
      <c r="W71">
        <f>HYPERLINK("https://klasma.github.io/Logging_2023/klagomålsmail/A 20921-2021 FSC-klagomål mail.docx", "A 20921-2021")</f>
        <v/>
      </c>
      <c r="X71">
        <f>HYPERLINK("https://klasma.github.io/Logging_2023/tillsyn/A 20921-2021 tillsynsbegäran.docx", "A 20921-2021")</f>
        <v/>
      </c>
      <c r="Y71">
        <f>HYPERLINK("https://klasma.github.io/Logging_2023/tillsynsmail/A 20921-2021 tillsynsbegäran mail.docx", "A 20921-2021")</f>
        <v/>
      </c>
    </row>
    <row r="72" ht="15" customHeight="1">
      <c r="A72" t="inlineStr">
        <is>
          <t>A 42981-2021</t>
        </is>
      </c>
      <c r="B72" s="1" t="n">
        <v>44427</v>
      </c>
      <c r="C72" s="1" t="n">
        <v>45852</v>
      </c>
      <c r="D72" t="inlineStr">
        <is>
          <t>DALARNAS LÄN</t>
        </is>
      </c>
      <c r="E72" t="inlineStr">
        <is>
          <t>MALUNG-SÄLEN</t>
        </is>
      </c>
      <c r="G72" t="n">
        <v>3.4</v>
      </c>
      <c r="H72" t="n">
        <v>0</v>
      </c>
      <c r="I72" t="n">
        <v>0</v>
      </c>
      <c r="J72" t="n">
        <v>1</v>
      </c>
      <c r="K72" t="n">
        <v>0</v>
      </c>
      <c r="L72" t="n">
        <v>0</v>
      </c>
      <c r="M72" t="n">
        <v>0</v>
      </c>
      <c r="N72" t="n">
        <v>0</v>
      </c>
      <c r="O72" t="n">
        <v>1</v>
      </c>
      <c r="P72" t="n">
        <v>0</v>
      </c>
      <c r="Q72" t="n">
        <v>1</v>
      </c>
      <c r="R72" s="2" t="inlineStr">
        <is>
          <t>Lunglav</t>
        </is>
      </c>
      <c r="S72">
        <f>HYPERLINK("https://klasma.github.io/Logging_2023/artfynd/A 42981-2021 artfynd.xlsx", "A 42981-2021")</f>
        <v/>
      </c>
      <c r="T72">
        <f>HYPERLINK("https://klasma.github.io/Logging_2023/kartor/A 42981-2021 karta.png", "A 42981-2021")</f>
        <v/>
      </c>
      <c r="V72">
        <f>HYPERLINK("https://klasma.github.io/Logging_2023/klagomål/A 42981-2021 FSC-klagomål.docx", "A 42981-2021")</f>
        <v/>
      </c>
      <c r="W72">
        <f>HYPERLINK("https://klasma.github.io/Logging_2023/klagomålsmail/A 42981-2021 FSC-klagomål mail.docx", "A 42981-2021")</f>
        <v/>
      </c>
      <c r="X72">
        <f>HYPERLINK("https://klasma.github.io/Logging_2023/tillsyn/A 42981-2021 tillsynsbegäran.docx", "A 42981-2021")</f>
        <v/>
      </c>
      <c r="Y72">
        <f>HYPERLINK("https://klasma.github.io/Logging_2023/tillsynsmail/A 42981-2021 tillsynsbegäran mail.docx", "A 42981-2021")</f>
        <v/>
      </c>
    </row>
    <row r="73" ht="15" customHeight="1">
      <c r="A73" t="inlineStr">
        <is>
          <t>A 52669-2021</t>
        </is>
      </c>
      <c r="B73" s="1" t="n">
        <v>44464</v>
      </c>
      <c r="C73" s="1" t="n">
        <v>45852</v>
      </c>
      <c r="D73" t="inlineStr">
        <is>
          <t>DALARNAS LÄN</t>
        </is>
      </c>
      <c r="E73" t="inlineStr">
        <is>
          <t>MALUNG-SÄLEN</t>
        </is>
      </c>
      <c r="G73" t="n">
        <v>0.2</v>
      </c>
      <c r="H73" t="n">
        <v>0</v>
      </c>
      <c r="I73" t="n">
        <v>0</v>
      </c>
      <c r="J73" t="n">
        <v>1</v>
      </c>
      <c r="K73" t="n">
        <v>0</v>
      </c>
      <c r="L73" t="n">
        <v>0</v>
      </c>
      <c r="M73" t="n">
        <v>0</v>
      </c>
      <c r="N73" t="n">
        <v>0</v>
      </c>
      <c r="O73" t="n">
        <v>1</v>
      </c>
      <c r="P73" t="n">
        <v>0</v>
      </c>
      <c r="Q73" t="n">
        <v>1</v>
      </c>
      <c r="R73" s="2" t="inlineStr">
        <is>
          <t>Garnlav</t>
        </is>
      </c>
      <c r="S73">
        <f>HYPERLINK("https://klasma.github.io/Logging_2023/artfynd/A 52669-2021 artfynd.xlsx", "A 52669-2021")</f>
        <v/>
      </c>
      <c r="T73">
        <f>HYPERLINK("https://klasma.github.io/Logging_2023/kartor/A 52669-2021 karta.png", "A 52669-2021")</f>
        <v/>
      </c>
      <c r="V73">
        <f>HYPERLINK("https://klasma.github.io/Logging_2023/klagomål/A 52669-2021 FSC-klagomål.docx", "A 52669-2021")</f>
        <v/>
      </c>
      <c r="W73">
        <f>HYPERLINK("https://klasma.github.io/Logging_2023/klagomålsmail/A 52669-2021 FSC-klagomål mail.docx", "A 52669-2021")</f>
        <v/>
      </c>
      <c r="X73">
        <f>HYPERLINK("https://klasma.github.io/Logging_2023/tillsyn/A 52669-2021 tillsynsbegäran.docx", "A 52669-2021")</f>
        <v/>
      </c>
      <c r="Y73">
        <f>HYPERLINK("https://klasma.github.io/Logging_2023/tillsynsmail/A 52669-2021 tillsynsbegäran mail.docx", "A 52669-2021")</f>
        <v/>
      </c>
    </row>
    <row r="74" ht="15" customHeight="1">
      <c r="A74" t="inlineStr">
        <is>
          <t>A 11560-2022</t>
        </is>
      </c>
      <c r="B74" s="1" t="n">
        <v>44631</v>
      </c>
      <c r="C74" s="1" t="n">
        <v>45852</v>
      </c>
      <c r="D74" t="inlineStr">
        <is>
          <t>DALARNAS LÄN</t>
        </is>
      </c>
      <c r="E74" t="inlineStr">
        <is>
          <t>MALUNG-SÄLEN</t>
        </is>
      </c>
      <c r="G74" t="n">
        <v>7.4</v>
      </c>
      <c r="H74" t="n">
        <v>0</v>
      </c>
      <c r="I74" t="n">
        <v>0</v>
      </c>
      <c r="J74" t="n">
        <v>1</v>
      </c>
      <c r="K74" t="n">
        <v>0</v>
      </c>
      <c r="L74" t="n">
        <v>0</v>
      </c>
      <c r="M74" t="n">
        <v>0</v>
      </c>
      <c r="N74" t="n">
        <v>0</v>
      </c>
      <c r="O74" t="n">
        <v>1</v>
      </c>
      <c r="P74" t="n">
        <v>0</v>
      </c>
      <c r="Q74" t="n">
        <v>1</v>
      </c>
      <c r="R74" s="2" t="inlineStr">
        <is>
          <t>Blå taggsvamp</t>
        </is>
      </c>
      <c r="S74">
        <f>HYPERLINK("https://klasma.github.io/Logging_2023/artfynd/A 11560-2022 artfynd.xlsx", "A 11560-2022")</f>
        <v/>
      </c>
      <c r="T74">
        <f>HYPERLINK("https://klasma.github.io/Logging_2023/kartor/A 11560-2022 karta.png", "A 11560-2022")</f>
        <v/>
      </c>
      <c r="V74">
        <f>HYPERLINK("https://klasma.github.io/Logging_2023/klagomål/A 11560-2022 FSC-klagomål.docx", "A 11560-2022")</f>
        <v/>
      </c>
      <c r="W74">
        <f>HYPERLINK("https://klasma.github.io/Logging_2023/klagomålsmail/A 11560-2022 FSC-klagomål mail.docx", "A 11560-2022")</f>
        <v/>
      </c>
      <c r="X74">
        <f>HYPERLINK("https://klasma.github.io/Logging_2023/tillsyn/A 11560-2022 tillsynsbegäran.docx", "A 11560-2022")</f>
        <v/>
      </c>
      <c r="Y74">
        <f>HYPERLINK("https://klasma.github.io/Logging_2023/tillsynsmail/A 11560-2022 tillsynsbegäran mail.docx", "A 11560-2022")</f>
        <v/>
      </c>
    </row>
    <row r="75" ht="15" customHeight="1">
      <c r="A75" t="inlineStr">
        <is>
          <t>A 23476-2022</t>
        </is>
      </c>
      <c r="B75" s="1" t="n">
        <v>44721</v>
      </c>
      <c r="C75" s="1" t="n">
        <v>45852</v>
      </c>
      <c r="D75" t="inlineStr">
        <is>
          <t>DALARNAS LÄN</t>
        </is>
      </c>
      <c r="E75" t="inlineStr">
        <is>
          <t>MALUNG-SÄLEN</t>
        </is>
      </c>
      <c r="F75" t="inlineStr">
        <is>
          <t>Övriga statliga verk och myndigheter</t>
        </is>
      </c>
      <c r="G75" t="n">
        <v>1.2</v>
      </c>
      <c r="H75" t="n">
        <v>0</v>
      </c>
      <c r="I75" t="n">
        <v>1</v>
      </c>
      <c r="J75" t="n">
        <v>0</v>
      </c>
      <c r="K75" t="n">
        <v>0</v>
      </c>
      <c r="L75" t="n">
        <v>0</v>
      </c>
      <c r="M75" t="n">
        <v>0</v>
      </c>
      <c r="N75" t="n">
        <v>0</v>
      </c>
      <c r="O75" t="n">
        <v>0</v>
      </c>
      <c r="P75" t="n">
        <v>0</v>
      </c>
      <c r="Q75" t="n">
        <v>1</v>
      </c>
      <c r="R75" s="2" t="inlineStr">
        <is>
          <t>Sotlav</t>
        </is>
      </c>
      <c r="S75">
        <f>HYPERLINK("https://klasma.github.io/Logging_2023/artfynd/A 23476-2022 artfynd.xlsx", "A 23476-2022")</f>
        <v/>
      </c>
      <c r="T75">
        <f>HYPERLINK("https://klasma.github.io/Logging_2023/kartor/A 23476-2022 karta.png", "A 23476-2022")</f>
        <v/>
      </c>
      <c r="V75">
        <f>HYPERLINK("https://klasma.github.io/Logging_2023/klagomål/A 23476-2022 FSC-klagomål.docx", "A 23476-2022")</f>
        <v/>
      </c>
      <c r="W75">
        <f>HYPERLINK("https://klasma.github.io/Logging_2023/klagomålsmail/A 23476-2022 FSC-klagomål mail.docx", "A 23476-2022")</f>
        <v/>
      </c>
      <c r="X75">
        <f>HYPERLINK("https://klasma.github.io/Logging_2023/tillsyn/A 23476-2022 tillsynsbegäran.docx", "A 23476-2022")</f>
        <v/>
      </c>
      <c r="Y75">
        <f>HYPERLINK("https://klasma.github.io/Logging_2023/tillsynsmail/A 23476-2022 tillsynsbegäran mail.docx", "A 23476-2022")</f>
        <v/>
      </c>
    </row>
    <row r="76" ht="15" customHeight="1">
      <c r="A76" t="inlineStr">
        <is>
          <t>A 33859-2022</t>
        </is>
      </c>
      <c r="B76" s="1" t="n">
        <v>44790</v>
      </c>
      <c r="C76" s="1" t="n">
        <v>45852</v>
      </c>
      <c r="D76" t="inlineStr">
        <is>
          <t>DALARNAS LÄN</t>
        </is>
      </c>
      <c r="E76" t="inlineStr">
        <is>
          <t>MALUNG-SÄLEN</t>
        </is>
      </c>
      <c r="G76" t="n">
        <v>18.8</v>
      </c>
      <c r="H76" t="n">
        <v>1</v>
      </c>
      <c r="I76" t="n">
        <v>0</v>
      </c>
      <c r="J76" t="n">
        <v>1</v>
      </c>
      <c r="K76" t="n">
        <v>0</v>
      </c>
      <c r="L76" t="n">
        <v>0</v>
      </c>
      <c r="M76" t="n">
        <v>0</v>
      </c>
      <c r="N76" t="n">
        <v>0</v>
      </c>
      <c r="O76" t="n">
        <v>1</v>
      </c>
      <c r="P76" t="n">
        <v>0</v>
      </c>
      <c r="Q76" t="n">
        <v>1</v>
      </c>
      <c r="R76" s="2" t="inlineStr">
        <is>
          <t>Nordfladdermus</t>
        </is>
      </c>
      <c r="S76">
        <f>HYPERLINK("https://klasma.github.io/Logging_2023/artfynd/A 33859-2022 artfynd.xlsx", "A 33859-2022")</f>
        <v/>
      </c>
      <c r="T76">
        <f>HYPERLINK("https://klasma.github.io/Logging_2023/kartor/A 33859-2022 karta.png", "A 33859-2022")</f>
        <v/>
      </c>
      <c r="V76">
        <f>HYPERLINK("https://klasma.github.io/Logging_2023/klagomål/A 33859-2022 FSC-klagomål.docx", "A 33859-2022")</f>
        <v/>
      </c>
      <c r="W76">
        <f>HYPERLINK("https://klasma.github.io/Logging_2023/klagomålsmail/A 33859-2022 FSC-klagomål mail.docx", "A 33859-2022")</f>
        <v/>
      </c>
      <c r="X76">
        <f>HYPERLINK("https://klasma.github.io/Logging_2023/tillsyn/A 33859-2022 tillsynsbegäran.docx", "A 33859-2022")</f>
        <v/>
      </c>
      <c r="Y76">
        <f>HYPERLINK("https://klasma.github.io/Logging_2023/tillsynsmail/A 33859-2022 tillsynsbegäran mail.docx", "A 33859-2022")</f>
        <v/>
      </c>
    </row>
    <row r="77" ht="15" customHeight="1">
      <c r="A77" t="inlineStr">
        <is>
          <t>A 48842-2022</t>
        </is>
      </c>
      <c r="B77" s="1" t="n">
        <v>44859</v>
      </c>
      <c r="C77" s="1" t="n">
        <v>45852</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Gränsticka</t>
        </is>
      </c>
      <c r="S77">
        <f>HYPERLINK("https://klasma.github.io/Logging_2023/artfynd/A 48842-2022 artfynd.xlsx", "A 48842-2022")</f>
        <v/>
      </c>
      <c r="T77">
        <f>HYPERLINK("https://klasma.github.io/Logging_2023/kartor/A 48842-2022 karta.png", "A 48842-2022")</f>
        <v/>
      </c>
      <c r="V77">
        <f>HYPERLINK("https://klasma.github.io/Logging_2023/klagomål/A 48842-2022 FSC-klagomål.docx", "A 48842-2022")</f>
        <v/>
      </c>
      <c r="W77">
        <f>HYPERLINK("https://klasma.github.io/Logging_2023/klagomålsmail/A 48842-2022 FSC-klagomål mail.docx", "A 48842-2022")</f>
        <v/>
      </c>
      <c r="X77">
        <f>HYPERLINK("https://klasma.github.io/Logging_2023/tillsyn/A 48842-2022 tillsynsbegäran.docx", "A 48842-2022")</f>
        <v/>
      </c>
      <c r="Y77">
        <f>HYPERLINK("https://klasma.github.io/Logging_2023/tillsynsmail/A 48842-2022 tillsynsbegäran mail.docx", "A 48842-2022")</f>
        <v/>
      </c>
    </row>
    <row r="78" ht="15" customHeight="1">
      <c r="A78" t="inlineStr">
        <is>
          <t>A 32068-2023</t>
        </is>
      </c>
      <c r="B78" s="1" t="n">
        <v>45119</v>
      </c>
      <c r="C78" s="1" t="n">
        <v>45852</v>
      </c>
      <c r="D78" t="inlineStr">
        <is>
          <t>DALARNAS LÄN</t>
        </is>
      </c>
      <c r="E78" t="inlineStr">
        <is>
          <t>MALUNG-SÄLEN</t>
        </is>
      </c>
      <c r="F78" t="inlineStr">
        <is>
          <t>Bergvik skog öst AB</t>
        </is>
      </c>
      <c r="G78" t="n">
        <v>1.6</v>
      </c>
      <c r="H78" t="n">
        <v>1</v>
      </c>
      <c r="I78" t="n">
        <v>0</v>
      </c>
      <c r="J78" t="n">
        <v>1</v>
      </c>
      <c r="K78" t="n">
        <v>0</v>
      </c>
      <c r="L78" t="n">
        <v>0</v>
      </c>
      <c r="M78" t="n">
        <v>0</v>
      </c>
      <c r="N78" t="n">
        <v>0</v>
      </c>
      <c r="O78" t="n">
        <v>1</v>
      </c>
      <c r="P78" t="n">
        <v>0</v>
      </c>
      <c r="Q78" t="n">
        <v>1</v>
      </c>
      <c r="R78" s="2" t="inlineStr">
        <is>
          <t>Kungsörn</t>
        </is>
      </c>
      <c r="S78">
        <f>HYPERLINK("https://klasma.github.io/Logging_2023/artfynd/A 32068-2023 artfynd.xlsx", "A 32068-2023")</f>
        <v/>
      </c>
      <c r="T78">
        <f>HYPERLINK("https://klasma.github.io/Logging_2023/kartor/A 32068-2023 karta.png", "A 32068-2023")</f>
        <v/>
      </c>
      <c r="V78">
        <f>HYPERLINK("https://klasma.github.io/Logging_2023/klagomål/A 32068-2023 FSC-klagomål.docx", "A 32068-2023")</f>
        <v/>
      </c>
      <c r="W78">
        <f>HYPERLINK("https://klasma.github.io/Logging_2023/klagomålsmail/A 32068-2023 FSC-klagomål mail.docx", "A 32068-2023")</f>
        <v/>
      </c>
      <c r="X78">
        <f>HYPERLINK("https://klasma.github.io/Logging_2023/tillsyn/A 32068-2023 tillsynsbegäran.docx", "A 32068-2023")</f>
        <v/>
      </c>
      <c r="Y78">
        <f>HYPERLINK("https://klasma.github.io/Logging_2023/tillsynsmail/A 32068-2023 tillsynsbegäran mail.docx", "A 32068-2023")</f>
        <v/>
      </c>
      <c r="Z78">
        <f>HYPERLINK("https://klasma.github.io/Logging_2023/fåglar/A 32068-2023 prioriterade fågelarter.docx", "A 32068-2023")</f>
        <v/>
      </c>
    </row>
    <row r="79" ht="15" customHeight="1">
      <c r="A79" t="inlineStr">
        <is>
          <t>A 57333-2023</t>
        </is>
      </c>
      <c r="B79" s="1" t="n">
        <v>45245</v>
      </c>
      <c r="C79" s="1" t="n">
        <v>45852</v>
      </c>
      <c r="D79" t="inlineStr">
        <is>
          <t>DALARNAS LÄN</t>
        </is>
      </c>
      <c r="E79" t="inlineStr">
        <is>
          <t>MALUNG-SÄLEN</t>
        </is>
      </c>
      <c r="G79" t="n">
        <v>6.7</v>
      </c>
      <c r="H79" t="n">
        <v>0</v>
      </c>
      <c r="I79" t="n">
        <v>0</v>
      </c>
      <c r="J79" t="n">
        <v>0</v>
      </c>
      <c r="K79" t="n">
        <v>1</v>
      </c>
      <c r="L79" t="n">
        <v>0</v>
      </c>
      <c r="M79" t="n">
        <v>0</v>
      </c>
      <c r="N79" t="n">
        <v>0</v>
      </c>
      <c r="O79" t="n">
        <v>1</v>
      </c>
      <c r="P79" t="n">
        <v>1</v>
      </c>
      <c r="Q79" t="n">
        <v>1</v>
      </c>
      <c r="R79" s="2" t="inlineStr">
        <is>
          <t>Gräddporing</t>
        </is>
      </c>
      <c r="S79">
        <f>HYPERLINK("https://klasma.github.io/Logging_2023/artfynd/A 57333-2023 artfynd.xlsx", "A 57333-2023")</f>
        <v/>
      </c>
      <c r="T79">
        <f>HYPERLINK("https://klasma.github.io/Logging_2023/kartor/A 57333-2023 karta.png", "A 57333-2023")</f>
        <v/>
      </c>
      <c r="V79">
        <f>HYPERLINK("https://klasma.github.io/Logging_2023/klagomål/A 57333-2023 FSC-klagomål.docx", "A 57333-2023")</f>
        <v/>
      </c>
      <c r="W79">
        <f>HYPERLINK("https://klasma.github.io/Logging_2023/klagomålsmail/A 57333-2023 FSC-klagomål mail.docx", "A 57333-2023")</f>
        <v/>
      </c>
      <c r="X79">
        <f>HYPERLINK("https://klasma.github.io/Logging_2023/tillsyn/A 57333-2023 tillsynsbegäran.docx", "A 57333-2023")</f>
        <v/>
      </c>
      <c r="Y79">
        <f>HYPERLINK("https://klasma.github.io/Logging_2023/tillsynsmail/A 57333-2023 tillsynsbegäran mail.docx", "A 57333-2023")</f>
        <v/>
      </c>
    </row>
    <row r="80" ht="15" customHeight="1">
      <c r="A80" t="inlineStr">
        <is>
          <t>A 57702-2023</t>
        </is>
      </c>
      <c r="B80" s="1" t="n">
        <v>45246</v>
      </c>
      <c r="C80" s="1" t="n">
        <v>45852</v>
      </c>
      <c r="D80" t="inlineStr">
        <is>
          <t>DALARNAS LÄN</t>
        </is>
      </c>
      <c r="E80" t="inlineStr">
        <is>
          <t>MALUNG-SÄLEN</t>
        </is>
      </c>
      <c r="G80" t="n">
        <v>1.5</v>
      </c>
      <c r="H80" t="n">
        <v>0</v>
      </c>
      <c r="I80" t="n">
        <v>1</v>
      </c>
      <c r="J80" t="n">
        <v>0</v>
      </c>
      <c r="K80" t="n">
        <v>0</v>
      </c>
      <c r="L80" t="n">
        <v>0</v>
      </c>
      <c r="M80" t="n">
        <v>0</v>
      </c>
      <c r="N80" t="n">
        <v>0</v>
      </c>
      <c r="O80" t="n">
        <v>0</v>
      </c>
      <c r="P80" t="n">
        <v>0</v>
      </c>
      <c r="Q80" t="n">
        <v>1</v>
      </c>
      <c r="R80" s="2" t="inlineStr">
        <is>
          <t>Brun nållav</t>
        </is>
      </c>
      <c r="S80">
        <f>HYPERLINK("https://klasma.github.io/Logging_2023/artfynd/A 57702-2023 artfynd.xlsx", "A 57702-2023")</f>
        <v/>
      </c>
      <c r="T80">
        <f>HYPERLINK("https://klasma.github.io/Logging_2023/kartor/A 57702-2023 karta.png", "A 57702-2023")</f>
        <v/>
      </c>
      <c r="V80">
        <f>HYPERLINK("https://klasma.github.io/Logging_2023/klagomål/A 57702-2023 FSC-klagomål.docx", "A 57702-2023")</f>
        <v/>
      </c>
      <c r="W80">
        <f>HYPERLINK("https://klasma.github.io/Logging_2023/klagomålsmail/A 57702-2023 FSC-klagomål mail.docx", "A 57702-2023")</f>
        <v/>
      </c>
      <c r="X80">
        <f>HYPERLINK("https://klasma.github.io/Logging_2023/tillsyn/A 57702-2023 tillsynsbegäran.docx", "A 57702-2023")</f>
        <v/>
      </c>
      <c r="Y80">
        <f>HYPERLINK("https://klasma.github.io/Logging_2023/tillsynsmail/A 57702-2023 tillsynsbegäran mail.docx", "A 57702-2023")</f>
        <v/>
      </c>
    </row>
    <row r="81" ht="15" customHeight="1">
      <c r="A81" t="inlineStr">
        <is>
          <t>A 6807-2024</t>
        </is>
      </c>
      <c r="B81" s="1" t="n">
        <v>45342</v>
      </c>
      <c r="C81" s="1" t="n">
        <v>45852</v>
      </c>
      <c r="D81" t="inlineStr">
        <is>
          <t>DALARNAS LÄN</t>
        </is>
      </c>
      <c r="E81" t="inlineStr">
        <is>
          <t>MALUNG-SÄLEN</t>
        </is>
      </c>
      <c r="G81" t="n">
        <v>10.7</v>
      </c>
      <c r="H81" t="n">
        <v>0</v>
      </c>
      <c r="I81" t="n">
        <v>0</v>
      </c>
      <c r="J81" t="n">
        <v>1</v>
      </c>
      <c r="K81" t="n">
        <v>0</v>
      </c>
      <c r="L81" t="n">
        <v>0</v>
      </c>
      <c r="M81" t="n">
        <v>0</v>
      </c>
      <c r="N81" t="n">
        <v>0</v>
      </c>
      <c r="O81" t="n">
        <v>1</v>
      </c>
      <c r="P81" t="n">
        <v>0</v>
      </c>
      <c r="Q81" t="n">
        <v>1</v>
      </c>
      <c r="R81" s="2" t="inlineStr">
        <is>
          <t>Motaggsvamp</t>
        </is>
      </c>
      <c r="S81">
        <f>HYPERLINK("https://klasma.github.io/Logging_2023/artfynd/A 6807-2024 artfynd.xlsx", "A 6807-2024")</f>
        <v/>
      </c>
      <c r="T81">
        <f>HYPERLINK("https://klasma.github.io/Logging_2023/kartor/A 6807-2024 karta.png", "A 6807-2024")</f>
        <v/>
      </c>
      <c r="V81">
        <f>HYPERLINK("https://klasma.github.io/Logging_2023/klagomål/A 6807-2024 FSC-klagomål.docx", "A 6807-2024")</f>
        <v/>
      </c>
      <c r="W81">
        <f>HYPERLINK("https://klasma.github.io/Logging_2023/klagomålsmail/A 6807-2024 FSC-klagomål mail.docx", "A 6807-2024")</f>
        <v/>
      </c>
      <c r="X81">
        <f>HYPERLINK("https://klasma.github.io/Logging_2023/tillsyn/A 6807-2024 tillsynsbegäran.docx", "A 6807-2024")</f>
        <v/>
      </c>
      <c r="Y81">
        <f>HYPERLINK("https://klasma.github.io/Logging_2023/tillsynsmail/A 6807-2024 tillsynsbegäran mail.docx", "A 6807-2024")</f>
        <v/>
      </c>
    </row>
    <row r="82" ht="15" customHeight="1">
      <c r="A82" t="inlineStr">
        <is>
          <t>A 8326-2024</t>
        </is>
      </c>
      <c r="B82" s="1" t="n">
        <v>45352</v>
      </c>
      <c r="C82" s="1" t="n">
        <v>45852</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Doftskinn</t>
        </is>
      </c>
      <c r="S82">
        <f>HYPERLINK("https://klasma.github.io/Logging_2023/artfynd/A 8326-2024 artfynd.xlsx", "A 8326-2024")</f>
        <v/>
      </c>
      <c r="T82">
        <f>HYPERLINK("https://klasma.github.io/Logging_2023/kartor/A 8326-2024 karta.png", "A 8326-2024")</f>
        <v/>
      </c>
      <c r="V82">
        <f>HYPERLINK("https://klasma.github.io/Logging_2023/klagomål/A 8326-2024 FSC-klagomål.docx", "A 8326-2024")</f>
        <v/>
      </c>
      <c r="W82">
        <f>HYPERLINK("https://klasma.github.io/Logging_2023/klagomålsmail/A 8326-2024 FSC-klagomål mail.docx", "A 8326-2024")</f>
        <v/>
      </c>
      <c r="X82">
        <f>HYPERLINK("https://klasma.github.io/Logging_2023/tillsyn/A 8326-2024 tillsynsbegäran.docx", "A 8326-2024")</f>
        <v/>
      </c>
      <c r="Y82">
        <f>HYPERLINK("https://klasma.github.io/Logging_2023/tillsynsmail/A 8326-2024 tillsynsbegäran mail.docx", "A 8326-2024")</f>
        <v/>
      </c>
    </row>
    <row r="83" ht="15" customHeight="1">
      <c r="A83" t="inlineStr">
        <is>
          <t>A 19374-2024</t>
        </is>
      </c>
      <c r="B83" s="1" t="n">
        <v>45429</v>
      </c>
      <c r="C83" s="1" t="n">
        <v>45852</v>
      </c>
      <c r="D83" t="inlineStr">
        <is>
          <t>DALARNAS LÄN</t>
        </is>
      </c>
      <c r="E83" t="inlineStr">
        <is>
          <t>MALUNG-SÄLEN</t>
        </is>
      </c>
      <c r="F83" t="inlineStr">
        <is>
          <t>Bergvik skog öst AB</t>
        </is>
      </c>
      <c r="G83" t="n">
        <v>1.1</v>
      </c>
      <c r="H83" t="n">
        <v>0</v>
      </c>
      <c r="I83" t="n">
        <v>1</v>
      </c>
      <c r="J83" t="n">
        <v>0</v>
      </c>
      <c r="K83" t="n">
        <v>0</v>
      </c>
      <c r="L83" t="n">
        <v>0</v>
      </c>
      <c r="M83" t="n">
        <v>0</v>
      </c>
      <c r="N83" t="n">
        <v>0</v>
      </c>
      <c r="O83" t="n">
        <v>0</v>
      </c>
      <c r="P83" t="n">
        <v>0</v>
      </c>
      <c r="Q83" t="n">
        <v>1</v>
      </c>
      <c r="R83" s="2" t="inlineStr">
        <is>
          <t>Skarp dropptaggsvamp</t>
        </is>
      </c>
      <c r="S83">
        <f>HYPERLINK("https://klasma.github.io/Logging_2023/artfynd/A 19374-2024 artfynd.xlsx", "A 19374-2024")</f>
        <v/>
      </c>
      <c r="T83">
        <f>HYPERLINK("https://klasma.github.io/Logging_2023/kartor/A 19374-2024 karta.png", "A 19374-2024")</f>
        <v/>
      </c>
      <c r="V83">
        <f>HYPERLINK("https://klasma.github.io/Logging_2023/klagomål/A 19374-2024 FSC-klagomål.docx", "A 19374-2024")</f>
        <v/>
      </c>
      <c r="W83">
        <f>HYPERLINK("https://klasma.github.io/Logging_2023/klagomålsmail/A 19374-2024 FSC-klagomål mail.docx", "A 19374-2024")</f>
        <v/>
      </c>
      <c r="X83">
        <f>HYPERLINK("https://klasma.github.io/Logging_2023/tillsyn/A 19374-2024 tillsynsbegäran.docx", "A 19374-2024")</f>
        <v/>
      </c>
      <c r="Y83">
        <f>HYPERLINK("https://klasma.github.io/Logging_2023/tillsynsmail/A 19374-2024 tillsynsbegäran mail.docx", "A 19374-2024")</f>
        <v/>
      </c>
    </row>
    <row r="84" ht="15" customHeight="1">
      <c r="A84" t="inlineStr">
        <is>
          <t>A 22186-2024</t>
        </is>
      </c>
      <c r="B84" s="1" t="n">
        <v>45446</v>
      </c>
      <c r="C84" s="1" t="n">
        <v>45852</v>
      </c>
      <c r="D84" t="inlineStr">
        <is>
          <t>DALARNAS LÄN</t>
        </is>
      </c>
      <c r="E84" t="inlineStr">
        <is>
          <t>MALUNG-SÄLEN</t>
        </is>
      </c>
      <c r="F84" t="inlineStr">
        <is>
          <t>Allmännings- och besparingsskogar</t>
        </is>
      </c>
      <c r="G84" t="n">
        <v>36</v>
      </c>
      <c r="H84" t="n">
        <v>1</v>
      </c>
      <c r="I84" t="n">
        <v>0</v>
      </c>
      <c r="J84" t="n">
        <v>1</v>
      </c>
      <c r="K84" t="n">
        <v>0</v>
      </c>
      <c r="L84" t="n">
        <v>0</v>
      </c>
      <c r="M84" t="n">
        <v>0</v>
      </c>
      <c r="N84" t="n">
        <v>0</v>
      </c>
      <c r="O84" t="n">
        <v>1</v>
      </c>
      <c r="P84" t="n">
        <v>0</v>
      </c>
      <c r="Q84" t="n">
        <v>1</v>
      </c>
      <c r="R84" s="2" t="inlineStr">
        <is>
          <t>Varglav</t>
        </is>
      </c>
      <c r="S84">
        <f>HYPERLINK("https://klasma.github.io/Logging_2023/artfynd/A 22186-2024 artfynd.xlsx", "A 22186-2024")</f>
        <v/>
      </c>
      <c r="T84">
        <f>HYPERLINK("https://klasma.github.io/Logging_2023/kartor/A 22186-2024 karta.png", "A 22186-2024")</f>
        <v/>
      </c>
      <c r="V84">
        <f>HYPERLINK("https://klasma.github.io/Logging_2023/klagomål/A 22186-2024 FSC-klagomål.docx", "A 22186-2024")</f>
        <v/>
      </c>
      <c r="W84">
        <f>HYPERLINK("https://klasma.github.io/Logging_2023/klagomålsmail/A 22186-2024 FSC-klagomål mail.docx", "A 22186-2024")</f>
        <v/>
      </c>
      <c r="X84">
        <f>HYPERLINK("https://klasma.github.io/Logging_2023/tillsyn/A 22186-2024 tillsynsbegäran.docx", "A 22186-2024")</f>
        <v/>
      </c>
      <c r="Y84">
        <f>HYPERLINK("https://klasma.github.io/Logging_2023/tillsynsmail/A 22186-2024 tillsynsbegäran mail.docx", "A 22186-2024")</f>
        <v/>
      </c>
    </row>
    <row r="85" ht="15" customHeight="1">
      <c r="A85" t="inlineStr">
        <is>
          <t>A 24907-2024</t>
        </is>
      </c>
      <c r="B85" s="1" t="n">
        <v>45461</v>
      </c>
      <c r="C85" s="1" t="n">
        <v>45852</v>
      </c>
      <c r="D85" t="inlineStr">
        <is>
          <t>DALARNAS LÄN</t>
        </is>
      </c>
      <c r="E85" t="inlineStr">
        <is>
          <t>MALUNG-SÄLEN</t>
        </is>
      </c>
      <c r="F85" t="inlineStr">
        <is>
          <t>Allmännings- och besparingsskogar</t>
        </is>
      </c>
      <c r="G85" t="n">
        <v>1.4</v>
      </c>
      <c r="H85" t="n">
        <v>1</v>
      </c>
      <c r="I85" t="n">
        <v>0</v>
      </c>
      <c r="J85" t="n">
        <v>1</v>
      </c>
      <c r="K85" t="n">
        <v>0</v>
      </c>
      <c r="L85" t="n">
        <v>0</v>
      </c>
      <c r="M85" t="n">
        <v>0</v>
      </c>
      <c r="N85" t="n">
        <v>0</v>
      </c>
      <c r="O85" t="n">
        <v>1</v>
      </c>
      <c r="P85" t="n">
        <v>0</v>
      </c>
      <c r="Q85" t="n">
        <v>1</v>
      </c>
      <c r="R85" s="2" t="inlineStr">
        <is>
          <t>Tretåig hackspett</t>
        </is>
      </c>
      <c r="S85">
        <f>HYPERLINK("https://klasma.github.io/Logging_2023/artfynd/A 24907-2024 artfynd.xlsx", "A 24907-2024")</f>
        <v/>
      </c>
      <c r="T85">
        <f>HYPERLINK("https://klasma.github.io/Logging_2023/kartor/A 24907-2024 karta.png", "A 24907-2024")</f>
        <v/>
      </c>
      <c r="V85">
        <f>HYPERLINK("https://klasma.github.io/Logging_2023/klagomål/A 24907-2024 FSC-klagomål.docx", "A 24907-2024")</f>
        <v/>
      </c>
      <c r="W85">
        <f>HYPERLINK("https://klasma.github.io/Logging_2023/klagomålsmail/A 24907-2024 FSC-klagomål mail.docx", "A 24907-2024")</f>
        <v/>
      </c>
      <c r="X85">
        <f>HYPERLINK("https://klasma.github.io/Logging_2023/tillsyn/A 24907-2024 tillsynsbegäran.docx", "A 24907-2024")</f>
        <v/>
      </c>
      <c r="Y85">
        <f>HYPERLINK("https://klasma.github.io/Logging_2023/tillsynsmail/A 24907-2024 tillsynsbegäran mail.docx", "A 24907-2024")</f>
        <v/>
      </c>
      <c r="Z85">
        <f>HYPERLINK("https://klasma.github.io/Logging_2023/fåglar/A 24907-2024 prioriterade fågelarter.docx", "A 24907-2024")</f>
        <v/>
      </c>
    </row>
    <row r="86" ht="15" customHeight="1">
      <c r="A86" t="inlineStr">
        <is>
          <t>A 29045-2024</t>
        </is>
      </c>
      <c r="B86" s="1" t="n">
        <v>45481</v>
      </c>
      <c r="C86" s="1" t="n">
        <v>45852</v>
      </c>
      <c r="D86" t="inlineStr">
        <is>
          <t>DALARNAS LÄN</t>
        </is>
      </c>
      <c r="E86" t="inlineStr">
        <is>
          <t>MALUNG-SÄLEN</t>
        </is>
      </c>
      <c r="G86" t="n">
        <v>5.7</v>
      </c>
      <c r="H86" t="n">
        <v>1</v>
      </c>
      <c r="I86" t="n">
        <v>0</v>
      </c>
      <c r="J86" t="n">
        <v>0</v>
      </c>
      <c r="K86" t="n">
        <v>1</v>
      </c>
      <c r="L86" t="n">
        <v>0</v>
      </c>
      <c r="M86" t="n">
        <v>0</v>
      </c>
      <c r="N86" t="n">
        <v>0</v>
      </c>
      <c r="O86" t="n">
        <v>1</v>
      </c>
      <c r="P86" t="n">
        <v>1</v>
      </c>
      <c r="Q86" t="n">
        <v>1</v>
      </c>
      <c r="R86" s="2" t="inlineStr">
        <is>
          <t>Knärot</t>
        </is>
      </c>
      <c r="S86">
        <f>HYPERLINK("https://klasma.github.io/Logging_2023/artfynd/A 29045-2024 artfynd.xlsx", "A 29045-2024")</f>
        <v/>
      </c>
      <c r="T86">
        <f>HYPERLINK("https://klasma.github.io/Logging_2023/kartor/A 29045-2024 karta.png", "A 29045-2024")</f>
        <v/>
      </c>
      <c r="U86">
        <f>HYPERLINK("https://klasma.github.io/Logging_2023/knärot/A 29045-2024 karta knärot.png", "A 29045-2024")</f>
        <v/>
      </c>
      <c r="V86">
        <f>HYPERLINK("https://klasma.github.io/Logging_2023/klagomål/A 29045-2024 FSC-klagomål.docx", "A 29045-2024")</f>
        <v/>
      </c>
      <c r="W86">
        <f>HYPERLINK("https://klasma.github.io/Logging_2023/klagomålsmail/A 29045-2024 FSC-klagomål mail.docx", "A 29045-2024")</f>
        <v/>
      </c>
      <c r="X86">
        <f>HYPERLINK("https://klasma.github.io/Logging_2023/tillsyn/A 29045-2024 tillsynsbegäran.docx", "A 29045-2024")</f>
        <v/>
      </c>
      <c r="Y86">
        <f>HYPERLINK("https://klasma.github.io/Logging_2023/tillsynsmail/A 29045-2024 tillsynsbegäran mail.docx", "A 29045-2024")</f>
        <v/>
      </c>
    </row>
    <row r="87" ht="15" customHeight="1">
      <c r="A87" t="inlineStr">
        <is>
          <t>A 55914-2024</t>
        </is>
      </c>
      <c r="B87" s="1" t="n">
        <v>45623</v>
      </c>
      <c r="C87" s="1" t="n">
        <v>45852</v>
      </c>
      <c r="D87" t="inlineStr">
        <is>
          <t>DALARNAS LÄN</t>
        </is>
      </c>
      <c r="E87" t="inlineStr">
        <is>
          <t>MALUNG-SÄLEN</t>
        </is>
      </c>
      <c r="G87" t="n">
        <v>1.3</v>
      </c>
      <c r="H87" t="n">
        <v>0</v>
      </c>
      <c r="I87" t="n">
        <v>0</v>
      </c>
      <c r="J87" t="n">
        <v>1</v>
      </c>
      <c r="K87" t="n">
        <v>0</v>
      </c>
      <c r="L87" t="n">
        <v>0</v>
      </c>
      <c r="M87" t="n">
        <v>0</v>
      </c>
      <c r="N87" t="n">
        <v>0</v>
      </c>
      <c r="O87" t="n">
        <v>1</v>
      </c>
      <c r="P87" t="n">
        <v>0</v>
      </c>
      <c r="Q87" t="n">
        <v>1</v>
      </c>
      <c r="R87" s="2" t="inlineStr">
        <is>
          <t>Lunglav</t>
        </is>
      </c>
      <c r="S87">
        <f>HYPERLINK("https://klasma.github.io/Logging_2023/artfynd/A 55914-2024 artfynd.xlsx", "A 55914-2024")</f>
        <v/>
      </c>
      <c r="T87">
        <f>HYPERLINK("https://klasma.github.io/Logging_2023/kartor/A 55914-2024 karta.png", "A 55914-2024")</f>
        <v/>
      </c>
      <c r="V87">
        <f>HYPERLINK("https://klasma.github.io/Logging_2023/klagomål/A 55914-2024 FSC-klagomål.docx", "A 55914-2024")</f>
        <v/>
      </c>
      <c r="W87">
        <f>HYPERLINK("https://klasma.github.io/Logging_2023/klagomålsmail/A 55914-2024 FSC-klagomål mail.docx", "A 55914-2024")</f>
        <v/>
      </c>
      <c r="X87">
        <f>HYPERLINK("https://klasma.github.io/Logging_2023/tillsyn/A 55914-2024 tillsynsbegäran.docx", "A 55914-2024")</f>
        <v/>
      </c>
      <c r="Y87">
        <f>HYPERLINK("https://klasma.github.io/Logging_2023/tillsynsmail/A 55914-2024 tillsynsbegäran mail.docx", "A 55914-2024")</f>
        <v/>
      </c>
    </row>
    <row r="88" ht="15" customHeight="1">
      <c r="A88" t="inlineStr">
        <is>
          <t>A 2940-2025</t>
        </is>
      </c>
      <c r="B88" s="1" t="n">
        <v>45678</v>
      </c>
      <c r="C88" s="1" t="n">
        <v>45852</v>
      </c>
      <c r="D88" t="inlineStr">
        <is>
          <t>DALARNAS LÄN</t>
        </is>
      </c>
      <c r="E88" t="inlineStr">
        <is>
          <t>MALUNG-SÄLEN</t>
        </is>
      </c>
      <c r="G88" t="n">
        <v>3.8</v>
      </c>
      <c r="H88" t="n">
        <v>0</v>
      </c>
      <c r="I88" t="n">
        <v>0</v>
      </c>
      <c r="J88" t="n">
        <v>1</v>
      </c>
      <c r="K88" t="n">
        <v>0</v>
      </c>
      <c r="L88" t="n">
        <v>0</v>
      </c>
      <c r="M88" t="n">
        <v>0</v>
      </c>
      <c r="N88" t="n">
        <v>0</v>
      </c>
      <c r="O88" t="n">
        <v>1</v>
      </c>
      <c r="P88" t="n">
        <v>0</v>
      </c>
      <c r="Q88" t="n">
        <v>1</v>
      </c>
      <c r="R88" s="2" t="inlineStr">
        <is>
          <t>Garnlav</t>
        </is>
      </c>
      <c r="S88">
        <f>HYPERLINK("https://klasma.github.io/Logging_2023/artfynd/A 2940-2025 artfynd.xlsx", "A 2940-2025")</f>
        <v/>
      </c>
      <c r="T88">
        <f>HYPERLINK("https://klasma.github.io/Logging_2023/kartor/A 2940-2025 karta.png", "A 2940-2025")</f>
        <v/>
      </c>
      <c r="V88">
        <f>HYPERLINK("https://klasma.github.io/Logging_2023/klagomål/A 2940-2025 FSC-klagomål.docx", "A 2940-2025")</f>
        <v/>
      </c>
      <c r="W88">
        <f>HYPERLINK("https://klasma.github.io/Logging_2023/klagomålsmail/A 2940-2025 FSC-klagomål mail.docx", "A 2940-2025")</f>
        <v/>
      </c>
      <c r="X88">
        <f>HYPERLINK("https://klasma.github.io/Logging_2023/tillsyn/A 2940-2025 tillsynsbegäran.docx", "A 2940-2025")</f>
        <v/>
      </c>
      <c r="Y88">
        <f>HYPERLINK("https://klasma.github.io/Logging_2023/tillsynsmail/A 2940-2025 tillsynsbegäran mail.docx", "A 2940-2025")</f>
        <v/>
      </c>
    </row>
    <row r="89" ht="15" customHeight="1">
      <c r="A89" t="inlineStr">
        <is>
          <t>A 8696-2025</t>
        </is>
      </c>
      <c r="B89" s="1" t="n">
        <v>45712</v>
      </c>
      <c r="C89" s="1" t="n">
        <v>45852</v>
      </c>
      <c r="D89" t="inlineStr">
        <is>
          <t>DALARNAS LÄN</t>
        </is>
      </c>
      <c r="E89" t="inlineStr">
        <is>
          <t>MALUNG-SÄLEN</t>
        </is>
      </c>
      <c r="G89" t="n">
        <v>6.5</v>
      </c>
      <c r="H89" t="n">
        <v>0</v>
      </c>
      <c r="I89" t="n">
        <v>0</v>
      </c>
      <c r="J89" t="n">
        <v>1</v>
      </c>
      <c r="K89" t="n">
        <v>0</v>
      </c>
      <c r="L89" t="n">
        <v>0</v>
      </c>
      <c r="M89" t="n">
        <v>0</v>
      </c>
      <c r="N89" t="n">
        <v>0</v>
      </c>
      <c r="O89" t="n">
        <v>1</v>
      </c>
      <c r="P89" t="n">
        <v>0</v>
      </c>
      <c r="Q89" t="n">
        <v>1</v>
      </c>
      <c r="R89" s="2" t="inlineStr">
        <is>
          <t>Garnlav</t>
        </is>
      </c>
      <c r="S89">
        <f>HYPERLINK("https://klasma.github.io/Logging_2023/artfynd/A 8696-2025 artfynd.xlsx", "A 8696-2025")</f>
        <v/>
      </c>
      <c r="T89">
        <f>HYPERLINK("https://klasma.github.io/Logging_2023/kartor/A 8696-2025 karta.png", "A 8696-2025")</f>
        <v/>
      </c>
      <c r="V89">
        <f>HYPERLINK("https://klasma.github.io/Logging_2023/klagomål/A 8696-2025 FSC-klagomål.docx", "A 8696-2025")</f>
        <v/>
      </c>
      <c r="W89">
        <f>HYPERLINK("https://klasma.github.io/Logging_2023/klagomålsmail/A 8696-2025 FSC-klagomål mail.docx", "A 8696-2025")</f>
        <v/>
      </c>
      <c r="X89">
        <f>HYPERLINK("https://klasma.github.io/Logging_2023/tillsyn/A 8696-2025 tillsynsbegäran.docx", "A 8696-2025")</f>
        <v/>
      </c>
      <c r="Y89">
        <f>HYPERLINK("https://klasma.github.io/Logging_2023/tillsynsmail/A 8696-2025 tillsynsbegäran mail.docx", "A 8696-2025")</f>
        <v/>
      </c>
    </row>
    <row r="90" ht="15" customHeight="1">
      <c r="A90" t="inlineStr">
        <is>
          <t>A 24972-2025</t>
        </is>
      </c>
      <c r="B90" s="1" t="n">
        <v>45799</v>
      </c>
      <c r="C90" s="1" t="n">
        <v>45852</v>
      </c>
      <c r="D90" t="inlineStr">
        <is>
          <t>DALARNAS LÄN</t>
        </is>
      </c>
      <c r="E90" t="inlineStr">
        <is>
          <t>MALUNG-SÄLEN</t>
        </is>
      </c>
      <c r="G90" t="n">
        <v>1.8</v>
      </c>
      <c r="H90" t="n">
        <v>0</v>
      </c>
      <c r="I90" t="n">
        <v>0</v>
      </c>
      <c r="J90" t="n">
        <v>1</v>
      </c>
      <c r="K90" t="n">
        <v>0</v>
      </c>
      <c r="L90" t="n">
        <v>0</v>
      </c>
      <c r="M90" t="n">
        <v>0</v>
      </c>
      <c r="N90" t="n">
        <v>0</v>
      </c>
      <c r="O90" t="n">
        <v>1</v>
      </c>
      <c r="P90" t="n">
        <v>0</v>
      </c>
      <c r="Q90" t="n">
        <v>1</v>
      </c>
      <c r="R90" s="2" t="inlineStr">
        <is>
          <t>Garnlav</t>
        </is>
      </c>
      <c r="S90">
        <f>HYPERLINK("https://klasma.github.io/Logging_202023/artfynd/A 24972-2025 artfynd.xlsx", "A 24972-2025")</f>
        <v/>
      </c>
      <c r="T90">
        <f>HYPERLINK("https://klasma.github.io/Logging_202023/kartor/A 24972-2025 karta.png", "A 24972-2025")</f>
        <v/>
      </c>
      <c r="V90">
        <f>HYPERLINK("https://klasma.github.io/Logging_202023/klagomål/A 24972-2025 FSC-klagomål.docx", "A 24972-2025")</f>
        <v/>
      </c>
      <c r="W90">
        <f>HYPERLINK("https://klasma.github.io/Logging_202023/klagomålsmail/A 24972-2025 FSC-klagomål mail.docx", "A 24972-2025")</f>
        <v/>
      </c>
      <c r="X90">
        <f>HYPERLINK("https://klasma.github.io/Logging_202023/tillsyn/A 24972-2025 tillsynsbegäran.docx", "A 24972-2025")</f>
        <v/>
      </c>
      <c r="Y90">
        <f>HYPERLINK("https://klasma.github.io/Logging_202023/tillsynsmail/A 24972-2025 tillsynsbegäran mail.docx", "A 24972-2025")</f>
        <v/>
      </c>
    </row>
    <row r="91" ht="15" customHeight="1">
      <c r="A91" t="inlineStr">
        <is>
          <t>A 26240-2025</t>
        </is>
      </c>
      <c r="B91" s="1" t="n">
        <v>45805</v>
      </c>
      <c r="C91" s="1" t="n">
        <v>45852</v>
      </c>
      <c r="D91" t="inlineStr">
        <is>
          <t>DALARNAS LÄN</t>
        </is>
      </c>
      <c r="E91" t="inlineStr">
        <is>
          <t>MALUNG-SÄLEN</t>
        </is>
      </c>
      <c r="F91" t="inlineStr">
        <is>
          <t>Bergvik skog öst AB</t>
        </is>
      </c>
      <c r="G91" t="n">
        <v>1.3</v>
      </c>
      <c r="H91" t="n">
        <v>1</v>
      </c>
      <c r="I91" t="n">
        <v>0</v>
      </c>
      <c r="J91" t="n">
        <v>1</v>
      </c>
      <c r="K91" t="n">
        <v>0</v>
      </c>
      <c r="L91" t="n">
        <v>0</v>
      </c>
      <c r="M91" t="n">
        <v>0</v>
      </c>
      <c r="N91" t="n">
        <v>0</v>
      </c>
      <c r="O91" t="n">
        <v>1</v>
      </c>
      <c r="P91" t="n">
        <v>0</v>
      </c>
      <c r="Q91" t="n">
        <v>1</v>
      </c>
      <c r="R91" s="2" t="inlineStr">
        <is>
          <t>Utter</t>
        </is>
      </c>
      <c r="S91">
        <f>HYPERLINK("https://klasma.github.io/Logging_202023/artfynd/A 26240-2025 artfynd.xlsx", "A 26240-2025")</f>
        <v/>
      </c>
      <c r="T91">
        <f>HYPERLINK("https://klasma.github.io/Logging_202023/kartor/A 26240-2025 karta.png", "A 26240-2025")</f>
        <v/>
      </c>
      <c r="V91">
        <f>HYPERLINK("https://klasma.github.io/Logging_202023/klagomål/A 26240-2025 FSC-klagomål.docx", "A 26240-2025")</f>
        <v/>
      </c>
      <c r="W91">
        <f>HYPERLINK("https://klasma.github.io/Logging_202023/klagomålsmail/A 26240-2025 FSC-klagomål mail.docx", "A 26240-2025")</f>
        <v/>
      </c>
      <c r="X91">
        <f>HYPERLINK("https://klasma.github.io/Logging_202023/tillsyn/A 26240-2025 tillsynsbegäran.docx", "A 26240-2025")</f>
        <v/>
      </c>
      <c r="Y91">
        <f>HYPERLINK("https://klasma.github.io/Logging_202023/tillsynsmail/A 26240-2025 tillsynsbegäran mail.docx", "A 26240-2025")</f>
        <v/>
      </c>
    </row>
    <row r="92" ht="15" customHeight="1">
      <c r="A92" t="inlineStr">
        <is>
          <t>A 30728-2025</t>
        </is>
      </c>
      <c r="B92" s="1" t="n">
        <v>45831</v>
      </c>
      <c r="C92" s="1" t="n">
        <v>45852</v>
      </c>
      <c r="D92" t="inlineStr">
        <is>
          <t>DALARNAS LÄN</t>
        </is>
      </c>
      <c r="E92" t="inlineStr">
        <is>
          <t>MALUNG-SÄLEN</t>
        </is>
      </c>
      <c r="F92" t="inlineStr">
        <is>
          <t>Bergvik skog öst AB</t>
        </is>
      </c>
      <c r="G92" t="n">
        <v>3.8</v>
      </c>
      <c r="H92" t="n">
        <v>0</v>
      </c>
      <c r="I92" t="n">
        <v>0</v>
      </c>
      <c r="J92" t="n">
        <v>1</v>
      </c>
      <c r="K92" t="n">
        <v>0</v>
      </c>
      <c r="L92" t="n">
        <v>0</v>
      </c>
      <c r="M92" t="n">
        <v>0</v>
      </c>
      <c r="N92" t="n">
        <v>0</v>
      </c>
      <c r="O92" t="n">
        <v>1</v>
      </c>
      <c r="P92" t="n">
        <v>0</v>
      </c>
      <c r="Q92" t="n">
        <v>1</v>
      </c>
      <c r="R92" s="2" t="inlineStr">
        <is>
          <t>Violettgrå tagellav</t>
        </is>
      </c>
      <c r="S92">
        <f>HYPERLINK("https://klasma.github.io/Logging_202023/artfynd/A 30728-2025 artfynd.xlsx", "A 30728-2025")</f>
        <v/>
      </c>
      <c r="T92">
        <f>HYPERLINK("https://klasma.github.io/Logging_202023/kartor/A 30728-2025 karta.png", "A 30728-2025")</f>
        <v/>
      </c>
      <c r="V92">
        <f>HYPERLINK("https://klasma.github.io/Logging_202023/klagomål/A 30728-2025 FSC-klagomål.docx", "A 30728-2025")</f>
        <v/>
      </c>
      <c r="W92">
        <f>HYPERLINK("https://klasma.github.io/Logging_202023/klagomålsmail/A 30728-2025 FSC-klagomål mail.docx", "A 30728-2025")</f>
        <v/>
      </c>
      <c r="X92">
        <f>HYPERLINK("https://klasma.github.io/Logging_202023/tillsyn/A 30728-2025 tillsynsbegäran.docx", "A 30728-2025")</f>
        <v/>
      </c>
      <c r="Y92">
        <f>HYPERLINK("https://klasma.github.io/Logging_202023/tillsynsmail/A 30728-2025 tillsynsbegäran mail.docx", "A 30728-2025")</f>
        <v/>
      </c>
    </row>
    <row r="93" ht="15" customHeight="1">
      <c r="A93" t="inlineStr">
        <is>
          <t>A 18265-2019</t>
        </is>
      </c>
      <c r="B93" s="1" t="n">
        <v>43558</v>
      </c>
      <c r="C93" s="1" t="n">
        <v>45852</v>
      </c>
      <c r="D93" t="inlineStr">
        <is>
          <t>DALARNAS LÄN</t>
        </is>
      </c>
      <c r="E93" t="inlineStr">
        <is>
          <t>MALUNG-SÄLEN</t>
        </is>
      </c>
      <c r="G93" t="n">
        <v>7</v>
      </c>
      <c r="H93" t="n">
        <v>0</v>
      </c>
      <c r="I93" t="n">
        <v>0</v>
      </c>
      <c r="J93" t="n">
        <v>0</v>
      </c>
      <c r="K93" t="n">
        <v>0</v>
      </c>
      <c r="L93" t="n">
        <v>0</v>
      </c>
      <c r="M93" t="n">
        <v>0</v>
      </c>
      <c r="N93" t="n">
        <v>0</v>
      </c>
      <c r="O93" t="n">
        <v>0</v>
      </c>
      <c r="P93" t="n">
        <v>0</v>
      </c>
      <c r="Q93" t="n">
        <v>0</v>
      </c>
      <c r="R93" s="2" t="inlineStr"/>
    </row>
    <row r="94" ht="15" customHeight="1">
      <c r="A94" t="inlineStr">
        <is>
          <t>A 18844-2019</t>
        </is>
      </c>
      <c r="B94" s="1" t="n">
        <v>43563</v>
      </c>
      <c r="C94" s="1" t="n">
        <v>45852</v>
      </c>
      <c r="D94" t="inlineStr">
        <is>
          <t>DALARNAS LÄN</t>
        </is>
      </c>
      <c r="E94" t="inlineStr">
        <is>
          <t>MALUNG-SÄLEN</t>
        </is>
      </c>
      <c r="G94" t="n">
        <v>1.2</v>
      </c>
      <c r="H94" t="n">
        <v>0</v>
      </c>
      <c r="I94" t="n">
        <v>0</v>
      </c>
      <c r="J94" t="n">
        <v>0</v>
      </c>
      <c r="K94" t="n">
        <v>0</v>
      </c>
      <c r="L94" t="n">
        <v>0</v>
      </c>
      <c r="M94" t="n">
        <v>0</v>
      </c>
      <c r="N94" t="n">
        <v>0</v>
      </c>
      <c r="O94" t="n">
        <v>0</v>
      </c>
      <c r="P94" t="n">
        <v>0</v>
      </c>
      <c r="Q94" t="n">
        <v>0</v>
      </c>
      <c r="R94" s="2" t="inlineStr"/>
    </row>
    <row r="95" ht="15" customHeight="1">
      <c r="A95" t="inlineStr">
        <is>
          <t>A 19281-2019</t>
        </is>
      </c>
      <c r="B95" s="1" t="n">
        <v>43565</v>
      </c>
      <c r="C95" s="1" t="n">
        <v>45852</v>
      </c>
      <c r="D95" t="inlineStr">
        <is>
          <t>DALARNAS LÄN</t>
        </is>
      </c>
      <c r="E95" t="inlineStr">
        <is>
          <t>MALUNG-SÄLEN</t>
        </is>
      </c>
      <c r="G95" t="n">
        <v>6.5</v>
      </c>
      <c r="H95" t="n">
        <v>0</v>
      </c>
      <c r="I95" t="n">
        <v>0</v>
      </c>
      <c r="J95" t="n">
        <v>0</v>
      </c>
      <c r="K95" t="n">
        <v>0</v>
      </c>
      <c r="L95" t="n">
        <v>0</v>
      </c>
      <c r="M95" t="n">
        <v>0</v>
      </c>
      <c r="N95" t="n">
        <v>0</v>
      </c>
      <c r="O95" t="n">
        <v>0</v>
      </c>
      <c r="P95" t="n">
        <v>0</v>
      </c>
      <c r="Q95" t="n">
        <v>0</v>
      </c>
      <c r="R95" s="2" t="inlineStr"/>
    </row>
    <row r="96" ht="15" customHeight="1">
      <c r="A96" t="inlineStr">
        <is>
          <t>A 19282-2019</t>
        </is>
      </c>
      <c r="B96" s="1" t="n">
        <v>43565</v>
      </c>
      <c r="C96" s="1" t="n">
        <v>45852</v>
      </c>
      <c r="D96" t="inlineStr">
        <is>
          <t>DALARNAS LÄN</t>
        </is>
      </c>
      <c r="E96" t="inlineStr">
        <is>
          <t>MALUNG-SÄLEN</t>
        </is>
      </c>
      <c r="G96" t="n">
        <v>6.5</v>
      </c>
      <c r="H96" t="n">
        <v>0</v>
      </c>
      <c r="I96" t="n">
        <v>0</v>
      </c>
      <c r="J96" t="n">
        <v>0</v>
      </c>
      <c r="K96" t="n">
        <v>0</v>
      </c>
      <c r="L96" t="n">
        <v>0</v>
      </c>
      <c r="M96" t="n">
        <v>0</v>
      </c>
      <c r="N96" t="n">
        <v>0</v>
      </c>
      <c r="O96" t="n">
        <v>0</v>
      </c>
      <c r="P96" t="n">
        <v>0</v>
      </c>
      <c r="Q96" t="n">
        <v>0</v>
      </c>
      <c r="R96" s="2" t="inlineStr"/>
    </row>
    <row r="97" ht="15" customHeight="1">
      <c r="A97" t="inlineStr">
        <is>
          <t>A 22452-2019</t>
        </is>
      </c>
      <c r="B97" s="1" t="n">
        <v>43587</v>
      </c>
      <c r="C97" s="1" t="n">
        <v>45852</v>
      </c>
      <c r="D97" t="inlineStr">
        <is>
          <t>DALARNAS LÄN</t>
        </is>
      </c>
      <c r="E97" t="inlineStr">
        <is>
          <t>MALUNG-SÄLEN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22809-2019</t>
        </is>
      </c>
      <c r="B98" s="1" t="n">
        <v>43590</v>
      </c>
      <c r="C98" s="1" t="n">
        <v>45852</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23809-2019</t>
        </is>
      </c>
      <c r="B99" s="1" t="n">
        <v>43595</v>
      </c>
      <c r="C99" s="1" t="n">
        <v>45852</v>
      </c>
      <c r="D99" t="inlineStr">
        <is>
          <t>DALARNAS LÄN</t>
        </is>
      </c>
      <c r="E99" t="inlineStr">
        <is>
          <t>MALUNG-SÄLEN</t>
        </is>
      </c>
      <c r="G99" t="n">
        <v>9</v>
      </c>
      <c r="H99" t="n">
        <v>0</v>
      </c>
      <c r="I99" t="n">
        <v>0</v>
      </c>
      <c r="J99" t="n">
        <v>0</v>
      </c>
      <c r="K99" t="n">
        <v>0</v>
      </c>
      <c r="L99" t="n">
        <v>0</v>
      </c>
      <c r="M99" t="n">
        <v>0</v>
      </c>
      <c r="N99" t="n">
        <v>0</v>
      </c>
      <c r="O99" t="n">
        <v>0</v>
      </c>
      <c r="P99" t="n">
        <v>0</v>
      </c>
      <c r="Q99" t="n">
        <v>0</v>
      </c>
      <c r="R99" s="2" t="inlineStr"/>
    </row>
    <row r="100" ht="15" customHeight="1">
      <c r="A100" t="inlineStr">
        <is>
          <t>A 26136-2019</t>
        </is>
      </c>
      <c r="B100" s="1" t="n">
        <v>43609</v>
      </c>
      <c r="C100" s="1" t="n">
        <v>45852</v>
      </c>
      <c r="D100" t="inlineStr">
        <is>
          <t>DALARNAS LÄN</t>
        </is>
      </c>
      <c r="E100" t="inlineStr">
        <is>
          <t>MALUNG-SÄLEN</t>
        </is>
      </c>
      <c r="F100" t="inlineStr">
        <is>
          <t>Bergvik skog väst AB</t>
        </is>
      </c>
      <c r="G100" t="n">
        <v>5.7</v>
      </c>
      <c r="H100" t="n">
        <v>0</v>
      </c>
      <c r="I100" t="n">
        <v>0</v>
      </c>
      <c r="J100" t="n">
        <v>0</v>
      </c>
      <c r="K100" t="n">
        <v>0</v>
      </c>
      <c r="L100" t="n">
        <v>0</v>
      </c>
      <c r="M100" t="n">
        <v>0</v>
      </c>
      <c r="N100" t="n">
        <v>0</v>
      </c>
      <c r="O100" t="n">
        <v>0</v>
      </c>
      <c r="P100" t="n">
        <v>0</v>
      </c>
      <c r="Q100" t="n">
        <v>0</v>
      </c>
      <c r="R100" s="2" t="inlineStr"/>
    </row>
    <row r="101" ht="15" customHeight="1">
      <c r="A101" t="inlineStr">
        <is>
          <t>A 26258-2019</t>
        </is>
      </c>
      <c r="B101" s="1" t="n">
        <v>43610</v>
      </c>
      <c r="C101" s="1" t="n">
        <v>45852</v>
      </c>
      <c r="D101" t="inlineStr">
        <is>
          <t>DALARNAS LÄN</t>
        </is>
      </c>
      <c r="E101" t="inlineStr">
        <is>
          <t>MALUNG-SÄLEN</t>
        </is>
      </c>
      <c r="G101" t="n">
        <v>5.5</v>
      </c>
      <c r="H101" t="n">
        <v>0</v>
      </c>
      <c r="I101" t="n">
        <v>0</v>
      </c>
      <c r="J101" t="n">
        <v>0</v>
      </c>
      <c r="K101" t="n">
        <v>0</v>
      </c>
      <c r="L101" t="n">
        <v>0</v>
      </c>
      <c r="M101" t="n">
        <v>0</v>
      </c>
      <c r="N101" t="n">
        <v>0</v>
      </c>
      <c r="O101" t="n">
        <v>0</v>
      </c>
      <c r="P101" t="n">
        <v>0</v>
      </c>
      <c r="Q101" t="n">
        <v>0</v>
      </c>
      <c r="R101" s="2" t="inlineStr"/>
    </row>
    <row r="102" ht="15" customHeight="1">
      <c r="A102" t="inlineStr">
        <is>
          <t>A 26259-2019</t>
        </is>
      </c>
      <c r="B102" s="1" t="n">
        <v>43610</v>
      </c>
      <c r="C102" s="1" t="n">
        <v>45852</v>
      </c>
      <c r="D102" t="inlineStr">
        <is>
          <t>DALARNAS LÄN</t>
        </is>
      </c>
      <c r="E102" t="inlineStr">
        <is>
          <t>MALUNG-SÄLEN</t>
        </is>
      </c>
      <c r="G102" t="n">
        <v>1</v>
      </c>
      <c r="H102" t="n">
        <v>0</v>
      </c>
      <c r="I102" t="n">
        <v>0</v>
      </c>
      <c r="J102" t="n">
        <v>0</v>
      </c>
      <c r="K102" t="n">
        <v>0</v>
      </c>
      <c r="L102" t="n">
        <v>0</v>
      </c>
      <c r="M102" t="n">
        <v>0</v>
      </c>
      <c r="N102" t="n">
        <v>0</v>
      </c>
      <c r="O102" t="n">
        <v>0</v>
      </c>
      <c r="P102" t="n">
        <v>0</v>
      </c>
      <c r="Q102" t="n">
        <v>0</v>
      </c>
      <c r="R102" s="2" t="inlineStr"/>
    </row>
    <row r="103" ht="15" customHeight="1">
      <c r="A103" t="inlineStr">
        <is>
          <t>A 27048-2019</t>
        </is>
      </c>
      <c r="B103" s="1" t="n">
        <v>43614</v>
      </c>
      <c r="C103" s="1" t="n">
        <v>45852</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27037-2019</t>
        </is>
      </c>
      <c r="B104" s="1" t="n">
        <v>43614</v>
      </c>
      <c r="C104" s="1" t="n">
        <v>45852</v>
      </c>
      <c r="D104" t="inlineStr">
        <is>
          <t>DALARNAS LÄN</t>
        </is>
      </c>
      <c r="E104" t="inlineStr">
        <is>
          <t>MALUNG-SÄLEN</t>
        </is>
      </c>
      <c r="G104" t="n">
        <v>0.6</v>
      </c>
      <c r="H104" t="n">
        <v>0</v>
      </c>
      <c r="I104" t="n">
        <v>0</v>
      </c>
      <c r="J104" t="n">
        <v>0</v>
      </c>
      <c r="K104" t="n">
        <v>0</v>
      </c>
      <c r="L104" t="n">
        <v>0</v>
      </c>
      <c r="M104" t="n">
        <v>0</v>
      </c>
      <c r="N104" t="n">
        <v>0</v>
      </c>
      <c r="O104" t="n">
        <v>0</v>
      </c>
      <c r="P104" t="n">
        <v>0</v>
      </c>
      <c r="Q104" t="n">
        <v>0</v>
      </c>
      <c r="R104" s="2" t="inlineStr"/>
    </row>
    <row r="105" ht="15" customHeight="1">
      <c r="A105" t="inlineStr">
        <is>
          <t>A 27039-2019</t>
        </is>
      </c>
      <c r="B105" s="1" t="n">
        <v>43614</v>
      </c>
      <c r="C105" s="1" t="n">
        <v>45852</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27487-2019</t>
        </is>
      </c>
      <c r="B106" s="1" t="n">
        <v>43619</v>
      </c>
      <c r="C106" s="1" t="n">
        <v>45852</v>
      </c>
      <c r="D106" t="inlineStr">
        <is>
          <t>DALARNAS LÄN</t>
        </is>
      </c>
      <c r="E106" t="inlineStr">
        <is>
          <t>MALUNG-SÄLEN</t>
        </is>
      </c>
      <c r="G106" t="n">
        <v>1.4</v>
      </c>
      <c r="H106" t="n">
        <v>0</v>
      </c>
      <c r="I106" t="n">
        <v>0</v>
      </c>
      <c r="J106" t="n">
        <v>0</v>
      </c>
      <c r="K106" t="n">
        <v>0</v>
      </c>
      <c r="L106" t="n">
        <v>0</v>
      </c>
      <c r="M106" t="n">
        <v>0</v>
      </c>
      <c r="N106" t="n">
        <v>0</v>
      </c>
      <c r="O106" t="n">
        <v>0</v>
      </c>
      <c r="P106" t="n">
        <v>0</v>
      </c>
      <c r="Q106" t="n">
        <v>0</v>
      </c>
      <c r="R106" s="2" t="inlineStr"/>
    </row>
    <row r="107" ht="15" customHeight="1">
      <c r="A107" t="inlineStr">
        <is>
          <t>A 28259-2019</t>
        </is>
      </c>
      <c r="B107" s="1" t="n">
        <v>43623</v>
      </c>
      <c r="C107" s="1" t="n">
        <v>45852</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29761-2019</t>
        </is>
      </c>
      <c r="B108" s="1" t="n">
        <v>43631</v>
      </c>
      <c r="C108" s="1" t="n">
        <v>45852</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29760-2019</t>
        </is>
      </c>
      <c r="B109" s="1" t="n">
        <v>43631</v>
      </c>
      <c r="C109" s="1" t="n">
        <v>45852</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30046-2019</t>
        </is>
      </c>
      <c r="B110" s="1" t="n">
        <v>43633</v>
      </c>
      <c r="C110" s="1" t="n">
        <v>45852</v>
      </c>
      <c r="D110" t="inlineStr">
        <is>
          <t>DALARNAS LÄN</t>
        </is>
      </c>
      <c r="E110" t="inlineStr">
        <is>
          <t>MALUNG-SÄLEN</t>
        </is>
      </c>
      <c r="G110" t="n">
        <v>7.6</v>
      </c>
      <c r="H110" t="n">
        <v>0</v>
      </c>
      <c r="I110" t="n">
        <v>0</v>
      </c>
      <c r="J110" t="n">
        <v>0</v>
      </c>
      <c r="K110" t="n">
        <v>0</v>
      </c>
      <c r="L110" t="n">
        <v>0</v>
      </c>
      <c r="M110" t="n">
        <v>0</v>
      </c>
      <c r="N110" t="n">
        <v>0</v>
      </c>
      <c r="O110" t="n">
        <v>0</v>
      </c>
      <c r="P110" t="n">
        <v>0</v>
      </c>
      <c r="Q110" t="n">
        <v>0</v>
      </c>
      <c r="R110" s="2" t="inlineStr"/>
    </row>
    <row r="111" ht="15" customHeight="1">
      <c r="A111" t="inlineStr">
        <is>
          <t>A 30295-2019</t>
        </is>
      </c>
      <c r="B111" s="1" t="n">
        <v>43634</v>
      </c>
      <c r="C111" s="1" t="n">
        <v>45852</v>
      </c>
      <c r="D111" t="inlineStr">
        <is>
          <t>DALARNAS LÄN</t>
        </is>
      </c>
      <c r="E111" t="inlineStr">
        <is>
          <t>MALUNG-SÄLEN</t>
        </is>
      </c>
      <c r="G111" t="n">
        <v>2.6</v>
      </c>
      <c r="H111" t="n">
        <v>0</v>
      </c>
      <c r="I111" t="n">
        <v>0</v>
      </c>
      <c r="J111" t="n">
        <v>0</v>
      </c>
      <c r="K111" t="n">
        <v>0</v>
      </c>
      <c r="L111" t="n">
        <v>0</v>
      </c>
      <c r="M111" t="n">
        <v>0</v>
      </c>
      <c r="N111" t="n">
        <v>0</v>
      </c>
      <c r="O111" t="n">
        <v>0</v>
      </c>
      <c r="P111" t="n">
        <v>0</v>
      </c>
      <c r="Q111" t="n">
        <v>0</v>
      </c>
      <c r="R111" s="2" t="inlineStr"/>
    </row>
    <row r="112" ht="15" customHeight="1">
      <c r="A112" t="inlineStr">
        <is>
          <t>A 30230-2019</t>
        </is>
      </c>
      <c r="B112" s="1" t="n">
        <v>43634</v>
      </c>
      <c r="C112" s="1" t="n">
        <v>45852</v>
      </c>
      <c r="D112" t="inlineStr">
        <is>
          <t>DALARNAS LÄN</t>
        </is>
      </c>
      <c r="E112" t="inlineStr">
        <is>
          <t>MALUNG-SÄLEN</t>
        </is>
      </c>
      <c r="G112" t="n">
        <v>4.1</v>
      </c>
      <c r="H112" t="n">
        <v>0</v>
      </c>
      <c r="I112" t="n">
        <v>0</v>
      </c>
      <c r="J112" t="n">
        <v>0</v>
      </c>
      <c r="K112" t="n">
        <v>0</v>
      </c>
      <c r="L112" t="n">
        <v>0</v>
      </c>
      <c r="M112" t="n">
        <v>0</v>
      </c>
      <c r="N112" t="n">
        <v>0</v>
      </c>
      <c r="O112" t="n">
        <v>0</v>
      </c>
      <c r="P112" t="n">
        <v>0</v>
      </c>
      <c r="Q112" t="n">
        <v>0</v>
      </c>
      <c r="R112" s="2" t="inlineStr"/>
    </row>
    <row r="113" ht="15" customHeight="1">
      <c r="A113" t="inlineStr">
        <is>
          <t>A 30828-2019</t>
        </is>
      </c>
      <c r="B113" s="1" t="n">
        <v>43636</v>
      </c>
      <c r="C113" s="1" t="n">
        <v>45852</v>
      </c>
      <c r="D113" t="inlineStr">
        <is>
          <t>DALARNAS LÄN</t>
        </is>
      </c>
      <c r="E113" t="inlineStr">
        <is>
          <t>MALUNG-SÄLEN</t>
        </is>
      </c>
      <c r="G113" t="n">
        <v>4.8</v>
      </c>
      <c r="H113" t="n">
        <v>0</v>
      </c>
      <c r="I113" t="n">
        <v>0</v>
      </c>
      <c r="J113" t="n">
        <v>0</v>
      </c>
      <c r="K113" t="n">
        <v>0</v>
      </c>
      <c r="L113" t="n">
        <v>0</v>
      </c>
      <c r="M113" t="n">
        <v>0</v>
      </c>
      <c r="N113" t="n">
        <v>0</v>
      </c>
      <c r="O113" t="n">
        <v>0</v>
      </c>
      <c r="P113" t="n">
        <v>0</v>
      </c>
      <c r="Q113" t="n">
        <v>0</v>
      </c>
      <c r="R113" s="2" t="inlineStr"/>
    </row>
    <row r="114" ht="15" customHeight="1">
      <c r="A114" t="inlineStr">
        <is>
          <t>A 32136-2019</t>
        </is>
      </c>
      <c r="B114" s="1" t="n">
        <v>43643</v>
      </c>
      <c r="C114" s="1" t="n">
        <v>45852</v>
      </c>
      <c r="D114" t="inlineStr">
        <is>
          <t>DALARNAS LÄN</t>
        </is>
      </c>
      <c r="E114" t="inlineStr">
        <is>
          <t>MALUNG-SÄLEN</t>
        </is>
      </c>
      <c r="G114" t="n">
        <v>2.1</v>
      </c>
      <c r="H114" t="n">
        <v>0</v>
      </c>
      <c r="I114" t="n">
        <v>0</v>
      </c>
      <c r="J114" t="n">
        <v>0</v>
      </c>
      <c r="K114" t="n">
        <v>0</v>
      </c>
      <c r="L114" t="n">
        <v>0</v>
      </c>
      <c r="M114" t="n">
        <v>0</v>
      </c>
      <c r="N114" t="n">
        <v>0</v>
      </c>
      <c r="O114" t="n">
        <v>0</v>
      </c>
      <c r="P114" t="n">
        <v>0</v>
      </c>
      <c r="Q114" t="n">
        <v>0</v>
      </c>
      <c r="R114" s="2" t="inlineStr"/>
    </row>
    <row r="115" ht="15" customHeight="1">
      <c r="A115" t="inlineStr">
        <is>
          <t>A 32124-2019</t>
        </is>
      </c>
      <c r="B115" s="1" t="n">
        <v>43643</v>
      </c>
      <c r="C115" s="1" t="n">
        <v>45852</v>
      </c>
      <c r="D115" t="inlineStr">
        <is>
          <t>DALARNAS LÄN</t>
        </is>
      </c>
      <c r="E115" t="inlineStr">
        <is>
          <t>MALUNG-SÄLEN</t>
        </is>
      </c>
      <c r="G115" t="n">
        <v>3.1</v>
      </c>
      <c r="H115" t="n">
        <v>0</v>
      </c>
      <c r="I115" t="n">
        <v>0</v>
      </c>
      <c r="J115" t="n">
        <v>0</v>
      </c>
      <c r="K115" t="n">
        <v>0</v>
      </c>
      <c r="L115" t="n">
        <v>0</v>
      </c>
      <c r="M115" t="n">
        <v>0</v>
      </c>
      <c r="N115" t="n">
        <v>0</v>
      </c>
      <c r="O115" t="n">
        <v>0</v>
      </c>
      <c r="P115" t="n">
        <v>0</v>
      </c>
      <c r="Q115" t="n">
        <v>0</v>
      </c>
      <c r="R115" s="2" t="inlineStr"/>
    </row>
    <row r="116" ht="15" customHeight="1">
      <c r="A116" t="inlineStr">
        <is>
          <t>A 34243-2019</t>
        </is>
      </c>
      <c r="B116" s="1" t="n">
        <v>43647</v>
      </c>
      <c r="C116" s="1" t="n">
        <v>45852</v>
      </c>
      <c r="D116" t="inlineStr">
        <is>
          <t>DALARNAS LÄN</t>
        </is>
      </c>
      <c r="E116" t="inlineStr">
        <is>
          <t>MALUNG-SÄLEN</t>
        </is>
      </c>
      <c r="G116" t="n">
        <v>8</v>
      </c>
      <c r="H116" t="n">
        <v>0</v>
      </c>
      <c r="I116" t="n">
        <v>0</v>
      </c>
      <c r="J116" t="n">
        <v>0</v>
      </c>
      <c r="K116" t="n">
        <v>0</v>
      </c>
      <c r="L116" t="n">
        <v>0</v>
      </c>
      <c r="M116" t="n">
        <v>0</v>
      </c>
      <c r="N116" t="n">
        <v>0</v>
      </c>
      <c r="O116" t="n">
        <v>0</v>
      </c>
      <c r="P116" t="n">
        <v>0</v>
      </c>
      <c r="Q116" t="n">
        <v>0</v>
      </c>
      <c r="R116" s="2" t="inlineStr"/>
    </row>
    <row r="117" ht="15" customHeight="1">
      <c r="A117" t="inlineStr">
        <is>
          <t>A 33559-2019</t>
        </is>
      </c>
      <c r="B117" s="1" t="n">
        <v>43651</v>
      </c>
      <c r="C117" s="1" t="n">
        <v>45852</v>
      </c>
      <c r="D117" t="inlineStr">
        <is>
          <t>DALARNAS LÄN</t>
        </is>
      </c>
      <c r="E117" t="inlineStr">
        <is>
          <t>MALUNG-SÄLEN</t>
        </is>
      </c>
      <c r="G117" t="n">
        <v>14.1</v>
      </c>
      <c r="H117" t="n">
        <v>0</v>
      </c>
      <c r="I117" t="n">
        <v>0</v>
      </c>
      <c r="J117" t="n">
        <v>0</v>
      </c>
      <c r="K117" t="n">
        <v>0</v>
      </c>
      <c r="L117" t="n">
        <v>0</v>
      </c>
      <c r="M117" t="n">
        <v>0</v>
      </c>
      <c r="N117" t="n">
        <v>0</v>
      </c>
      <c r="O117" t="n">
        <v>0</v>
      </c>
      <c r="P117" t="n">
        <v>0</v>
      </c>
      <c r="Q117" t="n">
        <v>0</v>
      </c>
      <c r="R117" s="2" t="inlineStr"/>
    </row>
    <row r="118" ht="15" customHeight="1">
      <c r="A118" t="inlineStr">
        <is>
          <t>A 34071-2019</t>
        </is>
      </c>
      <c r="B118" s="1" t="n">
        <v>43654</v>
      </c>
      <c r="C118" s="1" t="n">
        <v>45852</v>
      </c>
      <c r="D118" t="inlineStr">
        <is>
          <t>DALARNAS LÄN</t>
        </is>
      </c>
      <c r="E118" t="inlineStr">
        <is>
          <t>MALUNG-SÄLEN</t>
        </is>
      </c>
      <c r="G118" t="n">
        <v>2.9</v>
      </c>
      <c r="H118" t="n">
        <v>0</v>
      </c>
      <c r="I118" t="n">
        <v>0</v>
      </c>
      <c r="J118" t="n">
        <v>0</v>
      </c>
      <c r="K118" t="n">
        <v>0</v>
      </c>
      <c r="L118" t="n">
        <v>0</v>
      </c>
      <c r="M118" t="n">
        <v>0</v>
      </c>
      <c r="N118" t="n">
        <v>0</v>
      </c>
      <c r="O118" t="n">
        <v>0</v>
      </c>
      <c r="P118" t="n">
        <v>0</v>
      </c>
      <c r="Q118" t="n">
        <v>0</v>
      </c>
      <c r="R118" s="2" t="inlineStr"/>
    </row>
    <row r="119" ht="15" customHeight="1">
      <c r="A119" t="inlineStr">
        <is>
          <t>A 34085-2019</t>
        </is>
      </c>
      <c r="B119" s="1" t="n">
        <v>43654</v>
      </c>
      <c r="C119" s="1" t="n">
        <v>45852</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35793-2019</t>
        </is>
      </c>
      <c r="B120" s="1" t="n">
        <v>43656</v>
      </c>
      <c r="C120" s="1" t="n">
        <v>45852</v>
      </c>
      <c r="D120" t="inlineStr">
        <is>
          <t>DALARNAS LÄN</t>
        </is>
      </c>
      <c r="E120" t="inlineStr">
        <is>
          <t>MALUNG-SÄLEN</t>
        </is>
      </c>
      <c r="G120" t="n">
        <v>2.2</v>
      </c>
      <c r="H120" t="n">
        <v>0</v>
      </c>
      <c r="I120" t="n">
        <v>0</v>
      </c>
      <c r="J120" t="n">
        <v>0</v>
      </c>
      <c r="K120" t="n">
        <v>0</v>
      </c>
      <c r="L120" t="n">
        <v>0</v>
      </c>
      <c r="M120" t="n">
        <v>0</v>
      </c>
      <c r="N120" t="n">
        <v>0</v>
      </c>
      <c r="O120" t="n">
        <v>0</v>
      </c>
      <c r="P120" t="n">
        <v>0</v>
      </c>
      <c r="Q120" t="n">
        <v>0</v>
      </c>
      <c r="R120" s="2" t="inlineStr"/>
    </row>
    <row r="121" ht="15" customHeight="1">
      <c r="A121" t="inlineStr">
        <is>
          <t>A 36006-2019</t>
        </is>
      </c>
      <c r="B121" s="1" t="n">
        <v>43657</v>
      </c>
      <c r="C121" s="1" t="n">
        <v>45852</v>
      </c>
      <c r="D121" t="inlineStr">
        <is>
          <t>DALARNAS LÄN</t>
        </is>
      </c>
      <c r="E121" t="inlineStr">
        <is>
          <t>MALUNG-SÄLEN</t>
        </is>
      </c>
      <c r="G121" t="n">
        <v>10.4</v>
      </c>
      <c r="H121" t="n">
        <v>0</v>
      </c>
      <c r="I121" t="n">
        <v>0</v>
      </c>
      <c r="J121" t="n">
        <v>0</v>
      </c>
      <c r="K121" t="n">
        <v>0</v>
      </c>
      <c r="L121" t="n">
        <v>0</v>
      </c>
      <c r="M121" t="n">
        <v>0</v>
      </c>
      <c r="N121" t="n">
        <v>0</v>
      </c>
      <c r="O121" t="n">
        <v>0</v>
      </c>
      <c r="P121" t="n">
        <v>0</v>
      </c>
      <c r="Q121" t="n">
        <v>0</v>
      </c>
      <c r="R121" s="2" t="inlineStr"/>
    </row>
    <row r="122" ht="15" customHeight="1">
      <c r="A122" t="inlineStr">
        <is>
          <t>A 36119-2019</t>
        </is>
      </c>
      <c r="B122" s="1" t="n">
        <v>43658</v>
      </c>
      <c r="C122" s="1" t="n">
        <v>45852</v>
      </c>
      <c r="D122" t="inlineStr">
        <is>
          <t>DALARNAS LÄN</t>
        </is>
      </c>
      <c r="E122" t="inlineStr">
        <is>
          <t>MALUNG-SÄLEN</t>
        </is>
      </c>
      <c r="F122" t="inlineStr">
        <is>
          <t>Allmännings- och besparingsskogar</t>
        </is>
      </c>
      <c r="G122" t="n">
        <v>2.1</v>
      </c>
      <c r="H122" t="n">
        <v>0</v>
      </c>
      <c r="I122" t="n">
        <v>0</v>
      </c>
      <c r="J122" t="n">
        <v>0</v>
      </c>
      <c r="K122" t="n">
        <v>0</v>
      </c>
      <c r="L122" t="n">
        <v>0</v>
      </c>
      <c r="M122" t="n">
        <v>0</v>
      </c>
      <c r="N122" t="n">
        <v>0</v>
      </c>
      <c r="O122" t="n">
        <v>0</v>
      </c>
      <c r="P122" t="n">
        <v>0</v>
      </c>
      <c r="Q122" t="n">
        <v>0</v>
      </c>
      <c r="R122" s="2" t="inlineStr"/>
    </row>
    <row r="123" ht="15" customHeight="1">
      <c r="A123" t="inlineStr">
        <is>
          <t>A 36878-2019</t>
        </is>
      </c>
      <c r="B123" s="1" t="n">
        <v>43675</v>
      </c>
      <c r="C123" s="1" t="n">
        <v>45852</v>
      </c>
      <c r="D123" t="inlineStr">
        <is>
          <t>DALARNAS LÄN</t>
        </is>
      </c>
      <c r="E123" t="inlineStr">
        <is>
          <t>MALUNG-SÄLEN</t>
        </is>
      </c>
      <c r="G123" t="n">
        <v>2</v>
      </c>
      <c r="H123" t="n">
        <v>0</v>
      </c>
      <c r="I123" t="n">
        <v>0</v>
      </c>
      <c r="J123" t="n">
        <v>0</v>
      </c>
      <c r="K123" t="n">
        <v>0</v>
      </c>
      <c r="L123" t="n">
        <v>0</v>
      </c>
      <c r="M123" t="n">
        <v>0</v>
      </c>
      <c r="N123" t="n">
        <v>0</v>
      </c>
      <c r="O123" t="n">
        <v>0</v>
      </c>
      <c r="P123" t="n">
        <v>0</v>
      </c>
      <c r="Q123" t="n">
        <v>0</v>
      </c>
      <c r="R123" s="2" t="inlineStr"/>
    </row>
    <row r="124" ht="15" customHeight="1">
      <c r="A124" t="inlineStr">
        <is>
          <t>A 36873-2019</t>
        </is>
      </c>
      <c r="B124" s="1" t="n">
        <v>43675</v>
      </c>
      <c r="C124" s="1" t="n">
        <v>45852</v>
      </c>
      <c r="D124" t="inlineStr">
        <is>
          <t>DALARNAS LÄN</t>
        </is>
      </c>
      <c r="E124" t="inlineStr">
        <is>
          <t>MALUNG-SÄLEN</t>
        </is>
      </c>
      <c r="F124" t="inlineStr">
        <is>
          <t>Allmännings- och besparingsskogar</t>
        </is>
      </c>
      <c r="G124" t="n">
        <v>16.3</v>
      </c>
      <c r="H124" t="n">
        <v>0</v>
      </c>
      <c r="I124" t="n">
        <v>0</v>
      </c>
      <c r="J124" t="n">
        <v>0</v>
      </c>
      <c r="K124" t="n">
        <v>0</v>
      </c>
      <c r="L124" t="n">
        <v>0</v>
      </c>
      <c r="M124" t="n">
        <v>0</v>
      </c>
      <c r="N124" t="n">
        <v>0</v>
      </c>
      <c r="O124" t="n">
        <v>0</v>
      </c>
      <c r="P124" t="n">
        <v>0</v>
      </c>
      <c r="Q124" t="n">
        <v>0</v>
      </c>
      <c r="R124" s="2" t="inlineStr"/>
    </row>
    <row r="125" ht="15" customHeight="1">
      <c r="A125" t="inlineStr">
        <is>
          <t>A 37179-2019</t>
        </is>
      </c>
      <c r="B125" s="1" t="n">
        <v>43677</v>
      </c>
      <c r="C125" s="1" t="n">
        <v>45852</v>
      </c>
      <c r="D125" t="inlineStr">
        <is>
          <t>DALARNAS LÄN</t>
        </is>
      </c>
      <c r="E125" t="inlineStr">
        <is>
          <t>MALUNG-SÄLEN</t>
        </is>
      </c>
      <c r="G125" t="n">
        <v>5.5</v>
      </c>
      <c r="H125" t="n">
        <v>0</v>
      </c>
      <c r="I125" t="n">
        <v>0</v>
      </c>
      <c r="J125" t="n">
        <v>0</v>
      </c>
      <c r="K125" t="n">
        <v>0</v>
      </c>
      <c r="L125" t="n">
        <v>0</v>
      </c>
      <c r="M125" t="n">
        <v>0</v>
      </c>
      <c r="N125" t="n">
        <v>0</v>
      </c>
      <c r="O125" t="n">
        <v>0</v>
      </c>
      <c r="P125" t="n">
        <v>0</v>
      </c>
      <c r="Q125" t="n">
        <v>0</v>
      </c>
      <c r="R125" s="2" t="inlineStr"/>
    </row>
    <row r="126" ht="15" customHeight="1">
      <c r="A126" t="inlineStr">
        <is>
          <t>A 37952-2019</t>
        </is>
      </c>
      <c r="B126" s="1" t="n">
        <v>43683</v>
      </c>
      <c r="C126" s="1" t="n">
        <v>45852</v>
      </c>
      <c r="D126" t="inlineStr">
        <is>
          <t>DALARNAS LÄN</t>
        </is>
      </c>
      <c r="E126" t="inlineStr">
        <is>
          <t>MALUNG-SÄLEN</t>
        </is>
      </c>
      <c r="G126" t="n">
        <v>6.4</v>
      </c>
      <c r="H126" t="n">
        <v>0</v>
      </c>
      <c r="I126" t="n">
        <v>0</v>
      </c>
      <c r="J126" t="n">
        <v>0</v>
      </c>
      <c r="K126" t="n">
        <v>0</v>
      </c>
      <c r="L126" t="n">
        <v>0</v>
      </c>
      <c r="M126" t="n">
        <v>0</v>
      </c>
      <c r="N126" t="n">
        <v>0</v>
      </c>
      <c r="O126" t="n">
        <v>0</v>
      </c>
      <c r="P126" t="n">
        <v>0</v>
      </c>
      <c r="Q126" t="n">
        <v>0</v>
      </c>
      <c r="R126" s="2" t="inlineStr"/>
    </row>
    <row r="127" ht="15" customHeight="1">
      <c r="A127" t="inlineStr">
        <is>
          <t>A 38173-2019</t>
        </is>
      </c>
      <c r="B127" s="1" t="n">
        <v>43684</v>
      </c>
      <c r="C127" s="1" t="n">
        <v>45852</v>
      </c>
      <c r="D127" t="inlineStr">
        <is>
          <t>DALARNAS LÄN</t>
        </is>
      </c>
      <c r="E127" t="inlineStr">
        <is>
          <t>MALUNG-SÄLEN</t>
        </is>
      </c>
      <c r="G127" t="n">
        <v>3.3</v>
      </c>
      <c r="H127" t="n">
        <v>0</v>
      </c>
      <c r="I127" t="n">
        <v>0</v>
      </c>
      <c r="J127" t="n">
        <v>0</v>
      </c>
      <c r="K127" t="n">
        <v>0</v>
      </c>
      <c r="L127" t="n">
        <v>0</v>
      </c>
      <c r="M127" t="n">
        <v>0</v>
      </c>
      <c r="N127" t="n">
        <v>0</v>
      </c>
      <c r="O127" t="n">
        <v>0</v>
      </c>
      <c r="P127" t="n">
        <v>0</v>
      </c>
      <c r="Q127" t="n">
        <v>0</v>
      </c>
      <c r="R127" s="2" t="inlineStr"/>
    </row>
    <row r="128" ht="15" customHeight="1">
      <c r="A128" t="inlineStr">
        <is>
          <t>A 39281-2019</t>
        </is>
      </c>
      <c r="B128" s="1" t="n">
        <v>43686</v>
      </c>
      <c r="C128" s="1" t="n">
        <v>45852</v>
      </c>
      <c r="D128" t="inlineStr">
        <is>
          <t>DALARNAS LÄN</t>
        </is>
      </c>
      <c r="E128" t="inlineStr">
        <is>
          <t>MALUNG-SÄLEN</t>
        </is>
      </c>
      <c r="F128" t="inlineStr">
        <is>
          <t>Allmännings- och besparingsskogar</t>
        </is>
      </c>
      <c r="G128" t="n">
        <v>12.8</v>
      </c>
      <c r="H128" t="n">
        <v>0</v>
      </c>
      <c r="I128" t="n">
        <v>0</v>
      </c>
      <c r="J128" t="n">
        <v>0</v>
      </c>
      <c r="K128" t="n">
        <v>0</v>
      </c>
      <c r="L128" t="n">
        <v>0</v>
      </c>
      <c r="M128" t="n">
        <v>0</v>
      </c>
      <c r="N128" t="n">
        <v>0</v>
      </c>
      <c r="O128" t="n">
        <v>0</v>
      </c>
      <c r="P128" t="n">
        <v>0</v>
      </c>
      <c r="Q128" t="n">
        <v>0</v>
      </c>
      <c r="R128" s="2" t="inlineStr"/>
    </row>
    <row r="129" ht="15" customHeight="1">
      <c r="A129" t="inlineStr">
        <is>
          <t>A 39287-2019</t>
        </is>
      </c>
      <c r="B129" s="1" t="n">
        <v>43686</v>
      </c>
      <c r="C129" s="1" t="n">
        <v>45852</v>
      </c>
      <c r="D129" t="inlineStr">
        <is>
          <t>DALARNAS LÄN</t>
        </is>
      </c>
      <c r="E129" t="inlineStr">
        <is>
          <t>MALUNG-SÄLEN</t>
        </is>
      </c>
      <c r="F129" t="inlineStr">
        <is>
          <t>Allmännings- och besparingsskogar</t>
        </is>
      </c>
      <c r="G129" t="n">
        <v>10</v>
      </c>
      <c r="H129" t="n">
        <v>0</v>
      </c>
      <c r="I129" t="n">
        <v>0</v>
      </c>
      <c r="J129" t="n">
        <v>0</v>
      </c>
      <c r="K129" t="n">
        <v>0</v>
      </c>
      <c r="L129" t="n">
        <v>0</v>
      </c>
      <c r="M129" t="n">
        <v>0</v>
      </c>
      <c r="N129" t="n">
        <v>0</v>
      </c>
      <c r="O129" t="n">
        <v>0</v>
      </c>
      <c r="P129" t="n">
        <v>0</v>
      </c>
      <c r="Q129" t="n">
        <v>0</v>
      </c>
      <c r="R129" s="2" t="inlineStr"/>
    </row>
    <row r="130" ht="15" customHeight="1">
      <c r="A130" t="inlineStr">
        <is>
          <t>A 39298-2019</t>
        </is>
      </c>
      <c r="B130" s="1" t="n">
        <v>43690</v>
      </c>
      <c r="C130" s="1" t="n">
        <v>45852</v>
      </c>
      <c r="D130" t="inlineStr">
        <is>
          <t>DALARNAS LÄN</t>
        </is>
      </c>
      <c r="E130" t="inlineStr">
        <is>
          <t>MALUNG-SÄLEN</t>
        </is>
      </c>
      <c r="G130" t="n">
        <v>2.1</v>
      </c>
      <c r="H130" t="n">
        <v>0</v>
      </c>
      <c r="I130" t="n">
        <v>0</v>
      </c>
      <c r="J130" t="n">
        <v>0</v>
      </c>
      <c r="K130" t="n">
        <v>0</v>
      </c>
      <c r="L130" t="n">
        <v>0</v>
      </c>
      <c r="M130" t="n">
        <v>0</v>
      </c>
      <c r="N130" t="n">
        <v>0</v>
      </c>
      <c r="O130" t="n">
        <v>0</v>
      </c>
      <c r="P130" t="n">
        <v>0</v>
      </c>
      <c r="Q130" t="n">
        <v>0</v>
      </c>
      <c r="R130" s="2" t="inlineStr"/>
    </row>
    <row r="131" ht="15" customHeight="1">
      <c r="A131" t="inlineStr">
        <is>
          <t>A 42881-2019</t>
        </is>
      </c>
      <c r="B131" s="1" t="n">
        <v>43700</v>
      </c>
      <c r="C131" s="1" t="n">
        <v>45852</v>
      </c>
      <c r="D131" t="inlineStr">
        <is>
          <t>DALARNAS LÄN</t>
        </is>
      </c>
      <c r="E131" t="inlineStr">
        <is>
          <t>MALUNG-SÄLEN</t>
        </is>
      </c>
      <c r="F131" t="inlineStr">
        <is>
          <t>Allmännings- och besparingsskogar</t>
        </is>
      </c>
      <c r="G131" t="n">
        <v>8</v>
      </c>
      <c r="H131" t="n">
        <v>0</v>
      </c>
      <c r="I131" t="n">
        <v>0</v>
      </c>
      <c r="J131" t="n">
        <v>0</v>
      </c>
      <c r="K131" t="n">
        <v>0</v>
      </c>
      <c r="L131" t="n">
        <v>0</v>
      </c>
      <c r="M131" t="n">
        <v>0</v>
      </c>
      <c r="N131" t="n">
        <v>0</v>
      </c>
      <c r="O131" t="n">
        <v>0</v>
      </c>
      <c r="P131" t="n">
        <v>0</v>
      </c>
      <c r="Q131" t="n">
        <v>0</v>
      </c>
      <c r="R131" s="2" t="inlineStr"/>
    </row>
    <row r="132" ht="15" customHeight="1">
      <c r="A132" t="inlineStr">
        <is>
          <t>A 42889-2019</t>
        </is>
      </c>
      <c r="B132" s="1" t="n">
        <v>43700</v>
      </c>
      <c r="C132" s="1" t="n">
        <v>45852</v>
      </c>
      <c r="D132" t="inlineStr">
        <is>
          <t>DALARNAS LÄN</t>
        </is>
      </c>
      <c r="E132" t="inlineStr">
        <is>
          <t>MALUNG-SÄLEN</t>
        </is>
      </c>
      <c r="F132" t="inlineStr">
        <is>
          <t>Allmännings- och besparingsskogar</t>
        </is>
      </c>
      <c r="G132" t="n">
        <v>6.3</v>
      </c>
      <c r="H132" t="n">
        <v>0</v>
      </c>
      <c r="I132" t="n">
        <v>0</v>
      </c>
      <c r="J132" t="n">
        <v>0</v>
      </c>
      <c r="K132" t="n">
        <v>0</v>
      </c>
      <c r="L132" t="n">
        <v>0</v>
      </c>
      <c r="M132" t="n">
        <v>0</v>
      </c>
      <c r="N132" t="n">
        <v>0</v>
      </c>
      <c r="O132" t="n">
        <v>0</v>
      </c>
      <c r="P132" t="n">
        <v>0</v>
      </c>
      <c r="Q132" t="n">
        <v>0</v>
      </c>
      <c r="R132" s="2" t="inlineStr"/>
    </row>
    <row r="133" ht="15" customHeight="1">
      <c r="A133" t="inlineStr">
        <is>
          <t>A 42172-2019</t>
        </is>
      </c>
      <c r="B133" s="1" t="n">
        <v>43703</v>
      </c>
      <c r="C133" s="1" t="n">
        <v>45852</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44934-2019</t>
        </is>
      </c>
      <c r="B134" s="1" t="n">
        <v>43713</v>
      </c>
      <c r="C134" s="1" t="n">
        <v>45852</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45135-2019</t>
        </is>
      </c>
      <c r="B135" s="1" t="n">
        <v>43713</v>
      </c>
      <c r="C135" s="1" t="n">
        <v>45852</v>
      </c>
      <c r="D135" t="inlineStr">
        <is>
          <t>DALARNAS LÄN</t>
        </is>
      </c>
      <c r="E135" t="inlineStr">
        <is>
          <t>MALUNG-SÄLEN</t>
        </is>
      </c>
      <c r="G135" t="n">
        <v>4.3</v>
      </c>
      <c r="H135" t="n">
        <v>0</v>
      </c>
      <c r="I135" t="n">
        <v>0</v>
      </c>
      <c r="J135" t="n">
        <v>0</v>
      </c>
      <c r="K135" t="n">
        <v>0</v>
      </c>
      <c r="L135" t="n">
        <v>0</v>
      </c>
      <c r="M135" t="n">
        <v>0</v>
      </c>
      <c r="N135" t="n">
        <v>0</v>
      </c>
      <c r="O135" t="n">
        <v>0</v>
      </c>
      <c r="P135" t="n">
        <v>0</v>
      </c>
      <c r="Q135" t="n">
        <v>0</v>
      </c>
      <c r="R135" s="2" t="inlineStr"/>
    </row>
    <row r="136" ht="15" customHeight="1">
      <c r="A136" t="inlineStr">
        <is>
          <t>A 47233-2019</t>
        </is>
      </c>
      <c r="B136" s="1" t="n">
        <v>43713</v>
      </c>
      <c r="C136" s="1" t="n">
        <v>45852</v>
      </c>
      <c r="D136" t="inlineStr">
        <is>
          <t>DALARNAS LÄN</t>
        </is>
      </c>
      <c r="E136" t="inlineStr">
        <is>
          <t>MALUNG-SÄLEN</t>
        </is>
      </c>
      <c r="G136" t="n">
        <v>6.7</v>
      </c>
      <c r="H136" t="n">
        <v>0</v>
      </c>
      <c r="I136" t="n">
        <v>0</v>
      </c>
      <c r="J136" t="n">
        <v>0</v>
      </c>
      <c r="K136" t="n">
        <v>0</v>
      </c>
      <c r="L136" t="n">
        <v>0</v>
      </c>
      <c r="M136" t="n">
        <v>0</v>
      </c>
      <c r="N136" t="n">
        <v>0</v>
      </c>
      <c r="O136" t="n">
        <v>0</v>
      </c>
      <c r="P136" t="n">
        <v>0</v>
      </c>
      <c r="Q136" t="n">
        <v>0</v>
      </c>
      <c r="R136" s="2" t="inlineStr"/>
    </row>
    <row r="137" ht="15" customHeight="1">
      <c r="A137" t="inlineStr">
        <is>
          <t>A 47236-2019</t>
        </is>
      </c>
      <c r="B137" s="1" t="n">
        <v>43713</v>
      </c>
      <c r="C137" s="1" t="n">
        <v>45852</v>
      </c>
      <c r="D137" t="inlineStr">
        <is>
          <t>DALARNAS LÄN</t>
        </is>
      </c>
      <c r="E137" t="inlineStr">
        <is>
          <t>MALUNG-SÄLEN</t>
        </is>
      </c>
      <c r="G137" t="n">
        <v>7.9</v>
      </c>
      <c r="H137" t="n">
        <v>0</v>
      </c>
      <c r="I137" t="n">
        <v>0</v>
      </c>
      <c r="J137" t="n">
        <v>0</v>
      </c>
      <c r="K137" t="n">
        <v>0</v>
      </c>
      <c r="L137" t="n">
        <v>0</v>
      </c>
      <c r="M137" t="n">
        <v>0</v>
      </c>
      <c r="N137" t="n">
        <v>0</v>
      </c>
      <c r="O137" t="n">
        <v>0</v>
      </c>
      <c r="P137" t="n">
        <v>0</v>
      </c>
      <c r="Q137" t="n">
        <v>0</v>
      </c>
      <c r="R137" s="2" t="inlineStr"/>
    </row>
    <row r="138" ht="15" customHeight="1">
      <c r="A138" t="inlineStr">
        <is>
          <t>A 45738-2019</t>
        </is>
      </c>
      <c r="B138" s="1" t="n">
        <v>43717</v>
      </c>
      <c r="C138" s="1" t="n">
        <v>45852</v>
      </c>
      <c r="D138" t="inlineStr">
        <is>
          <t>DALARNAS LÄN</t>
        </is>
      </c>
      <c r="E138" t="inlineStr">
        <is>
          <t>MALUNG-SÄLEN</t>
        </is>
      </c>
      <c r="G138" t="n">
        <v>3.5</v>
      </c>
      <c r="H138" t="n">
        <v>0</v>
      </c>
      <c r="I138" t="n">
        <v>0</v>
      </c>
      <c r="J138" t="n">
        <v>0</v>
      </c>
      <c r="K138" t="n">
        <v>0</v>
      </c>
      <c r="L138" t="n">
        <v>0</v>
      </c>
      <c r="M138" t="n">
        <v>0</v>
      </c>
      <c r="N138" t="n">
        <v>0</v>
      </c>
      <c r="O138" t="n">
        <v>0</v>
      </c>
      <c r="P138" t="n">
        <v>0</v>
      </c>
      <c r="Q138" t="n">
        <v>0</v>
      </c>
      <c r="R138" s="2" t="inlineStr"/>
    </row>
    <row r="139" ht="15" customHeight="1">
      <c r="A139" t="inlineStr">
        <is>
          <t>A 45750-2019</t>
        </is>
      </c>
      <c r="B139" s="1" t="n">
        <v>43717</v>
      </c>
      <c r="C139" s="1" t="n">
        <v>45852</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45697-2019</t>
        </is>
      </c>
      <c r="B140" s="1" t="n">
        <v>43717</v>
      </c>
      <c r="C140" s="1" t="n">
        <v>45852</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47068-2019</t>
        </is>
      </c>
      <c r="B141" s="1" t="n">
        <v>43720</v>
      </c>
      <c r="C141" s="1" t="n">
        <v>45852</v>
      </c>
      <c r="D141" t="inlineStr">
        <is>
          <t>DALARNAS LÄN</t>
        </is>
      </c>
      <c r="E141" t="inlineStr">
        <is>
          <t>MALUNG-SÄLEN</t>
        </is>
      </c>
      <c r="G141" t="n">
        <v>4.2</v>
      </c>
      <c r="H141" t="n">
        <v>0</v>
      </c>
      <c r="I141" t="n">
        <v>0</v>
      </c>
      <c r="J141" t="n">
        <v>0</v>
      </c>
      <c r="K141" t="n">
        <v>0</v>
      </c>
      <c r="L141" t="n">
        <v>0</v>
      </c>
      <c r="M141" t="n">
        <v>0</v>
      </c>
      <c r="N141" t="n">
        <v>0</v>
      </c>
      <c r="O141" t="n">
        <v>0</v>
      </c>
      <c r="P141" t="n">
        <v>0</v>
      </c>
      <c r="Q141" t="n">
        <v>0</v>
      </c>
      <c r="R141" s="2" t="inlineStr"/>
    </row>
    <row r="142" ht="15" customHeight="1">
      <c r="A142" t="inlineStr">
        <is>
          <t>A 47067-2019</t>
        </is>
      </c>
      <c r="B142" s="1" t="n">
        <v>43720</v>
      </c>
      <c r="C142" s="1" t="n">
        <v>45852</v>
      </c>
      <c r="D142" t="inlineStr">
        <is>
          <t>DALARNAS LÄN</t>
        </is>
      </c>
      <c r="E142" t="inlineStr">
        <is>
          <t>MALUNG-SÄLEN</t>
        </is>
      </c>
      <c r="G142" t="n">
        <v>3.7</v>
      </c>
      <c r="H142" t="n">
        <v>0</v>
      </c>
      <c r="I142" t="n">
        <v>0</v>
      </c>
      <c r="J142" t="n">
        <v>0</v>
      </c>
      <c r="K142" t="n">
        <v>0</v>
      </c>
      <c r="L142" t="n">
        <v>0</v>
      </c>
      <c r="M142" t="n">
        <v>0</v>
      </c>
      <c r="N142" t="n">
        <v>0</v>
      </c>
      <c r="O142" t="n">
        <v>0</v>
      </c>
      <c r="P142" t="n">
        <v>0</v>
      </c>
      <c r="Q142" t="n">
        <v>0</v>
      </c>
      <c r="R142" s="2" t="inlineStr"/>
    </row>
    <row r="143" ht="15" customHeight="1">
      <c r="A143" t="inlineStr">
        <is>
          <t>A 48275-2019</t>
        </is>
      </c>
      <c r="B143" s="1" t="n">
        <v>43726</v>
      </c>
      <c r="C143" s="1" t="n">
        <v>45852</v>
      </c>
      <c r="D143" t="inlineStr">
        <is>
          <t>DALARNAS LÄN</t>
        </is>
      </c>
      <c r="E143" t="inlineStr">
        <is>
          <t>MALUNG-SÄLEN</t>
        </is>
      </c>
      <c r="G143" t="n">
        <v>5.2</v>
      </c>
      <c r="H143" t="n">
        <v>0</v>
      </c>
      <c r="I143" t="n">
        <v>0</v>
      </c>
      <c r="J143" t="n">
        <v>0</v>
      </c>
      <c r="K143" t="n">
        <v>0</v>
      </c>
      <c r="L143" t="n">
        <v>0</v>
      </c>
      <c r="M143" t="n">
        <v>0</v>
      </c>
      <c r="N143" t="n">
        <v>0</v>
      </c>
      <c r="O143" t="n">
        <v>0</v>
      </c>
      <c r="P143" t="n">
        <v>0</v>
      </c>
      <c r="Q143" t="n">
        <v>0</v>
      </c>
      <c r="R143" s="2" t="inlineStr"/>
    </row>
    <row r="144" ht="15" customHeight="1">
      <c r="A144" t="inlineStr">
        <is>
          <t>A 49736-2019</t>
        </is>
      </c>
      <c r="B144" s="1" t="n">
        <v>43733</v>
      </c>
      <c r="C144" s="1" t="n">
        <v>45852</v>
      </c>
      <c r="D144" t="inlineStr">
        <is>
          <t>DALARNAS LÄN</t>
        </is>
      </c>
      <c r="E144" t="inlineStr">
        <is>
          <t>MALUNG-SÄLEN</t>
        </is>
      </c>
      <c r="G144" t="n">
        <v>6.5</v>
      </c>
      <c r="H144" t="n">
        <v>0</v>
      </c>
      <c r="I144" t="n">
        <v>0</v>
      </c>
      <c r="J144" t="n">
        <v>0</v>
      </c>
      <c r="K144" t="n">
        <v>0</v>
      </c>
      <c r="L144" t="n">
        <v>0</v>
      </c>
      <c r="M144" t="n">
        <v>0</v>
      </c>
      <c r="N144" t="n">
        <v>0</v>
      </c>
      <c r="O144" t="n">
        <v>0</v>
      </c>
      <c r="P144" t="n">
        <v>0</v>
      </c>
      <c r="Q144" t="n">
        <v>0</v>
      </c>
      <c r="R144" s="2" t="inlineStr"/>
    </row>
    <row r="145" ht="15" customHeight="1">
      <c r="A145" t="inlineStr">
        <is>
          <t>A 49817-2019</t>
        </is>
      </c>
      <c r="B145" s="1" t="n">
        <v>43733</v>
      </c>
      <c r="C145" s="1" t="n">
        <v>45852</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50160-2019</t>
        </is>
      </c>
      <c r="B146" s="1" t="n">
        <v>43734</v>
      </c>
      <c r="C146" s="1" t="n">
        <v>45852</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50408-2019</t>
        </is>
      </c>
      <c r="B147" s="1" t="n">
        <v>43735</v>
      </c>
      <c r="C147" s="1" t="n">
        <v>45852</v>
      </c>
      <c r="D147" t="inlineStr">
        <is>
          <t>DALARNAS LÄN</t>
        </is>
      </c>
      <c r="E147" t="inlineStr">
        <is>
          <t>MALUNG-SÄLEN</t>
        </is>
      </c>
      <c r="G147" t="n">
        <v>7.3</v>
      </c>
      <c r="H147" t="n">
        <v>0</v>
      </c>
      <c r="I147" t="n">
        <v>0</v>
      </c>
      <c r="J147" t="n">
        <v>0</v>
      </c>
      <c r="K147" t="n">
        <v>0</v>
      </c>
      <c r="L147" t="n">
        <v>0</v>
      </c>
      <c r="M147" t="n">
        <v>0</v>
      </c>
      <c r="N147" t="n">
        <v>0</v>
      </c>
      <c r="O147" t="n">
        <v>0</v>
      </c>
      <c r="P147" t="n">
        <v>0</v>
      </c>
      <c r="Q147" t="n">
        <v>0</v>
      </c>
      <c r="R147" s="2" t="inlineStr"/>
    </row>
    <row r="148" ht="15" customHeight="1">
      <c r="A148" t="inlineStr">
        <is>
          <t>A 50418-2019</t>
        </is>
      </c>
      <c r="B148" s="1" t="n">
        <v>43735</v>
      </c>
      <c r="C148" s="1" t="n">
        <v>45852</v>
      </c>
      <c r="D148" t="inlineStr">
        <is>
          <t>DALARNAS LÄN</t>
        </is>
      </c>
      <c r="E148" t="inlineStr">
        <is>
          <t>MALUNG-SÄLEN</t>
        </is>
      </c>
      <c r="G148" t="n">
        <v>2.5</v>
      </c>
      <c r="H148" t="n">
        <v>0</v>
      </c>
      <c r="I148" t="n">
        <v>0</v>
      </c>
      <c r="J148" t="n">
        <v>0</v>
      </c>
      <c r="K148" t="n">
        <v>0</v>
      </c>
      <c r="L148" t="n">
        <v>0</v>
      </c>
      <c r="M148" t="n">
        <v>0</v>
      </c>
      <c r="N148" t="n">
        <v>0</v>
      </c>
      <c r="O148" t="n">
        <v>0</v>
      </c>
      <c r="P148" t="n">
        <v>0</v>
      </c>
      <c r="Q148" t="n">
        <v>0</v>
      </c>
      <c r="R148" s="2" t="inlineStr"/>
    </row>
    <row r="149" ht="15" customHeight="1">
      <c r="A149" t="inlineStr">
        <is>
          <t>A 50424-2019</t>
        </is>
      </c>
      <c r="B149" s="1" t="n">
        <v>43735</v>
      </c>
      <c r="C149" s="1" t="n">
        <v>45852</v>
      </c>
      <c r="D149" t="inlineStr">
        <is>
          <t>DALARNAS LÄN</t>
        </is>
      </c>
      <c r="E149" t="inlineStr">
        <is>
          <t>MALUNG-SÄLEN</t>
        </is>
      </c>
      <c r="G149" t="n">
        <v>1.6</v>
      </c>
      <c r="H149" t="n">
        <v>0</v>
      </c>
      <c r="I149" t="n">
        <v>0</v>
      </c>
      <c r="J149" t="n">
        <v>0</v>
      </c>
      <c r="K149" t="n">
        <v>0</v>
      </c>
      <c r="L149" t="n">
        <v>0</v>
      </c>
      <c r="M149" t="n">
        <v>0</v>
      </c>
      <c r="N149" t="n">
        <v>0</v>
      </c>
      <c r="O149" t="n">
        <v>0</v>
      </c>
      <c r="P149" t="n">
        <v>0</v>
      </c>
      <c r="Q149" t="n">
        <v>0</v>
      </c>
      <c r="R149" s="2" t="inlineStr"/>
    </row>
    <row r="150" ht="15" customHeight="1">
      <c r="A150" t="inlineStr">
        <is>
          <t>A 50486-2019</t>
        </is>
      </c>
      <c r="B150" s="1" t="n">
        <v>43735</v>
      </c>
      <c r="C150" s="1" t="n">
        <v>45852</v>
      </c>
      <c r="D150" t="inlineStr">
        <is>
          <t>DALARNAS LÄN</t>
        </is>
      </c>
      <c r="E150" t="inlineStr">
        <is>
          <t>MALUNG-SÄLEN</t>
        </is>
      </c>
      <c r="G150" t="n">
        <v>1</v>
      </c>
      <c r="H150" t="n">
        <v>0</v>
      </c>
      <c r="I150" t="n">
        <v>0</v>
      </c>
      <c r="J150" t="n">
        <v>0</v>
      </c>
      <c r="K150" t="n">
        <v>0</v>
      </c>
      <c r="L150" t="n">
        <v>0</v>
      </c>
      <c r="M150" t="n">
        <v>0</v>
      </c>
      <c r="N150" t="n">
        <v>0</v>
      </c>
      <c r="O150" t="n">
        <v>0</v>
      </c>
      <c r="P150" t="n">
        <v>0</v>
      </c>
      <c r="Q150" t="n">
        <v>0</v>
      </c>
      <c r="R150" s="2" t="inlineStr"/>
    </row>
    <row r="151" ht="15" customHeight="1">
      <c r="A151" t="inlineStr">
        <is>
          <t>A 50479-2019</t>
        </is>
      </c>
      <c r="B151" s="1" t="n">
        <v>43735</v>
      </c>
      <c r="C151" s="1" t="n">
        <v>45852</v>
      </c>
      <c r="D151" t="inlineStr">
        <is>
          <t>DALARNAS LÄN</t>
        </is>
      </c>
      <c r="E151" t="inlineStr">
        <is>
          <t>MALUNG-SÄLEN</t>
        </is>
      </c>
      <c r="G151" t="n">
        <v>1.1</v>
      </c>
      <c r="H151" t="n">
        <v>0</v>
      </c>
      <c r="I151" t="n">
        <v>0</v>
      </c>
      <c r="J151" t="n">
        <v>0</v>
      </c>
      <c r="K151" t="n">
        <v>0</v>
      </c>
      <c r="L151" t="n">
        <v>0</v>
      </c>
      <c r="M151" t="n">
        <v>0</v>
      </c>
      <c r="N151" t="n">
        <v>0</v>
      </c>
      <c r="O151" t="n">
        <v>0</v>
      </c>
      <c r="P151" t="n">
        <v>0</v>
      </c>
      <c r="Q151" t="n">
        <v>0</v>
      </c>
      <c r="R151" s="2" t="inlineStr"/>
    </row>
    <row r="152" ht="15" customHeight="1">
      <c r="A152" t="inlineStr">
        <is>
          <t>A 50437-2019</t>
        </is>
      </c>
      <c r="B152" s="1" t="n">
        <v>43735</v>
      </c>
      <c r="C152" s="1" t="n">
        <v>45852</v>
      </c>
      <c r="D152" t="inlineStr">
        <is>
          <t>DALARNAS LÄN</t>
        </is>
      </c>
      <c r="E152" t="inlineStr">
        <is>
          <t>MALUNG-SÄLEN</t>
        </is>
      </c>
      <c r="G152" t="n">
        <v>1.9</v>
      </c>
      <c r="H152" t="n">
        <v>0</v>
      </c>
      <c r="I152" t="n">
        <v>0</v>
      </c>
      <c r="J152" t="n">
        <v>0</v>
      </c>
      <c r="K152" t="n">
        <v>0</v>
      </c>
      <c r="L152" t="n">
        <v>0</v>
      </c>
      <c r="M152" t="n">
        <v>0</v>
      </c>
      <c r="N152" t="n">
        <v>0</v>
      </c>
      <c r="O152" t="n">
        <v>0</v>
      </c>
      <c r="P152" t="n">
        <v>0</v>
      </c>
      <c r="Q152" t="n">
        <v>0</v>
      </c>
      <c r="R152" s="2" t="inlineStr"/>
    </row>
    <row r="153" ht="15" customHeight="1">
      <c r="A153" t="inlineStr">
        <is>
          <t>A 52706-2019</t>
        </is>
      </c>
      <c r="B153" s="1" t="n">
        <v>43739</v>
      </c>
      <c r="C153" s="1" t="n">
        <v>45852</v>
      </c>
      <c r="D153" t="inlineStr">
        <is>
          <t>DALARNAS LÄN</t>
        </is>
      </c>
      <c r="E153" t="inlineStr">
        <is>
          <t>MALUNG-SÄLEN</t>
        </is>
      </c>
      <c r="G153" t="n">
        <v>21</v>
      </c>
      <c r="H153" t="n">
        <v>0</v>
      </c>
      <c r="I153" t="n">
        <v>0</v>
      </c>
      <c r="J153" t="n">
        <v>0</v>
      </c>
      <c r="K153" t="n">
        <v>0</v>
      </c>
      <c r="L153" t="n">
        <v>0</v>
      </c>
      <c r="M153" t="n">
        <v>0</v>
      </c>
      <c r="N153" t="n">
        <v>0</v>
      </c>
      <c r="O153" t="n">
        <v>0</v>
      </c>
      <c r="P153" t="n">
        <v>0</v>
      </c>
      <c r="Q153" t="n">
        <v>0</v>
      </c>
      <c r="R153" s="2" t="inlineStr"/>
    </row>
    <row r="154" ht="15" customHeight="1">
      <c r="A154" t="inlineStr">
        <is>
          <t>A 52719-2019</t>
        </is>
      </c>
      <c r="B154" s="1" t="n">
        <v>43739</v>
      </c>
      <c r="C154" s="1" t="n">
        <v>45852</v>
      </c>
      <c r="D154" t="inlineStr">
        <is>
          <t>DALARNAS LÄN</t>
        </is>
      </c>
      <c r="E154" t="inlineStr">
        <is>
          <t>MALUNG-SÄLEN</t>
        </is>
      </c>
      <c r="G154" t="n">
        <v>9</v>
      </c>
      <c r="H154" t="n">
        <v>0</v>
      </c>
      <c r="I154" t="n">
        <v>0</v>
      </c>
      <c r="J154" t="n">
        <v>0</v>
      </c>
      <c r="K154" t="n">
        <v>0</v>
      </c>
      <c r="L154" t="n">
        <v>0</v>
      </c>
      <c r="M154" t="n">
        <v>0</v>
      </c>
      <c r="N154" t="n">
        <v>0</v>
      </c>
      <c r="O154" t="n">
        <v>0</v>
      </c>
      <c r="P154" t="n">
        <v>0</v>
      </c>
      <c r="Q154" t="n">
        <v>0</v>
      </c>
      <c r="R154" s="2" t="inlineStr"/>
    </row>
    <row r="155" ht="15" customHeight="1">
      <c r="A155" t="inlineStr">
        <is>
          <t>A 53100-2019</t>
        </is>
      </c>
      <c r="B155" s="1" t="n">
        <v>43747</v>
      </c>
      <c r="C155" s="1" t="n">
        <v>45852</v>
      </c>
      <c r="D155" t="inlineStr">
        <is>
          <t>DALARNAS LÄN</t>
        </is>
      </c>
      <c r="E155" t="inlineStr">
        <is>
          <t>MALUNG-SÄLEN</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53740-2019</t>
        </is>
      </c>
      <c r="B156" s="1" t="n">
        <v>43749</v>
      </c>
      <c r="C156" s="1" t="n">
        <v>45852</v>
      </c>
      <c r="D156" t="inlineStr">
        <is>
          <t>DALARNAS LÄN</t>
        </is>
      </c>
      <c r="E156" t="inlineStr">
        <is>
          <t>MALUNG-SÄLEN</t>
        </is>
      </c>
      <c r="G156" t="n">
        <v>4.3</v>
      </c>
      <c r="H156" t="n">
        <v>0</v>
      </c>
      <c r="I156" t="n">
        <v>0</v>
      </c>
      <c r="J156" t="n">
        <v>0</v>
      </c>
      <c r="K156" t="n">
        <v>0</v>
      </c>
      <c r="L156" t="n">
        <v>0</v>
      </c>
      <c r="M156" t="n">
        <v>0</v>
      </c>
      <c r="N156" t="n">
        <v>0</v>
      </c>
      <c r="O156" t="n">
        <v>0</v>
      </c>
      <c r="P156" t="n">
        <v>0</v>
      </c>
      <c r="Q156" t="n">
        <v>0</v>
      </c>
      <c r="R156" s="2" t="inlineStr"/>
    </row>
    <row r="157" ht="15" customHeight="1">
      <c r="A157" t="inlineStr">
        <is>
          <t>A 57052-2019</t>
        </is>
      </c>
      <c r="B157" s="1" t="n">
        <v>43762</v>
      </c>
      <c r="C157" s="1" t="n">
        <v>45852</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56523-2019</t>
        </is>
      </c>
      <c r="B158" s="1" t="n">
        <v>43763</v>
      </c>
      <c r="C158" s="1" t="n">
        <v>45852</v>
      </c>
      <c r="D158" t="inlineStr">
        <is>
          <t>DALARNAS LÄN</t>
        </is>
      </c>
      <c r="E158" t="inlineStr">
        <is>
          <t>MALUNG-SÄLEN</t>
        </is>
      </c>
      <c r="G158" t="n">
        <v>2.2</v>
      </c>
      <c r="H158" t="n">
        <v>0</v>
      </c>
      <c r="I158" t="n">
        <v>0</v>
      </c>
      <c r="J158" t="n">
        <v>0</v>
      </c>
      <c r="K158" t="n">
        <v>0</v>
      </c>
      <c r="L158" t="n">
        <v>0</v>
      </c>
      <c r="M158" t="n">
        <v>0</v>
      </c>
      <c r="N158" t="n">
        <v>0</v>
      </c>
      <c r="O158" t="n">
        <v>0</v>
      </c>
      <c r="P158" t="n">
        <v>0</v>
      </c>
      <c r="Q158" t="n">
        <v>0</v>
      </c>
      <c r="R158" s="2" t="inlineStr"/>
    </row>
    <row r="159" ht="15" customHeight="1">
      <c r="A159" t="inlineStr">
        <is>
          <t>A 57243-2019</t>
        </is>
      </c>
      <c r="B159" s="1" t="n">
        <v>43767</v>
      </c>
      <c r="C159" s="1" t="n">
        <v>45852</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57486-2019</t>
        </is>
      </c>
      <c r="B160" s="1" t="n">
        <v>43767</v>
      </c>
      <c r="C160" s="1" t="n">
        <v>45852</v>
      </c>
      <c r="D160" t="inlineStr">
        <is>
          <t>DALARNAS LÄN</t>
        </is>
      </c>
      <c r="E160" t="inlineStr">
        <is>
          <t>MALUNG-SÄLEN</t>
        </is>
      </c>
      <c r="F160" t="inlineStr">
        <is>
          <t>Övriga statliga verk och myndigheter</t>
        </is>
      </c>
      <c r="G160" t="n">
        <v>6.9</v>
      </c>
      <c r="H160" t="n">
        <v>0</v>
      </c>
      <c r="I160" t="n">
        <v>0</v>
      </c>
      <c r="J160" t="n">
        <v>0</v>
      </c>
      <c r="K160" t="n">
        <v>0</v>
      </c>
      <c r="L160" t="n">
        <v>0</v>
      </c>
      <c r="M160" t="n">
        <v>0</v>
      </c>
      <c r="N160" t="n">
        <v>0</v>
      </c>
      <c r="O160" t="n">
        <v>0</v>
      </c>
      <c r="P160" t="n">
        <v>0</v>
      </c>
      <c r="Q160" t="n">
        <v>0</v>
      </c>
      <c r="R160" s="2" t="inlineStr"/>
    </row>
    <row r="161" ht="15" customHeight="1">
      <c r="A161" t="inlineStr">
        <is>
          <t>A 60957-2019</t>
        </is>
      </c>
      <c r="B161" s="1" t="n">
        <v>43782</v>
      </c>
      <c r="C161" s="1" t="n">
        <v>45852</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61100-2019</t>
        </is>
      </c>
      <c r="B162" s="1" t="n">
        <v>43782</v>
      </c>
      <c r="C162" s="1" t="n">
        <v>45852</v>
      </c>
      <c r="D162" t="inlineStr">
        <is>
          <t>DALARNAS LÄN</t>
        </is>
      </c>
      <c r="E162" t="inlineStr">
        <is>
          <t>MALUNG-SÄLEN</t>
        </is>
      </c>
      <c r="F162" t="inlineStr">
        <is>
          <t>Bergvik skog väst AB</t>
        </is>
      </c>
      <c r="G162" t="n">
        <v>13.7</v>
      </c>
      <c r="H162" t="n">
        <v>0</v>
      </c>
      <c r="I162" t="n">
        <v>0</v>
      </c>
      <c r="J162" t="n">
        <v>0</v>
      </c>
      <c r="K162" t="n">
        <v>0</v>
      </c>
      <c r="L162" t="n">
        <v>0</v>
      </c>
      <c r="M162" t="n">
        <v>0</v>
      </c>
      <c r="N162" t="n">
        <v>0</v>
      </c>
      <c r="O162" t="n">
        <v>0</v>
      </c>
      <c r="P162" t="n">
        <v>0</v>
      </c>
      <c r="Q162" t="n">
        <v>0</v>
      </c>
      <c r="R162" s="2" t="inlineStr"/>
    </row>
    <row r="163" ht="15" customHeight="1">
      <c r="A163" t="inlineStr">
        <is>
          <t>A 61280-2019</t>
        </is>
      </c>
      <c r="B163" s="1" t="n">
        <v>43783</v>
      </c>
      <c r="C163" s="1" t="n">
        <v>45852</v>
      </c>
      <c r="D163" t="inlineStr">
        <is>
          <t>DALARNAS LÄN</t>
        </is>
      </c>
      <c r="E163" t="inlineStr">
        <is>
          <t>MALUNG-SÄLEN</t>
        </is>
      </c>
      <c r="G163" t="n">
        <v>4.4</v>
      </c>
      <c r="H163" t="n">
        <v>0</v>
      </c>
      <c r="I163" t="n">
        <v>0</v>
      </c>
      <c r="J163" t="n">
        <v>0</v>
      </c>
      <c r="K163" t="n">
        <v>0</v>
      </c>
      <c r="L163" t="n">
        <v>0</v>
      </c>
      <c r="M163" t="n">
        <v>0</v>
      </c>
      <c r="N163" t="n">
        <v>0</v>
      </c>
      <c r="O163" t="n">
        <v>0</v>
      </c>
      <c r="P163" t="n">
        <v>0</v>
      </c>
      <c r="Q163" t="n">
        <v>0</v>
      </c>
      <c r="R163" s="2" t="inlineStr"/>
    </row>
    <row r="164" ht="15" customHeight="1">
      <c r="A164" t="inlineStr">
        <is>
          <t>A 63333-2019</t>
        </is>
      </c>
      <c r="B164" s="1" t="n">
        <v>43787</v>
      </c>
      <c r="C164" s="1" t="n">
        <v>45852</v>
      </c>
      <c r="D164" t="inlineStr">
        <is>
          <t>DALARNAS LÄN</t>
        </is>
      </c>
      <c r="E164" t="inlineStr">
        <is>
          <t>MALUNG-SÄLEN</t>
        </is>
      </c>
      <c r="F164" t="inlineStr">
        <is>
          <t>Allmännings- och besparingsskogar</t>
        </is>
      </c>
      <c r="G164" t="n">
        <v>34.6</v>
      </c>
      <c r="H164" t="n">
        <v>0</v>
      </c>
      <c r="I164" t="n">
        <v>0</v>
      </c>
      <c r="J164" t="n">
        <v>0</v>
      </c>
      <c r="K164" t="n">
        <v>0</v>
      </c>
      <c r="L164" t="n">
        <v>0</v>
      </c>
      <c r="M164" t="n">
        <v>0</v>
      </c>
      <c r="N164" t="n">
        <v>0</v>
      </c>
      <c r="O164" t="n">
        <v>0</v>
      </c>
      <c r="P164" t="n">
        <v>0</v>
      </c>
      <c r="Q164" t="n">
        <v>0</v>
      </c>
      <c r="R164" s="2" t="inlineStr"/>
    </row>
    <row r="165" ht="15" customHeight="1">
      <c r="A165" t="inlineStr">
        <is>
          <t>A 62247-2019</t>
        </is>
      </c>
      <c r="B165" s="1" t="n">
        <v>43788</v>
      </c>
      <c r="C165" s="1" t="n">
        <v>45852</v>
      </c>
      <c r="D165" t="inlineStr">
        <is>
          <t>DALARNAS LÄN</t>
        </is>
      </c>
      <c r="E165" t="inlineStr">
        <is>
          <t>MALUNG-SÄLEN</t>
        </is>
      </c>
      <c r="G165" t="n">
        <v>0.5</v>
      </c>
      <c r="H165" t="n">
        <v>0</v>
      </c>
      <c r="I165" t="n">
        <v>0</v>
      </c>
      <c r="J165" t="n">
        <v>0</v>
      </c>
      <c r="K165" t="n">
        <v>0</v>
      </c>
      <c r="L165" t="n">
        <v>0</v>
      </c>
      <c r="M165" t="n">
        <v>0</v>
      </c>
      <c r="N165" t="n">
        <v>0</v>
      </c>
      <c r="O165" t="n">
        <v>0</v>
      </c>
      <c r="P165" t="n">
        <v>0</v>
      </c>
      <c r="Q165" t="n">
        <v>0</v>
      </c>
      <c r="R165" s="2" t="inlineStr"/>
    </row>
    <row r="166" ht="15" customHeight="1">
      <c r="A166" t="inlineStr">
        <is>
          <t>A 62248-2019</t>
        </is>
      </c>
      <c r="B166" s="1" t="n">
        <v>43788</v>
      </c>
      <c r="C166" s="1" t="n">
        <v>45852</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62312-2019</t>
        </is>
      </c>
      <c r="B167" s="1" t="n">
        <v>43788</v>
      </c>
      <c r="C167" s="1" t="n">
        <v>45852</v>
      </c>
      <c r="D167" t="inlineStr">
        <is>
          <t>DALARNAS LÄN</t>
        </is>
      </c>
      <c r="E167" t="inlineStr">
        <is>
          <t>MALUNG-SÄLEN</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67339-2019</t>
        </is>
      </c>
      <c r="B168" s="1" t="n">
        <v>43812</v>
      </c>
      <c r="C168" s="1" t="n">
        <v>45852</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68789-2019</t>
        </is>
      </c>
      <c r="B169" s="1" t="n">
        <v>43819</v>
      </c>
      <c r="C169" s="1" t="n">
        <v>45852</v>
      </c>
      <c r="D169" t="inlineStr">
        <is>
          <t>DALARNAS LÄN</t>
        </is>
      </c>
      <c r="E169" t="inlineStr">
        <is>
          <t>MALUNG-SÄLEN</t>
        </is>
      </c>
      <c r="G169" t="n">
        <v>2</v>
      </c>
      <c r="H169" t="n">
        <v>0</v>
      </c>
      <c r="I169" t="n">
        <v>0</v>
      </c>
      <c r="J169" t="n">
        <v>0</v>
      </c>
      <c r="K169" t="n">
        <v>0</v>
      </c>
      <c r="L169" t="n">
        <v>0</v>
      </c>
      <c r="M169" t="n">
        <v>0</v>
      </c>
      <c r="N169" t="n">
        <v>0</v>
      </c>
      <c r="O169" t="n">
        <v>0</v>
      </c>
      <c r="P169" t="n">
        <v>0</v>
      </c>
      <c r="Q169" t="n">
        <v>0</v>
      </c>
      <c r="R169" s="2" t="inlineStr"/>
    </row>
    <row r="170" ht="15" customHeight="1">
      <c r="A170" t="inlineStr">
        <is>
          <t>A 337-2020</t>
        </is>
      </c>
      <c r="B170" s="1" t="n">
        <v>43837</v>
      </c>
      <c r="C170" s="1" t="n">
        <v>45852</v>
      </c>
      <c r="D170" t="inlineStr">
        <is>
          <t>DALARNAS LÄN</t>
        </is>
      </c>
      <c r="E170" t="inlineStr">
        <is>
          <t>MALUNG-SÄLEN</t>
        </is>
      </c>
      <c r="G170" t="n">
        <v>0.8</v>
      </c>
      <c r="H170" t="n">
        <v>0</v>
      </c>
      <c r="I170" t="n">
        <v>0</v>
      </c>
      <c r="J170" t="n">
        <v>0</v>
      </c>
      <c r="K170" t="n">
        <v>0</v>
      </c>
      <c r="L170" t="n">
        <v>0</v>
      </c>
      <c r="M170" t="n">
        <v>0</v>
      </c>
      <c r="N170" t="n">
        <v>0</v>
      </c>
      <c r="O170" t="n">
        <v>0</v>
      </c>
      <c r="P170" t="n">
        <v>0</v>
      </c>
      <c r="Q170" t="n">
        <v>0</v>
      </c>
      <c r="R170" s="2" t="inlineStr"/>
    </row>
    <row r="171" ht="15" customHeight="1">
      <c r="A171" t="inlineStr">
        <is>
          <t>A 2198-2020</t>
        </is>
      </c>
      <c r="B171" s="1" t="n">
        <v>43839</v>
      </c>
      <c r="C171" s="1" t="n">
        <v>45852</v>
      </c>
      <c r="D171" t="inlineStr">
        <is>
          <t>DALARNAS LÄN</t>
        </is>
      </c>
      <c r="E171" t="inlineStr">
        <is>
          <t>MALUNG-SÄLEN</t>
        </is>
      </c>
      <c r="G171" t="n">
        <v>0.3</v>
      </c>
      <c r="H171" t="n">
        <v>0</v>
      </c>
      <c r="I171" t="n">
        <v>0</v>
      </c>
      <c r="J171" t="n">
        <v>0</v>
      </c>
      <c r="K171" t="n">
        <v>0</v>
      </c>
      <c r="L171" t="n">
        <v>0</v>
      </c>
      <c r="M171" t="n">
        <v>0</v>
      </c>
      <c r="N171" t="n">
        <v>0</v>
      </c>
      <c r="O171" t="n">
        <v>0</v>
      </c>
      <c r="P171" t="n">
        <v>0</v>
      </c>
      <c r="Q171" t="n">
        <v>0</v>
      </c>
      <c r="R171" s="2" t="inlineStr"/>
    </row>
    <row r="172" ht="15" customHeight="1">
      <c r="A172" t="inlineStr">
        <is>
          <t>A 4747-2020</t>
        </is>
      </c>
      <c r="B172" s="1" t="n">
        <v>43859</v>
      </c>
      <c r="C172" s="1" t="n">
        <v>45852</v>
      </c>
      <c r="D172" t="inlineStr">
        <is>
          <t>DALARNAS LÄN</t>
        </is>
      </c>
      <c r="E172" t="inlineStr">
        <is>
          <t>MALUNG-SÄLEN</t>
        </is>
      </c>
      <c r="F172" t="inlineStr">
        <is>
          <t>Allmännings- och besparingsskogar</t>
        </is>
      </c>
      <c r="G172" t="n">
        <v>27.6</v>
      </c>
      <c r="H172" t="n">
        <v>0</v>
      </c>
      <c r="I172" t="n">
        <v>0</v>
      </c>
      <c r="J172" t="n">
        <v>0</v>
      </c>
      <c r="K172" t="n">
        <v>0</v>
      </c>
      <c r="L172" t="n">
        <v>0</v>
      </c>
      <c r="M172" t="n">
        <v>0</v>
      </c>
      <c r="N172" t="n">
        <v>0</v>
      </c>
      <c r="O172" t="n">
        <v>0</v>
      </c>
      <c r="P172" t="n">
        <v>0</v>
      </c>
      <c r="Q172" t="n">
        <v>0</v>
      </c>
      <c r="R172" s="2" t="inlineStr"/>
    </row>
    <row r="173" ht="15" customHeight="1">
      <c r="A173" t="inlineStr">
        <is>
          <t>A 8728-2020</t>
        </is>
      </c>
      <c r="B173" s="1" t="n">
        <v>43878</v>
      </c>
      <c r="C173" s="1" t="n">
        <v>45852</v>
      </c>
      <c r="D173" t="inlineStr">
        <is>
          <t>DALARNAS LÄN</t>
        </is>
      </c>
      <c r="E173" t="inlineStr">
        <is>
          <t>MALUNG-SÄLEN</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8737-2020</t>
        </is>
      </c>
      <c r="B174" s="1" t="n">
        <v>43878</v>
      </c>
      <c r="C174" s="1" t="n">
        <v>45852</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10447-2020</t>
        </is>
      </c>
      <c r="B175" s="1" t="n">
        <v>43886</v>
      </c>
      <c r="C175" s="1" t="n">
        <v>45852</v>
      </c>
      <c r="D175" t="inlineStr">
        <is>
          <t>DALARNAS LÄN</t>
        </is>
      </c>
      <c r="E175" t="inlineStr">
        <is>
          <t>MALUNG-SÄLEN</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11273-2020</t>
        </is>
      </c>
      <c r="B176" s="1" t="n">
        <v>43888</v>
      </c>
      <c r="C176" s="1" t="n">
        <v>45852</v>
      </c>
      <c r="D176" t="inlineStr">
        <is>
          <t>DALARNAS LÄN</t>
        </is>
      </c>
      <c r="E176" t="inlineStr">
        <is>
          <t>MALUNG-SÄLEN</t>
        </is>
      </c>
      <c r="G176" t="n">
        <v>0.6</v>
      </c>
      <c r="H176" t="n">
        <v>0</v>
      </c>
      <c r="I176" t="n">
        <v>0</v>
      </c>
      <c r="J176" t="n">
        <v>0</v>
      </c>
      <c r="K176" t="n">
        <v>0</v>
      </c>
      <c r="L176" t="n">
        <v>0</v>
      </c>
      <c r="M176" t="n">
        <v>0</v>
      </c>
      <c r="N176" t="n">
        <v>0</v>
      </c>
      <c r="O176" t="n">
        <v>0</v>
      </c>
      <c r="P176" t="n">
        <v>0</v>
      </c>
      <c r="Q176" t="n">
        <v>0</v>
      </c>
      <c r="R176" s="2" t="inlineStr"/>
    </row>
    <row r="177" ht="15" customHeight="1">
      <c r="A177" t="inlineStr">
        <is>
          <t>A 12791-2020</t>
        </is>
      </c>
      <c r="B177" s="1" t="n">
        <v>43894</v>
      </c>
      <c r="C177" s="1" t="n">
        <v>45852</v>
      </c>
      <c r="D177" t="inlineStr">
        <is>
          <t>DALARNAS LÄN</t>
        </is>
      </c>
      <c r="E177" t="inlineStr">
        <is>
          <t>MALUNG-SÄLEN</t>
        </is>
      </c>
      <c r="F177" t="inlineStr">
        <is>
          <t>Allmännings- och besparingsskogar</t>
        </is>
      </c>
      <c r="G177" t="n">
        <v>0.6</v>
      </c>
      <c r="H177" t="n">
        <v>0</v>
      </c>
      <c r="I177" t="n">
        <v>0</v>
      </c>
      <c r="J177" t="n">
        <v>0</v>
      </c>
      <c r="K177" t="n">
        <v>0</v>
      </c>
      <c r="L177" t="n">
        <v>0</v>
      </c>
      <c r="M177" t="n">
        <v>0</v>
      </c>
      <c r="N177" t="n">
        <v>0</v>
      </c>
      <c r="O177" t="n">
        <v>0</v>
      </c>
      <c r="P177" t="n">
        <v>0</v>
      </c>
      <c r="Q177" t="n">
        <v>0</v>
      </c>
      <c r="R177" s="2" t="inlineStr"/>
    </row>
    <row r="178" ht="15" customHeight="1">
      <c r="A178" t="inlineStr">
        <is>
          <t>A 14922-2020</t>
        </is>
      </c>
      <c r="B178" s="1" t="n">
        <v>43906</v>
      </c>
      <c r="C178" s="1" t="n">
        <v>45852</v>
      </c>
      <c r="D178" t="inlineStr">
        <is>
          <t>DALARNAS LÄN</t>
        </is>
      </c>
      <c r="E178" t="inlineStr">
        <is>
          <t>MALUNG-SÄLEN</t>
        </is>
      </c>
      <c r="G178" t="n">
        <v>2.3</v>
      </c>
      <c r="H178" t="n">
        <v>0</v>
      </c>
      <c r="I178" t="n">
        <v>0</v>
      </c>
      <c r="J178" t="n">
        <v>0</v>
      </c>
      <c r="K178" t="n">
        <v>0</v>
      </c>
      <c r="L178" t="n">
        <v>0</v>
      </c>
      <c r="M178" t="n">
        <v>0</v>
      </c>
      <c r="N178" t="n">
        <v>0</v>
      </c>
      <c r="O178" t="n">
        <v>0</v>
      </c>
      <c r="P178" t="n">
        <v>0</v>
      </c>
      <c r="Q178" t="n">
        <v>0</v>
      </c>
      <c r="R178" s="2" t="inlineStr"/>
    </row>
    <row r="179" ht="15" customHeight="1">
      <c r="A179" t="inlineStr">
        <is>
          <t>A 14265-2020</t>
        </is>
      </c>
      <c r="B179" s="1" t="n">
        <v>43907</v>
      </c>
      <c r="C179" s="1" t="n">
        <v>45852</v>
      </c>
      <c r="D179" t="inlineStr">
        <is>
          <t>DALARNAS LÄN</t>
        </is>
      </c>
      <c r="E179" t="inlineStr">
        <is>
          <t>MALUNG-SÄLEN</t>
        </is>
      </c>
      <c r="G179" t="n">
        <v>0.9</v>
      </c>
      <c r="H179" t="n">
        <v>0</v>
      </c>
      <c r="I179" t="n">
        <v>0</v>
      </c>
      <c r="J179" t="n">
        <v>0</v>
      </c>
      <c r="K179" t="n">
        <v>0</v>
      </c>
      <c r="L179" t="n">
        <v>0</v>
      </c>
      <c r="M179" t="n">
        <v>0</v>
      </c>
      <c r="N179" t="n">
        <v>0</v>
      </c>
      <c r="O179" t="n">
        <v>0</v>
      </c>
      <c r="P179" t="n">
        <v>0</v>
      </c>
      <c r="Q179" t="n">
        <v>0</v>
      </c>
      <c r="R179" s="2" t="inlineStr"/>
    </row>
    <row r="180" ht="15" customHeight="1">
      <c r="A180" t="inlineStr">
        <is>
          <t>A 14260-2020</t>
        </is>
      </c>
      <c r="B180" s="1" t="n">
        <v>43907</v>
      </c>
      <c r="C180" s="1" t="n">
        <v>45852</v>
      </c>
      <c r="D180" t="inlineStr">
        <is>
          <t>DALARNAS LÄN</t>
        </is>
      </c>
      <c r="E180" t="inlineStr">
        <is>
          <t>MALUNG-SÄLEN</t>
        </is>
      </c>
      <c r="G180" t="n">
        <v>2.8</v>
      </c>
      <c r="H180" t="n">
        <v>0</v>
      </c>
      <c r="I180" t="n">
        <v>0</v>
      </c>
      <c r="J180" t="n">
        <v>0</v>
      </c>
      <c r="K180" t="n">
        <v>0</v>
      </c>
      <c r="L180" t="n">
        <v>0</v>
      </c>
      <c r="M180" t="n">
        <v>0</v>
      </c>
      <c r="N180" t="n">
        <v>0</v>
      </c>
      <c r="O180" t="n">
        <v>0</v>
      </c>
      <c r="P180" t="n">
        <v>0</v>
      </c>
      <c r="Q180" t="n">
        <v>0</v>
      </c>
      <c r="R180" s="2" t="inlineStr"/>
    </row>
    <row r="181" ht="15" customHeight="1">
      <c r="A181" t="inlineStr">
        <is>
          <t>A 15207-2020</t>
        </is>
      </c>
      <c r="B181" s="1" t="n">
        <v>43909</v>
      </c>
      <c r="C181" s="1" t="n">
        <v>45852</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17366-2020</t>
        </is>
      </c>
      <c r="B182" s="1" t="n">
        <v>43923</v>
      </c>
      <c r="C182" s="1" t="n">
        <v>45852</v>
      </c>
      <c r="D182" t="inlineStr">
        <is>
          <t>DALARNAS LÄN</t>
        </is>
      </c>
      <c r="E182" t="inlineStr">
        <is>
          <t>MALUNG-SÄLEN</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17712-2020</t>
        </is>
      </c>
      <c r="B183" s="1" t="n">
        <v>43924</v>
      </c>
      <c r="C183" s="1" t="n">
        <v>45852</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18150-2020</t>
        </is>
      </c>
      <c r="B184" s="1" t="n">
        <v>43927</v>
      </c>
      <c r="C184" s="1" t="n">
        <v>45852</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18625-2020</t>
        </is>
      </c>
      <c r="B185" s="1" t="n">
        <v>43928</v>
      </c>
      <c r="C185" s="1" t="n">
        <v>45852</v>
      </c>
      <c r="D185" t="inlineStr">
        <is>
          <t>DALARNAS LÄN</t>
        </is>
      </c>
      <c r="E185" t="inlineStr">
        <is>
          <t>MALUNG-SÄLEN</t>
        </is>
      </c>
      <c r="G185" t="n">
        <v>1.1</v>
      </c>
      <c r="H185" t="n">
        <v>0</v>
      </c>
      <c r="I185" t="n">
        <v>0</v>
      </c>
      <c r="J185" t="n">
        <v>0</v>
      </c>
      <c r="K185" t="n">
        <v>0</v>
      </c>
      <c r="L185" t="n">
        <v>0</v>
      </c>
      <c r="M185" t="n">
        <v>0</v>
      </c>
      <c r="N185" t="n">
        <v>0</v>
      </c>
      <c r="O185" t="n">
        <v>0</v>
      </c>
      <c r="P185" t="n">
        <v>0</v>
      </c>
      <c r="Q185" t="n">
        <v>0</v>
      </c>
      <c r="R185" s="2" t="inlineStr"/>
    </row>
    <row r="186" ht="15" customHeight="1">
      <c r="A186" t="inlineStr">
        <is>
          <t>A 18751-2020</t>
        </is>
      </c>
      <c r="B186" s="1" t="n">
        <v>43930</v>
      </c>
      <c r="C186" s="1" t="n">
        <v>45852</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19366-2020</t>
        </is>
      </c>
      <c r="B187" s="1" t="n">
        <v>43938</v>
      </c>
      <c r="C187" s="1" t="n">
        <v>45852</v>
      </c>
      <c r="D187" t="inlineStr">
        <is>
          <t>DALARNAS LÄN</t>
        </is>
      </c>
      <c r="E187" t="inlineStr">
        <is>
          <t>MALUNG-SÄLEN</t>
        </is>
      </c>
      <c r="G187" t="n">
        <v>2.9</v>
      </c>
      <c r="H187" t="n">
        <v>0</v>
      </c>
      <c r="I187" t="n">
        <v>0</v>
      </c>
      <c r="J187" t="n">
        <v>0</v>
      </c>
      <c r="K187" t="n">
        <v>0</v>
      </c>
      <c r="L187" t="n">
        <v>0</v>
      </c>
      <c r="M187" t="n">
        <v>0</v>
      </c>
      <c r="N187" t="n">
        <v>0</v>
      </c>
      <c r="O187" t="n">
        <v>0</v>
      </c>
      <c r="P187" t="n">
        <v>0</v>
      </c>
      <c r="Q187" t="n">
        <v>0</v>
      </c>
      <c r="R187" s="2" t="inlineStr"/>
    </row>
    <row r="188" ht="15" customHeight="1">
      <c r="A188" t="inlineStr">
        <is>
          <t>A 20042-2020</t>
        </is>
      </c>
      <c r="B188" s="1" t="n">
        <v>43943</v>
      </c>
      <c r="C188" s="1" t="n">
        <v>45852</v>
      </c>
      <c r="D188" t="inlineStr">
        <is>
          <t>DALARNAS LÄN</t>
        </is>
      </c>
      <c r="E188" t="inlineStr">
        <is>
          <t>MALUNG-SÄLEN</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20360-2020</t>
        </is>
      </c>
      <c r="B189" s="1" t="n">
        <v>43945</v>
      </c>
      <c r="C189" s="1" t="n">
        <v>45852</v>
      </c>
      <c r="D189" t="inlineStr">
        <is>
          <t>DALARNAS LÄN</t>
        </is>
      </c>
      <c r="E189" t="inlineStr">
        <is>
          <t>MALUNG-SÄLEN</t>
        </is>
      </c>
      <c r="G189" t="n">
        <v>4.2</v>
      </c>
      <c r="H189" t="n">
        <v>0</v>
      </c>
      <c r="I189" t="n">
        <v>0</v>
      </c>
      <c r="J189" t="n">
        <v>0</v>
      </c>
      <c r="K189" t="n">
        <v>0</v>
      </c>
      <c r="L189" t="n">
        <v>0</v>
      </c>
      <c r="M189" t="n">
        <v>0</v>
      </c>
      <c r="N189" t="n">
        <v>0</v>
      </c>
      <c r="O189" t="n">
        <v>0</v>
      </c>
      <c r="P189" t="n">
        <v>0</v>
      </c>
      <c r="Q189" t="n">
        <v>0</v>
      </c>
      <c r="R189" s="2" t="inlineStr"/>
    </row>
    <row r="190" ht="15" customHeight="1">
      <c r="A190" t="inlineStr">
        <is>
          <t>A 23815-2020</t>
        </is>
      </c>
      <c r="B190" s="1" t="n">
        <v>43970</v>
      </c>
      <c r="C190" s="1" t="n">
        <v>45852</v>
      </c>
      <c r="D190" t="inlineStr">
        <is>
          <t>DALARNAS LÄN</t>
        </is>
      </c>
      <c r="E190" t="inlineStr">
        <is>
          <t>MALUNG-SÄLEN</t>
        </is>
      </c>
      <c r="G190" t="n">
        <v>2.7</v>
      </c>
      <c r="H190" t="n">
        <v>0</v>
      </c>
      <c r="I190" t="n">
        <v>0</v>
      </c>
      <c r="J190" t="n">
        <v>0</v>
      </c>
      <c r="K190" t="n">
        <v>0</v>
      </c>
      <c r="L190" t="n">
        <v>0</v>
      </c>
      <c r="M190" t="n">
        <v>0</v>
      </c>
      <c r="N190" t="n">
        <v>0</v>
      </c>
      <c r="O190" t="n">
        <v>0</v>
      </c>
      <c r="P190" t="n">
        <v>0</v>
      </c>
      <c r="Q190" t="n">
        <v>0</v>
      </c>
      <c r="R190" s="2" t="inlineStr"/>
    </row>
    <row r="191" ht="15" customHeight="1">
      <c r="A191" t="inlineStr">
        <is>
          <t>A 24942-2020</t>
        </is>
      </c>
      <c r="B191" s="1" t="n">
        <v>43979</v>
      </c>
      <c r="C191" s="1" t="n">
        <v>45852</v>
      </c>
      <c r="D191" t="inlineStr">
        <is>
          <t>DALARNAS LÄN</t>
        </is>
      </c>
      <c r="E191" t="inlineStr">
        <is>
          <t>MALUNG-SÄLEN</t>
        </is>
      </c>
      <c r="F191" t="inlineStr">
        <is>
          <t>Bergvik skog öst AB</t>
        </is>
      </c>
      <c r="G191" t="n">
        <v>3.2</v>
      </c>
      <c r="H191" t="n">
        <v>0</v>
      </c>
      <c r="I191" t="n">
        <v>0</v>
      </c>
      <c r="J191" t="n">
        <v>0</v>
      </c>
      <c r="K191" t="n">
        <v>0</v>
      </c>
      <c r="L191" t="n">
        <v>0</v>
      </c>
      <c r="M191" t="n">
        <v>0</v>
      </c>
      <c r="N191" t="n">
        <v>0</v>
      </c>
      <c r="O191" t="n">
        <v>0</v>
      </c>
      <c r="P191" t="n">
        <v>0</v>
      </c>
      <c r="Q191" t="n">
        <v>0</v>
      </c>
      <c r="R191" s="2" t="inlineStr"/>
    </row>
    <row r="192" ht="15" customHeight="1">
      <c r="A192" t="inlineStr">
        <is>
          <t>A 26299-2020</t>
        </is>
      </c>
      <c r="B192" s="1" t="n">
        <v>43986</v>
      </c>
      <c r="C192" s="1" t="n">
        <v>45852</v>
      </c>
      <c r="D192" t="inlineStr">
        <is>
          <t>DALARNAS LÄN</t>
        </is>
      </c>
      <c r="E192" t="inlineStr">
        <is>
          <t>MALUNG-SÄLEN</t>
        </is>
      </c>
      <c r="G192" t="n">
        <v>1.9</v>
      </c>
      <c r="H192" t="n">
        <v>0</v>
      </c>
      <c r="I192" t="n">
        <v>0</v>
      </c>
      <c r="J192" t="n">
        <v>0</v>
      </c>
      <c r="K192" t="n">
        <v>0</v>
      </c>
      <c r="L192" t="n">
        <v>0</v>
      </c>
      <c r="M192" t="n">
        <v>0</v>
      </c>
      <c r="N192" t="n">
        <v>0</v>
      </c>
      <c r="O192" t="n">
        <v>0</v>
      </c>
      <c r="P192" t="n">
        <v>0</v>
      </c>
      <c r="Q192" t="n">
        <v>0</v>
      </c>
      <c r="R192" s="2" t="inlineStr"/>
    </row>
    <row r="193" ht="15" customHeight="1">
      <c r="A193" t="inlineStr">
        <is>
          <t>A 26305-2020</t>
        </is>
      </c>
      <c r="B193" s="1" t="n">
        <v>43986</v>
      </c>
      <c r="C193" s="1" t="n">
        <v>45852</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26303-2020</t>
        </is>
      </c>
      <c r="B194" s="1" t="n">
        <v>43986</v>
      </c>
      <c r="C194" s="1" t="n">
        <v>45852</v>
      </c>
      <c r="D194" t="inlineStr">
        <is>
          <t>DALARNAS LÄN</t>
        </is>
      </c>
      <c r="E194" t="inlineStr">
        <is>
          <t>MALUNG-SÄLEN</t>
        </is>
      </c>
      <c r="G194" t="n">
        <v>1.6</v>
      </c>
      <c r="H194" t="n">
        <v>0</v>
      </c>
      <c r="I194" t="n">
        <v>0</v>
      </c>
      <c r="J194" t="n">
        <v>0</v>
      </c>
      <c r="K194" t="n">
        <v>0</v>
      </c>
      <c r="L194" t="n">
        <v>0</v>
      </c>
      <c r="M194" t="n">
        <v>0</v>
      </c>
      <c r="N194" t="n">
        <v>0</v>
      </c>
      <c r="O194" t="n">
        <v>0</v>
      </c>
      <c r="P194" t="n">
        <v>0</v>
      </c>
      <c r="Q194" t="n">
        <v>0</v>
      </c>
      <c r="R194" s="2" t="inlineStr"/>
    </row>
    <row r="195" ht="15" customHeight="1">
      <c r="A195" t="inlineStr">
        <is>
          <t>A 26546-2020</t>
        </is>
      </c>
      <c r="B195" s="1" t="n">
        <v>43987</v>
      </c>
      <c r="C195" s="1" t="n">
        <v>45852</v>
      </c>
      <c r="D195" t="inlineStr">
        <is>
          <t>DALARNAS LÄN</t>
        </is>
      </c>
      <c r="E195" t="inlineStr">
        <is>
          <t>MALUNG-SÄLEN</t>
        </is>
      </c>
      <c r="G195" t="n">
        <v>0.4</v>
      </c>
      <c r="H195" t="n">
        <v>0</v>
      </c>
      <c r="I195" t="n">
        <v>0</v>
      </c>
      <c r="J195" t="n">
        <v>0</v>
      </c>
      <c r="K195" t="n">
        <v>0</v>
      </c>
      <c r="L195" t="n">
        <v>0</v>
      </c>
      <c r="M195" t="n">
        <v>0</v>
      </c>
      <c r="N195" t="n">
        <v>0</v>
      </c>
      <c r="O195" t="n">
        <v>0</v>
      </c>
      <c r="P195" t="n">
        <v>0</v>
      </c>
      <c r="Q195" t="n">
        <v>0</v>
      </c>
      <c r="R195" s="2" t="inlineStr"/>
    </row>
    <row r="196" ht="15" customHeight="1">
      <c r="A196" t="inlineStr">
        <is>
          <t>A 26898-2020</t>
        </is>
      </c>
      <c r="B196" s="1" t="n">
        <v>43990</v>
      </c>
      <c r="C196" s="1" t="n">
        <v>45852</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26697-2020</t>
        </is>
      </c>
      <c r="B197" s="1" t="n">
        <v>43990</v>
      </c>
      <c r="C197" s="1" t="n">
        <v>45852</v>
      </c>
      <c r="D197" t="inlineStr">
        <is>
          <t>DALARNAS LÄN</t>
        </is>
      </c>
      <c r="E197" t="inlineStr">
        <is>
          <t>MALUNG-SÄLEN</t>
        </is>
      </c>
      <c r="F197" t="inlineStr">
        <is>
          <t>Allmännings- och besparingsskogar</t>
        </is>
      </c>
      <c r="G197" t="n">
        <v>1.2</v>
      </c>
      <c r="H197" t="n">
        <v>0</v>
      </c>
      <c r="I197" t="n">
        <v>0</v>
      </c>
      <c r="J197" t="n">
        <v>0</v>
      </c>
      <c r="K197" t="n">
        <v>0</v>
      </c>
      <c r="L197" t="n">
        <v>0</v>
      </c>
      <c r="M197" t="n">
        <v>0</v>
      </c>
      <c r="N197" t="n">
        <v>0</v>
      </c>
      <c r="O197" t="n">
        <v>0</v>
      </c>
      <c r="P197" t="n">
        <v>0</v>
      </c>
      <c r="Q197" t="n">
        <v>0</v>
      </c>
      <c r="R197" s="2" t="inlineStr"/>
    </row>
    <row r="198" ht="15" customHeight="1">
      <c r="A198" t="inlineStr">
        <is>
          <t>A 26910-2020</t>
        </is>
      </c>
      <c r="B198" s="1" t="n">
        <v>43990</v>
      </c>
      <c r="C198" s="1" t="n">
        <v>45852</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26905-2020</t>
        </is>
      </c>
      <c r="B199" s="1" t="n">
        <v>43990</v>
      </c>
      <c r="C199" s="1" t="n">
        <v>45852</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27125-2020</t>
        </is>
      </c>
      <c r="B200" s="1" t="n">
        <v>43990</v>
      </c>
      <c r="C200" s="1" t="n">
        <v>45852</v>
      </c>
      <c r="D200" t="inlineStr">
        <is>
          <t>DALARNAS LÄN</t>
        </is>
      </c>
      <c r="E200" t="inlineStr">
        <is>
          <t>MALUNG-SÄLEN</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27020-2020</t>
        </is>
      </c>
      <c r="B201" s="1" t="n">
        <v>43991</v>
      </c>
      <c r="C201" s="1" t="n">
        <v>45852</v>
      </c>
      <c r="D201" t="inlineStr">
        <is>
          <t>DALARNAS LÄN</t>
        </is>
      </c>
      <c r="E201" t="inlineStr">
        <is>
          <t>MALUNG-SÄLEN</t>
        </is>
      </c>
      <c r="G201" t="n">
        <v>2.4</v>
      </c>
      <c r="H201" t="n">
        <v>0</v>
      </c>
      <c r="I201" t="n">
        <v>0</v>
      </c>
      <c r="J201" t="n">
        <v>0</v>
      </c>
      <c r="K201" t="n">
        <v>0</v>
      </c>
      <c r="L201" t="n">
        <v>0</v>
      </c>
      <c r="M201" t="n">
        <v>0</v>
      </c>
      <c r="N201" t="n">
        <v>0</v>
      </c>
      <c r="O201" t="n">
        <v>0</v>
      </c>
      <c r="P201" t="n">
        <v>0</v>
      </c>
      <c r="Q201" t="n">
        <v>0</v>
      </c>
      <c r="R201" s="2" t="inlineStr"/>
    </row>
    <row r="202" ht="15" customHeight="1">
      <c r="A202" t="inlineStr">
        <is>
          <t>A 28171-2020</t>
        </is>
      </c>
      <c r="B202" s="1" t="n">
        <v>43997</v>
      </c>
      <c r="C202" s="1" t="n">
        <v>45852</v>
      </c>
      <c r="D202" t="inlineStr">
        <is>
          <t>DALARNAS LÄN</t>
        </is>
      </c>
      <c r="E202" t="inlineStr">
        <is>
          <t>MALUNG-SÄLEN</t>
        </is>
      </c>
      <c r="G202" t="n">
        <v>7</v>
      </c>
      <c r="H202" t="n">
        <v>0</v>
      </c>
      <c r="I202" t="n">
        <v>0</v>
      </c>
      <c r="J202" t="n">
        <v>0</v>
      </c>
      <c r="K202" t="n">
        <v>0</v>
      </c>
      <c r="L202" t="n">
        <v>0</v>
      </c>
      <c r="M202" t="n">
        <v>0</v>
      </c>
      <c r="N202" t="n">
        <v>0</v>
      </c>
      <c r="O202" t="n">
        <v>0</v>
      </c>
      <c r="P202" t="n">
        <v>0</v>
      </c>
      <c r="Q202" t="n">
        <v>0</v>
      </c>
      <c r="R202" s="2" t="inlineStr"/>
    </row>
    <row r="203" ht="15" customHeight="1">
      <c r="A203" t="inlineStr">
        <is>
          <t>A 28377-2020</t>
        </is>
      </c>
      <c r="B203" s="1" t="n">
        <v>43998</v>
      </c>
      <c r="C203" s="1" t="n">
        <v>45852</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28515-2020</t>
        </is>
      </c>
      <c r="B204" s="1" t="n">
        <v>43999</v>
      </c>
      <c r="C204" s="1" t="n">
        <v>45852</v>
      </c>
      <c r="D204" t="inlineStr">
        <is>
          <t>DALARNAS LÄN</t>
        </is>
      </c>
      <c r="E204" t="inlineStr">
        <is>
          <t>MALUNG-SÄLEN</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28696-2020</t>
        </is>
      </c>
      <c r="B205" s="1" t="n">
        <v>43999</v>
      </c>
      <c r="C205" s="1" t="n">
        <v>45852</v>
      </c>
      <c r="D205" t="inlineStr">
        <is>
          <t>DALARNAS LÄN</t>
        </is>
      </c>
      <c r="E205" t="inlineStr">
        <is>
          <t>MALUNG-SÄLEN</t>
        </is>
      </c>
      <c r="G205" t="n">
        <v>4.1</v>
      </c>
      <c r="H205" t="n">
        <v>0</v>
      </c>
      <c r="I205" t="n">
        <v>0</v>
      </c>
      <c r="J205" t="n">
        <v>0</v>
      </c>
      <c r="K205" t="n">
        <v>0</v>
      </c>
      <c r="L205" t="n">
        <v>0</v>
      </c>
      <c r="M205" t="n">
        <v>0</v>
      </c>
      <c r="N205" t="n">
        <v>0</v>
      </c>
      <c r="O205" t="n">
        <v>0</v>
      </c>
      <c r="P205" t="n">
        <v>0</v>
      </c>
      <c r="Q205" t="n">
        <v>0</v>
      </c>
      <c r="R205" s="2" t="inlineStr"/>
    </row>
    <row r="206" ht="15" customHeight="1">
      <c r="A206" t="inlineStr">
        <is>
          <t>A 28836-2020</t>
        </is>
      </c>
      <c r="B206" s="1" t="n">
        <v>44000</v>
      </c>
      <c r="C206" s="1" t="n">
        <v>45852</v>
      </c>
      <c r="D206" t="inlineStr">
        <is>
          <t>DALARNAS LÄN</t>
        </is>
      </c>
      <c r="E206" t="inlineStr">
        <is>
          <t>MALUNG-SÄLEN</t>
        </is>
      </c>
      <c r="G206" t="n">
        <v>16.6</v>
      </c>
      <c r="H206" t="n">
        <v>0</v>
      </c>
      <c r="I206" t="n">
        <v>0</v>
      </c>
      <c r="J206" t="n">
        <v>0</v>
      </c>
      <c r="K206" t="n">
        <v>0</v>
      </c>
      <c r="L206" t="n">
        <v>0</v>
      </c>
      <c r="M206" t="n">
        <v>0</v>
      </c>
      <c r="N206" t="n">
        <v>0</v>
      </c>
      <c r="O206" t="n">
        <v>0</v>
      </c>
      <c r="P206" t="n">
        <v>0</v>
      </c>
      <c r="Q206" t="n">
        <v>0</v>
      </c>
      <c r="R206" s="2" t="inlineStr"/>
    </row>
    <row r="207" ht="15" customHeight="1">
      <c r="A207" t="inlineStr">
        <is>
          <t>A 29551-2020</t>
        </is>
      </c>
      <c r="B207" s="1" t="n">
        <v>44005</v>
      </c>
      <c r="C207" s="1" t="n">
        <v>45852</v>
      </c>
      <c r="D207" t="inlineStr">
        <is>
          <t>DALARNAS LÄN</t>
        </is>
      </c>
      <c r="E207" t="inlineStr">
        <is>
          <t>MALUNG-SÄLEN</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30262-2020</t>
        </is>
      </c>
      <c r="B208" s="1" t="n">
        <v>44007</v>
      </c>
      <c r="C208" s="1" t="n">
        <v>45852</v>
      </c>
      <c r="D208" t="inlineStr">
        <is>
          <t>DALARNAS LÄN</t>
        </is>
      </c>
      <c r="E208" t="inlineStr">
        <is>
          <t>MALUNG-SÄLEN</t>
        </is>
      </c>
      <c r="G208" t="n">
        <v>7.1</v>
      </c>
      <c r="H208" t="n">
        <v>0</v>
      </c>
      <c r="I208" t="n">
        <v>0</v>
      </c>
      <c r="J208" t="n">
        <v>0</v>
      </c>
      <c r="K208" t="n">
        <v>0</v>
      </c>
      <c r="L208" t="n">
        <v>0</v>
      </c>
      <c r="M208" t="n">
        <v>0</v>
      </c>
      <c r="N208" t="n">
        <v>0</v>
      </c>
      <c r="O208" t="n">
        <v>0</v>
      </c>
      <c r="P208" t="n">
        <v>0</v>
      </c>
      <c r="Q208" t="n">
        <v>0</v>
      </c>
      <c r="R208" s="2" t="inlineStr"/>
    </row>
    <row r="209" ht="15" customHeight="1">
      <c r="A209" t="inlineStr">
        <is>
          <t>A 31075-2020</t>
        </is>
      </c>
      <c r="B209" s="1" t="n">
        <v>44012</v>
      </c>
      <c r="C209" s="1" t="n">
        <v>45852</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31161-2020</t>
        </is>
      </c>
      <c r="B210" s="1" t="n">
        <v>44012</v>
      </c>
      <c r="C210" s="1" t="n">
        <v>45852</v>
      </c>
      <c r="D210" t="inlineStr">
        <is>
          <t>DALARNAS LÄN</t>
        </is>
      </c>
      <c r="E210" t="inlineStr">
        <is>
          <t>MALUNG-SÄLEN</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32815-2020</t>
        </is>
      </c>
      <c r="B211" s="1" t="n">
        <v>44020</v>
      </c>
      <c r="C211" s="1" t="n">
        <v>45852</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33065-2020</t>
        </is>
      </c>
      <c r="B212" s="1" t="n">
        <v>44021</v>
      </c>
      <c r="C212" s="1" t="n">
        <v>45852</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33071-2020</t>
        </is>
      </c>
      <c r="B213" s="1" t="n">
        <v>44021</v>
      </c>
      <c r="C213" s="1" t="n">
        <v>45852</v>
      </c>
      <c r="D213" t="inlineStr">
        <is>
          <t>DALARNAS LÄN</t>
        </is>
      </c>
      <c r="E213" t="inlineStr">
        <is>
          <t>MALUNG-SÄLEN</t>
        </is>
      </c>
      <c r="G213" t="n">
        <v>0.7</v>
      </c>
      <c r="H213" t="n">
        <v>0</v>
      </c>
      <c r="I213" t="n">
        <v>0</v>
      </c>
      <c r="J213" t="n">
        <v>0</v>
      </c>
      <c r="K213" t="n">
        <v>0</v>
      </c>
      <c r="L213" t="n">
        <v>0</v>
      </c>
      <c r="M213" t="n">
        <v>0</v>
      </c>
      <c r="N213" t="n">
        <v>0</v>
      </c>
      <c r="O213" t="n">
        <v>0</v>
      </c>
      <c r="P213" t="n">
        <v>0</v>
      </c>
      <c r="Q213" t="n">
        <v>0</v>
      </c>
      <c r="R213" s="2" t="inlineStr"/>
    </row>
    <row r="214" ht="15" customHeight="1">
      <c r="A214" t="inlineStr">
        <is>
          <t>A 35536-2020</t>
        </is>
      </c>
      <c r="B214" s="1" t="n">
        <v>44043</v>
      </c>
      <c r="C214" s="1" t="n">
        <v>45852</v>
      </c>
      <c r="D214" t="inlineStr">
        <is>
          <t>DALARNAS LÄN</t>
        </is>
      </c>
      <c r="E214" t="inlineStr">
        <is>
          <t>MALUNG-SÄLEN</t>
        </is>
      </c>
      <c r="G214" t="n">
        <v>0.4</v>
      </c>
      <c r="H214" t="n">
        <v>0</v>
      </c>
      <c r="I214" t="n">
        <v>0</v>
      </c>
      <c r="J214" t="n">
        <v>0</v>
      </c>
      <c r="K214" t="n">
        <v>0</v>
      </c>
      <c r="L214" t="n">
        <v>0</v>
      </c>
      <c r="M214" t="n">
        <v>0</v>
      </c>
      <c r="N214" t="n">
        <v>0</v>
      </c>
      <c r="O214" t="n">
        <v>0</v>
      </c>
      <c r="P214" t="n">
        <v>0</v>
      </c>
      <c r="Q214" t="n">
        <v>0</v>
      </c>
      <c r="R214" s="2" t="inlineStr"/>
    </row>
    <row r="215" ht="15" customHeight="1">
      <c r="A215" t="inlineStr">
        <is>
          <t>A 36308-2020</t>
        </is>
      </c>
      <c r="B215" s="1" t="n">
        <v>44049</v>
      </c>
      <c r="C215" s="1" t="n">
        <v>45852</v>
      </c>
      <c r="D215" t="inlineStr">
        <is>
          <t>DALARNAS LÄN</t>
        </is>
      </c>
      <c r="E215" t="inlineStr">
        <is>
          <t>MALUNG-SÄLEN</t>
        </is>
      </c>
      <c r="G215" t="n">
        <v>1.2</v>
      </c>
      <c r="H215" t="n">
        <v>0</v>
      </c>
      <c r="I215" t="n">
        <v>0</v>
      </c>
      <c r="J215" t="n">
        <v>0</v>
      </c>
      <c r="K215" t="n">
        <v>0</v>
      </c>
      <c r="L215" t="n">
        <v>0</v>
      </c>
      <c r="M215" t="n">
        <v>0</v>
      </c>
      <c r="N215" t="n">
        <v>0</v>
      </c>
      <c r="O215" t="n">
        <v>0</v>
      </c>
      <c r="P215" t="n">
        <v>0</v>
      </c>
      <c r="Q215" t="n">
        <v>0</v>
      </c>
      <c r="R215" s="2" t="inlineStr"/>
    </row>
    <row r="216" ht="15" customHeight="1">
      <c r="A216" t="inlineStr">
        <is>
          <t>A 37574-2020</t>
        </is>
      </c>
      <c r="B216" s="1" t="n">
        <v>44056</v>
      </c>
      <c r="C216" s="1" t="n">
        <v>45852</v>
      </c>
      <c r="D216" t="inlineStr">
        <is>
          <t>DALARNAS LÄN</t>
        </is>
      </c>
      <c r="E216" t="inlineStr">
        <is>
          <t>MALUNG-SÄLEN</t>
        </is>
      </c>
      <c r="G216" t="n">
        <v>0.8</v>
      </c>
      <c r="H216" t="n">
        <v>0</v>
      </c>
      <c r="I216" t="n">
        <v>0</v>
      </c>
      <c r="J216" t="n">
        <v>0</v>
      </c>
      <c r="K216" t="n">
        <v>0</v>
      </c>
      <c r="L216" t="n">
        <v>0</v>
      </c>
      <c r="M216" t="n">
        <v>0</v>
      </c>
      <c r="N216" t="n">
        <v>0</v>
      </c>
      <c r="O216" t="n">
        <v>0</v>
      </c>
      <c r="P216" t="n">
        <v>0</v>
      </c>
      <c r="Q216" t="n">
        <v>0</v>
      </c>
      <c r="R216" s="2" t="inlineStr"/>
    </row>
    <row r="217" ht="15" customHeight="1">
      <c r="A217" t="inlineStr">
        <is>
          <t>A 37587-2020</t>
        </is>
      </c>
      <c r="B217" s="1" t="n">
        <v>44056</v>
      </c>
      <c r="C217" s="1" t="n">
        <v>45852</v>
      </c>
      <c r="D217" t="inlineStr">
        <is>
          <t>DALARNAS LÄN</t>
        </is>
      </c>
      <c r="E217" t="inlineStr">
        <is>
          <t>MALUNG-SÄLEN</t>
        </is>
      </c>
      <c r="G217" t="n">
        <v>0.3</v>
      </c>
      <c r="H217" t="n">
        <v>0</v>
      </c>
      <c r="I217" t="n">
        <v>0</v>
      </c>
      <c r="J217" t="n">
        <v>0</v>
      </c>
      <c r="K217" t="n">
        <v>0</v>
      </c>
      <c r="L217" t="n">
        <v>0</v>
      </c>
      <c r="M217" t="n">
        <v>0</v>
      </c>
      <c r="N217" t="n">
        <v>0</v>
      </c>
      <c r="O217" t="n">
        <v>0</v>
      </c>
      <c r="P217" t="n">
        <v>0</v>
      </c>
      <c r="Q217" t="n">
        <v>0</v>
      </c>
      <c r="R217" s="2" t="inlineStr"/>
    </row>
    <row r="218" ht="15" customHeight="1">
      <c r="A218" t="inlineStr">
        <is>
          <t>A 37740-2020</t>
        </is>
      </c>
      <c r="B218" s="1" t="n">
        <v>44056</v>
      </c>
      <c r="C218" s="1" t="n">
        <v>45852</v>
      </c>
      <c r="D218" t="inlineStr">
        <is>
          <t>DALARNAS LÄN</t>
        </is>
      </c>
      <c r="E218" t="inlineStr">
        <is>
          <t>MALUNG-SÄLEN</t>
        </is>
      </c>
      <c r="G218" t="n">
        <v>22.5</v>
      </c>
      <c r="H218" t="n">
        <v>0</v>
      </c>
      <c r="I218" t="n">
        <v>0</v>
      </c>
      <c r="J218" t="n">
        <v>0</v>
      </c>
      <c r="K218" t="n">
        <v>0</v>
      </c>
      <c r="L218" t="n">
        <v>0</v>
      </c>
      <c r="M218" t="n">
        <v>0</v>
      </c>
      <c r="N218" t="n">
        <v>0</v>
      </c>
      <c r="O218" t="n">
        <v>0</v>
      </c>
      <c r="P218" t="n">
        <v>0</v>
      </c>
      <c r="Q218" t="n">
        <v>0</v>
      </c>
      <c r="R218" s="2" t="inlineStr"/>
    </row>
    <row r="219" ht="15" customHeight="1">
      <c r="A219" t="inlineStr">
        <is>
          <t>A 38169-2020</t>
        </is>
      </c>
      <c r="B219" s="1" t="n">
        <v>44057</v>
      </c>
      <c r="C219" s="1" t="n">
        <v>45852</v>
      </c>
      <c r="D219" t="inlineStr">
        <is>
          <t>DALARNAS LÄN</t>
        </is>
      </c>
      <c r="E219" t="inlineStr">
        <is>
          <t>MALUNG-SÄLEN</t>
        </is>
      </c>
      <c r="F219" t="inlineStr">
        <is>
          <t>Allmännings- och besparingsskogar</t>
        </is>
      </c>
      <c r="G219" t="n">
        <v>32.1</v>
      </c>
      <c r="H219" t="n">
        <v>0</v>
      </c>
      <c r="I219" t="n">
        <v>0</v>
      </c>
      <c r="J219" t="n">
        <v>0</v>
      </c>
      <c r="K219" t="n">
        <v>0</v>
      </c>
      <c r="L219" t="n">
        <v>0</v>
      </c>
      <c r="M219" t="n">
        <v>0</v>
      </c>
      <c r="N219" t="n">
        <v>0</v>
      </c>
      <c r="O219" t="n">
        <v>0</v>
      </c>
      <c r="P219" t="n">
        <v>0</v>
      </c>
      <c r="Q219" t="n">
        <v>0</v>
      </c>
      <c r="R219" s="2" t="inlineStr"/>
    </row>
    <row r="220" ht="15" customHeight="1">
      <c r="A220" t="inlineStr">
        <is>
          <t>A 38604-2020</t>
        </is>
      </c>
      <c r="B220" s="1" t="n">
        <v>44061</v>
      </c>
      <c r="C220" s="1" t="n">
        <v>45852</v>
      </c>
      <c r="D220" t="inlineStr">
        <is>
          <t>DALARNAS LÄN</t>
        </is>
      </c>
      <c r="E220" t="inlineStr">
        <is>
          <t>MALUNG-SÄLEN</t>
        </is>
      </c>
      <c r="G220" t="n">
        <v>0.9</v>
      </c>
      <c r="H220" t="n">
        <v>0</v>
      </c>
      <c r="I220" t="n">
        <v>0</v>
      </c>
      <c r="J220" t="n">
        <v>0</v>
      </c>
      <c r="K220" t="n">
        <v>0</v>
      </c>
      <c r="L220" t="n">
        <v>0</v>
      </c>
      <c r="M220" t="n">
        <v>0</v>
      </c>
      <c r="N220" t="n">
        <v>0</v>
      </c>
      <c r="O220" t="n">
        <v>0</v>
      </c>
      <c r="P220" t="n">
        <v>0</v>
      </c>
      <c r="Q220" t="n">
        <v>0</v>
      </c>
      <c r="R220" s="2" t="inlineStr"/>
    </row>
    <row r="221" ht="15" customHeight="1">
      <c r="A221" t="inlineStr">
        <is>
          <t>A 40350-2020</t>
        </is>
      </c>
      <c r="B221" s="1" t="n">
        <v>44068</v>
      </c>
      <c r="C221" s="1" t="n">
        <v>45852</v>
      </c>
      <c r="D221" t="inlineStr">
        <is>
          <t>DALARNAS LÄN</t>
        </is>
      </c>
      <c r="E221" t="inlineStr">
        <is>
          <t>MALUNG-SÄLEN</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40354-2020</t>
        </is>
      </c>
      <c r="B222" s="1" t="n">
        <v>44068</v>
      </c>
      <c r="C222" s="1" t="n">
        <v>45852</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42116-2020</t>
        </is>
      </c>
      <c r="B223" s="1" t="n">
        <v>44071</v>
      </c>
      <c r="C223" s="1" t="n">
        <v>45852</v>
      </c>
      <c r="D223" t="inlineStr">
        <is>
          <t>DALARNAS LÄN</t>
        </is>
      </c>
      <c r="E223" t="inlineStr">
        <is>
          <t>MALUNG-SÄLEN</t>
        </is>
      </c>
      <c r="F223" t="inlineStr">
        <is>
          <t>Allmännings- och besparingsskogar</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42985-2020</t>
        </is>
      </c>
      <c r="B224" s="1" t="n">
        <v>44078</v>
      </c>
      <c r="C224" s="1" t="n">
        <v>45852</v>
      </c>
      <c r="D224" t="inlineStr">
        <is>
          <t>DALARNAS LÄN</t>
        </is>
      </c>
      <c r="E224" t="inlineStr">
        <is>
          <t>MALUNG-SÄLEN</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44448-2020</t>
        </is>
      </c>
      <c r="B225" s="1" t="n">
        <v>44084</v>
      </c>
      <c r="C225" s="1" t="n">
        <v>45852</v>
      </c>
      <c r="D225" t="inlineStr">
        <is>
          <t>DALARNAS LÄN</t>
        </is>
      </c>
      <c r="E225" t="inlineStr">
        <is>
          <t>MALUNG-SÄLEN</t>
        </is>
      </c>
      <c r="G225" t="n">
        <v>3.6</v>
      </c>
      <c r="H225" t="n">
        <v>0</v>
      </c>
      <c r="I225" t="n">
        <v>0</v>
      </c>
      <c r="J225" t="n">
        <v>0</v>
      </c>
      <c r="K225" t="n">
        <v>0</v>
      </c>
      <c r="L225" t="n">
        <v>0</v>
      </c>
      <c r="M225" t="n">
        <v>0</v>
      </c>
      <c r="N225" t="n">
        <v>0</v>
      </c>
      <c r="O225" t="n">
        <v>0</v>
      </c>
      <c r="P225" t="n">
        <v>0</v>
      </c>
      <c r="Q225" t="n">
        <v>0</v>
      </c>
      <c r="R225" s="2" t="inlineStr"/>
    </row>
    <row r="226" ht="15" customHeight="1">
      <c r="A226" t="inlineStr">
        <is>
          <t>A 44935-2020</t>
        </is>
      </c>
      <c r="B226" s="1" t="n">
        <v>44088</v>
      </c>
      <c r="C226" s="1" t="n">
        <v>45852</v>
      </c>
      <c r="D226" t="inlineStr">
        <is>
          <t>DALARNAS LÄN</t>
        </is>
      </c>
      <c r="E226" t="inlineStr">
        <is>
          <t>MALUNG-SÄLEN</t>
        </is>
      </c>
      <c r="G226" t="n">
        <v>11.8</v>
      </c>
      <c r="H226" t="n">
        <v>0</v>
      </c>
      <c r="I226" t="n">
        <v>0</v>
      </c>
      <c r="J226" t="n">
        <v>0</v>
      </c>
      <c r="K226" t="n">
        <v>0</v>
      </c>
      <c r="L226" t="n">
        <v>0</v>
      </c>
      <c r="M226" t="n">
        <v>0</v>
      </c>
      <c r="N226" t="n">
        <v>0</v>
      </c>
      <c r="O226" t="n">
        <v>0</v>
      </c>
      <c r="P226" t="n">
        <v>0</v>
      </c>
      <c r="Q226" t="n">
        <v>0</v>
      </c>
      <c r="R226" s="2" t="inlineStr"/>
    </row>
    <row r="227" ht="15" customHeight="1">
      <c r="A227" t="inlineStr">
        <is>
          <t>A 45722-2020</t>
        </is>
      </c>
      <c r="B227" s="1" t="n">
        <v>44090</v>
      </c>
      <c r="C227" s="1" t="n">
        <v>45852</v>
      </c>
      <c r="D227" t="inlineStr">
        <is>
          <t>DALARNAS LÄN</t>
        </is>
      </c>
      <c r="E227" t="inlineStr">
        <is>
          <t>MALUNG-SÄLEN</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46832-2020</t>
        </is>
      </c>
      <c r="B228" s="1" t="n">
        <v>44090</v>
      </c>
      <c r="C228" s="1" t="n">
        <v>45852</v>
      </c>
      <c r="D228" t="inlineStr">
        <is>
          <t>DALARNAS LÄN</t>
        </is>
      </c>
      <c r="E228" t="inlineStr">
        <is>
          <t>MALUNG-SÄLEN</t>
        </is>
      </c>
      <c r="F228" t="inlineStr">
        <is>
          <t>Allmännings- och besparingsskogar</t>
        </is>
      </c>
      <c r="G228" t="n">
        <v>62.4</v>
      </c>
      <c r="H228" t="n">
        <v>0</v>
      </c>
      <c r="I228" t="n">
        <v>0</v>
      </c>
      <c r="J228" t="n">
        <v>0</v>
      </c>
      <c r="K228" t="n">
        <v>0</v>
      </c>
      <c r="L228" t="n">
        <v>0</v>
      </c>
      <c r="M228" t="n">
        <v>0</v>
      </c>
      <c r="N228" t="n">
        <v>0</v>
      </c>
      <c r="O228" t="n">
        <v>0</v>
      </c>
      <c r="P228" t="n">
        <v>0</v>
      </c>
      <c r="Q228" t="n">
        <v>0</v>
      </c>
      <c r="R228" s="2" t="inlineStr"/>
    </row>
    <row r="229" ht="15" customHeight="1">
      <c r="A229" t="inlineStr">
        <is>
          <t>A 47073-2020</t>
        </is>
      </c>
      <c r="B229" s="1" t="n">
        <v>44096</v>
      </c>
      <c r="C229" s="1" t="n">
        <v>45852</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47190-2020</t>
        </is>
      </c>
      <c r="B230" s="1" t="n">
        <v>44097</v>
      </c>
      <c r="C230" s="1" t="n">
        <v>45852</v>
      </c>
      <c r="D230" t="inlineStr">
        <is>
          <t>DALARNAS LÄN</t>
        </is>
      </c>
      <c r="E230" t="inlineStr">
        <is>
          <t>MALUNG-SÄLEN</t>
        </is>
      </c>
      <c r="G230" t="n">
        <v>6</v>
      </c>
      <c r="H230" t="n">
        <v>0</v>
      </c>
      <c r="I230" t="n">
        <v>0</v>
      </c>
      <c r="J230" t="n">
        <v>0</v>
      </c>
      <c r="K230" t="n">
        <v>0</v>
      </c>
      <c r="L230" t="n">
        <v>0</v>
      </c>
      <c r="M230" t="n">
        <v>0</v>
      </c>
      <c r="N230" t="n">
        <v>0</v>
      </c>
      <c r="O230" t="n">
        <v>0</v>
      </c>
      <c r="P230" t="n">
        <v>0</v>
      </c>
      <c r="Q230" t="n">
        <v>0</v>
      </c>
      <c r="R230" s="2" t="inlineStr"/>
    </row>
    <row r="231" ht="15" customHeight="1">
      <c r="A231" t="inlineStr">
        <is>
          <t>A 47254-2020</t>
        </is>
      </c>
      <c r="B231" s="1" t="n">
        <v>44097</v>
      </c>
      <c r="C231" s="1" t="n">
        <v>45852</v>
      </c>
      <c r="D231" t="inlineStr">
        <is>
          <t>DALARNAS LÄN</t>
        </is>
      </c>
      <c r="E231" t="inlineStr">
        <is>
          <t>MALUNG-SÄLEN</t>
        </is>
      </c>
      <c r="G231" t="n">
        <v>5.3</v>
      </c>
      <c r="H231" t="n">
        <v>0</v>
      </c>
      <c r="I231" t="n">
        <v>0</v>
      </c>
      <c r="J231" t="n">
        <v>0</v>
      </c>
      <c r="K231" t="n">
        <v>0</v>
      </c>
      <c r="L231" t="n">
        <v>0</v>
      </c>
      <c r="M231" t="n">
        <v>0</v>
      </c>
      <c r="N231" t="n">
        <v>0</v>
      </c>
      <c r="O231" t="n">
        <v>0</v>
      </c>
      <c r="P231" t="n">
        <v>0</v>
      </c>
      <c r="Q231" t="n">
        <v>0</v>
      </c>
      <c r="R231" s="2" t="inlineStr"/>
    </row>
    <row r="232" ht="15" customHeight="1">
      <c r="A232" t="inlineStr">
        <is>
          <t>A 47986-2020</t>
        </is>
      </c>
      <c r="B232" s="1" t="n">
        <v>44099</v>
      </c>
      <c r="C232" s="1" t="n">
        <v>45852</v>
      </c>
      <c r="D232" t="inlineStr">
        <is>
          <t>DALARNAS LÄN</t>
        </is>
      </c>
      <c r="E232" t="inlineStr">
        <is>
          <t>MALUNG-SÄLEN</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48525-2020</t>
        </is>
      </c>
      <c r="B233" s="1" t="n">
        <v>44103</v>
      </c>
      <c r="C233" s="1" t="n">
        <v>45852</v>
      </c>
      <c r="D233" t="inlineStr">
        <is>
          <t>DALARNAS LÄN</t>
        </is>
      </c>
      <c r="E233" t="inlineStr">
        <is>
          <t>MALUNG-SÄLEN</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49375-2020</t>
        </is>
      </c>
      <c r="B234" s="1" t="n">
        <v>44105</v>
      </c>
      <c r="C234" s="1" t="n">
        <v>45852</v>
      </c>
      <c r="D234" t="inlineStr">
        <is>
          <t>DALARNAS LÄN</t>
        </is>
      </c>
      <c r="E234" t="inlineStr">
        <is>
          <t>MALUNG-SÄLEN</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50436-2020</t>
        </is>
      </c>
      <c r="B235" s="1" t="n">
        <v>44110</v>
      </c>
      <c r="C235" s="1" t="n">
        <v>45852</v>
      </c>
      <c r="D235" t="inlineStr">
        <is>
          <t>DALARNAS LÄN</t>
        </is>
      </c>
      <c r="E235" t="inlineStr">
        <is>
          <t>MALUNG-SÄLEN</t>
        </is>
      </c>
      <c r="F235" t="inlineStr">
        <is>
          <t>Övriga statliga verk och myndigheter</t>
        </is>
      </c>
      <c r="G235" t="n">
        <v>2.9</v>
      </c>
      <c r="H235" t="n">
        <v>0</v>
      </c>
      <c r="I235" t="n">
        <v>0</v>
      </c>
      <c r="J235" t="n">
        <v>0</v>
      </c>
      <c r="K235" t="n">
        <v>0</v>
      </c>
      <c r="L235" t="n">
        <v>0</v>
      </c>
      <c r="M235" t="n">
        <v>0</v>
      </c>
      <c r="N235" t="n">
        <v>0</v>
      </c>
      <c r="O235" t="n">
        <v>0</v>
      </c>
      <c r="P235" t="n">
        <v>0</v>
      </c>
      <c r="Q235" t="n">
        <v>0</v>
      </c>
      <c r="R235" s="2" t="inlineStr"/>
    </row>
    <row r="236" ht="15" customHeight="1">
      <c r="A236" t="inlineStr">
        <is>
          <t>A 50397-2020</t>
        </is>
      </c>
      <c r="B236" s="1" t="n">
        <v>44110</v>
      </c>
      <c r="C236" s="1" t="n">
        <v>45852</v>
      </c>
      <c r="D236" t="inlineStr">
        <is>
          <t>DALARNAS LÄN</t>
        </is>
      </c>
      <c r="E236" t="inlineStr">
        <is>
          <t>MALUNG-SÄLEN</t>
        </is>
      </c>
      <c r="G236" t="n">
        <v>6.8</v>
      </c>
      <c r="H236" t="n">
        <v>0</v>
      </c>
      <c r="I236" t="n">
        <v>0</v>
      </c>
      <c r="J236" t="n">
        <v>0</v>
      </c>
      <c r="K236" t="n">
        <v>0</v>
      </c>
      <c r="L236" t="n">
        <v>0</v>
      </c>
      <c r="M236" t="n">
        <v>0</v>
      </c>
      <c r="N236" t="n">
        <v>0</v>
      </c>
      <c r="O236" t="n">
        <v>0</v>
      </c>
      <c r="P236" t="n">
        <v>0</v>
      </c>
      <c r="Q236" t="n">
        <v>0</v>
      </c>
      <c r="R236" s="2" t="inlineStr"/>
    </row>
    <row r="237" ht="15" customHeight="1">
      <c r="A237" t="inlineStr">
        <is>
          <t>A 52009-2020</t>
        </is>
      </c>
      <c r="B237" s="1" t="n">
        <v>44111</v>
      </c>
      <c r="C237" s="1" t="n">
        <v>45852</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55488-2020</t>
        </is>
      </c>
      <c r="B238" s="1" t="n">
        <v>44131</v>
      </c>
      <c r="C238" s="1" t="n">
        <v>45852</v>
      </c>
      <c r="D238" t="inlineStr">
        <is>
          <t>DALARNAS LÄN</t>
        </is>
      </c>
      <c r="E238" t="inlineStr">
        <is>
          <t>MALUNG-SÄLEN</t>
        </is>
      </c>
      <c r="G238" t="n">
        <v>1.4</v>
      </c>
      <c r="H238" t="n">
        <v>0</v>
      </c>
      <c r="I238" t="n">
        <v>0</v>
      </c>
      <c r="J238" t="n">
        <v>0</v>
      </c>
      <c r="K238" t="n">
        <v>0</v>
      </c>
      <c r="L238" t="n">
        <v>0</v>
      </c>
      <c r="M238" t="n">
        <v>0</v>
      </c>
      <c r="N238" t="n">
        <v>0</v>
      </c>
      <c r="O238" t="n">
        <v>0</v>
      </c>
      <c r="P238" t="n">
        <v>0</v>
      </c>
      <c r="Q238" t="n">
        <v>0</v>
      </c>
      <c r="R238" s="2" t="inlineStr"/>
    </row>
    <row r="239" ht="15" customHeight="1">
      <c r="A239" t="inlineStr">
        <is>
          <t>A 55535-2020</t>
        </is>
      </c>
      <c r="B239" s="1" t="n">
        <v>44131</v>
      </c>
      <c r="C239" s="1" t="n">
        <v>45852</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56332-2020</t>
        </is>
      </c>
      <c r="B240" s="1" t="n">
        <v>44134</v>
      </c>
      <c r="C240" s="1" t="n">
        <v>45852</v>
      </c>
      <c r="D240" t="inlineStr">
        <is>
          <t>DALARNAS LÄN</t>
        </is>
      </c>
      <c r="E240" t="inlineStr">
        <is>
          <t>MALUNG-SÄLEN</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56561-2020</t>
        </is>
      </c>
      <c r="B241" s="1" t="n">
        <v>44137</v>
      </c>
      <c r="C241" s="1" t="n">
        <v>45852</v>
      </c>
      <c r="D241" t="inlineStr">
        <is>
          <t>DALARNAS LÄN</t>
        </is>
      </c>
      <c r="E241" t="inlineStr">
        <is>
          <t>MALUNG-SÄLEN</t>
        </is>
      </c>
      <c r="G241" t="n">
        <v>1</v>
      </c>
      <c r="H241" t="n">
        <v>0</v>
      </c>
      <c r="I241" t="n">
        <v>0</v>
      </c>
      <c r="J241" t="n">
        <v>0</v>
      </c>
      <c r="K241" t="n">
        <v>0</v>
      </c>
      <c r="L241" t="n">
        <v>0</v>
      </c>
      <c r="M241" t="n">
        <v>0</v>
      </c>
      <c r="N241" t="n">
        <v>0</v>
      </c>
      <c r="O241" t="n">
        <v>0</v>
      </c>
      <c r="P241" t="n">
        <v>0</v>
      </c>
      <c r="Q241" t="n">
        <v>0</v>
      </c>
      <c r="R241" s="2" t="inlineStr"/>
    </row>
    <row r="242" ht="15" customHeight="1">
      <c r="A242" t="inlineStr">
        <is>
          <t>A 56584-2020</t>
        </is>
      </c>
      <c r="B242" s="1" t="n">
        <v>44137</v>
      </c>
      <c r="C242" s="1" t="n">
        <v>45852</v>
      </c>
      <c r="D242" t="inlineStr">
        <is>
          <t>DALARNAS LÄN</t>
        </is>
      </c>
      <c r="E242" t="inlineStr">
        <is>
          <t>MALUNG-SÄLEN</t>
        </is>
      </c>
      <c r="G242" t="n">
        <v>4.1</v>
      </c>
      <c r="H242" t="n">
        <v>0</v>
      </c>
      <c r="I242" t="n">
        <v>0</v>
      </c>
      <c r="J242" t="n">
        <v>0</v>
      </c>
      <c r="K242" t="n">
        <v>0</v>
      </c>
      <c r="L242" t="n">
        <v>0</v>
      </c>
      <c r="M242" t="n">
        <v>0</v>
      </c>
      <c r="N242" t="n">
        <v>0</v>
      </c>
      <c r="O242" t="n">
        <v>0</v>
      </c>
      <c r="P242" t="n">
        <v>0</v>
      </c>
      <c r="Q242" t="n">
        <v>0</v>
      </c>
      <c r="R242" s="2" t="inlineStr"/>
    </row>
    <row r="243" ht="15" customHeight="1">
      <c r="A243" t="inlineStr">
        <is>
          <t>A 56590-2020</t>
        </is>
      </c>
      <c r="B243" s="1" t="n">
        <v>44137</v>
      </c>
      <c r="C243" s="1" t="n">
        <v>45852</v>
      </c>
      <c r="D243" t="inlineStr">
        <is>
          <t>DALARNAS LÄN</t>
        </is>
      </c>
      <c r="E243" t="inlineStr">
        <is>
          <t>MALUNG-SÄLEN</t>
        </is>
      </c>
      <c r="G243" t="n">
        <v>2.4</v>
      </c>
      <c r="H243" t="n">
        <v>0</v>
      </c>
      <c r="I243" t="n">
        <v>0</v>
      </c>
      <c r="J243" t="n">
        <v>0</v>
      </c>
      <c r="K243" t="n">
        <v>0</v>
      </c>
      <c r="L243" t="n">
        <v>0</v>
      </c>
      <c r="M243" t="n">
        <v>0</v>
      </c>
      <c r="N243" t="n">
        <v>0</v>
      </c>
      <c r="O243" t="n">
        <v>0</v>
      </c>
      <c r="P243" t="n">
        <v>0</v>
      </c>
      <c r="Q243" t="n">
        <v>0</v>
      </c>
      <c r="R243" s="2" t="inlineStr"/>
    </row>
    <row r="244" ht="15" customHeight="1">
      <c r="A244" t="inlineStr">
        <is>
          <t>A 58169-2020</t>
        </is>
      </c>
      <c r="B244" s="1" t="n">
        <v>44144</v>
      </c>
      <c r="C244" s="1" t="n">
        <v>45852</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58462-2020</t>
        </is>
      </c>
      <c r="B245" s="1" t="n">
        <v>44144</v>
      </c>
      <c r="C245" s="1" t="n">
        <v>45852</v>
      </c>
      <c r="D245" t="inlineStr">
        <is>
          <t>DALARNAS LÄN</t>
        </is>
      </c>
      <c r="E245" t="inlineStr">
        <is>
          <t>MALUNG-SÄLEN</t>
        </is>
      </c>
      <c r="F245" t="inlineStr">
        <is>
          <t>Allmännings- och besparingsskogar</t>
        </is>
      </c>
      <c r="G245" t="n">
        <v>25.2</v>
      </c>
      <c r="H245" t="n">
        <v>0</v>
      </c>
      <c r="I245" t="n">
        <v>0</v>
      </c>
      <c r="J245" t="n">
        <v>0</v>
      </c>
      <c r="K245" t="n">
        <v>0</v>
      </c>
      <c r="L245" t="n">
        <v>0</v>
      </c>
      <c r="M245" t="n">
        <v>0</v>
      </c>
      <c r="N245" t="n">
        <v>0</v>
      </c>
      <c r="O245" t="n">
        <v>0</v>
      </c>
      <c r="P245" t="n">
        <v>0</v>
      </c>
      <c r="Q245" t="n">
        <v>0</v>
      </c>
      <c r="R245" s="2" t="inlineStr"/>
    </row>
    <row r="246" ht="15" customHeight="1">
      <c r="A246" t="inlineStr">
        <is>
          <t>A 58821-2020</t>
        </is>
      </c>
      <c r="B246" s="1" t="n">
        <v>44146</v>
      </c>
      <c r="C246" s="1" t="n">
        <v>45852</v>
      </c>
      <c r="D246" t="inlineStr">
        <is>
          <t>DALARNAS LÄN</t>
        </is>
      </c>
      <c r="E246" t="inlineStr">
        <is>
          <t>MALUNG-SÄLEN</t>
        </is>
      </c>
      <c r="G246" t="n">
        <v>0.3</v>
      </c>
      <c r="H246" t="n">
        <v>0</v>
      </c>
      <c r="I246" t="n">
        <v>0</v>
      </c>
      <c r="J246" t="n">
        <v>0</v>
      </c>
      <c r="K246" t="n">
        <v>0</v>
      </c>
      <c r="L246" t="n">
        <v>0</v>
      </c>
      <c r="M246" t="n">
        <v>0</v>
      </c>
      <c r="N246" t="n">
        <v>0</v>
      </c>
      <c r="O246" t="n">
        <v>0</v>
      </c>
      <c r="P246" t="n">
        <v>0</v>
      </c>
      <c r="Q246" t="n">
        <v>0</v>
      </c>
      <c r="R246" s="2" t="inlineStr"/>
    </row>
    <row r="247" ht="15" customHeight="1">
      <c r="A247" t="inlineStr">
        <is>
          <t>A 59345-2020</t>
        </is>
      </c>
      <c r="B247" s="1" t="n">
        <v>44148</v>
      </c>
      <c r="C247" s="1" t="n">
        <v>45852</v>
      </c>
      <c r="D247" t="inlineStr">
        <is>
          <t>DALARNAS LÄN</t>
        </is>
      </c>
      <c r="E247" t="inlineStr">
        <is>
          <t>MALUNG-SÄLEN</t>
        </is>
      </c>
      <c r="G247" t="n">
        <v>2.2</v>
      </c>
      <c r="H247" t="n">
        <v>0</v>
      </c>
      <c r="I247" t="n">
        <v>0</v>
      </c>
      <c r="J247" t="n">
        <v>0</v>
      </c>
      <c r="K247" t="n">
        <v>0</v>
      </c>
      <c r="L247" t="n">
        <v>0</v>
      </c>
      <c r="M247" t="n">
        <v>0</v>
      </c>
      <c r="N247" t="n">
        <v>0</v>
      </c>
      <c r="O247" t="n">
        <v>0</v>
      </c>
      <c r="P247" t="n">
        <v>0</v>
      </c>
      <c r="Q247" t="n">
        <v>0</v>
      </c>
      <c r="R247" s="2" t="inlineStr"/>
    </row>
    <row r="248" ht="15" customHeight="1">
      <c r="A248" t="inlineStr">
        <is>
          <t>A 59612-2020</t>
        </is>
      </c>
      <c r="B248" s="1" t="n">
        <v>44149</v>
      </c>
      <c r="C248" s="1" t="n">
        <v>45852</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60903-2020</t>
        </is>
      </c>
      <c r="B249" s="1" t="n">
        <v>44153</v>
      </c>
      <c r="C249" s="1" t="n">
        <v>45852</v>
      </c>
      <c r="D249" t="inlineStr">
        <is>
          <t>DALARNAS LÄN</t>
        </is>
      </c>
      <c r="E249" t="inlineStr">
        <is>
          <t>MALUNG-SÄLEN</t>
        </is>
      </c>
      <c r="G249" t="n">
        <v>1.9</v>
      </c>
      <c r="H249" t="n">
        <v>0</v>
      </c>
      <c r="I249" t="n">
        <v>0</v>
      </c>
      <c r="J249" t="n">
        <v>0</v>
      </c>
      <c r="K249" t="n">
        <v>0</v>
      </c>
      <c r="L249" t="n">
        <v>0</v>
      </c>
      <c r="M249" t="n">
        <v>0</v>
      </c>
      <c r="N249" t="n">
        <v>0</v>
      </c>
      <c r="O249" t="n">
        <v>0</v>
      </c>
      <c r="P249" t="n">
        <v>0</v>
      </c>
      <c r="Q249" t="n">
        <v>0</v>
      </c>
      <c r="R249" s="2" t="inlineStr"/>
    </row>
    <row r="250" ht="15" customHeight="1">
      <c r="A250" t="inlineStr">
        <is>
          <t>A 60818-2020</t>
        </is>
      </c>
      <c r="B250" s="1" t="n">
        <v>44154</v>
      </c>
      <c r="C250" s="1" t="n">
        <v>45852</v>
      </c>
      <c r="D250" t="inlineStr">
        <is>
          <t>DALARNAS LÄN</t>
        </is>
      </c>
      <c r="E250" t="inlineStr">
        <is>
          <t>MALUNG-SÄLEN</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63352-2020</t>
        </is>
      </c>
      <c r="B251" s="1" t="n">
        <v>44165</v>
      </c>
      <c r="C251" s="1" t="n">
        <v>45852</v>
      </c>
      <c r="D251" t="inlineStr">
        <is>
          <t>DALARNAS LÄN</t>
        </is>
      </c>
      <c r="E251" t="inlineStr">
        <is>
          <t>MALUNG-SÄLEN</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63508-2020</t>
        </is>
      </c>
      <c r="B252" s="1" t="n">
        <v>44165</v>
      </c>
      <c r="C252" s="1" t="n">
        <v>45852</v>
      </c>
      <c r="D252" t="inlineStr">
        <is>
          <t>DALARNAS LÄN</t>
        </is>
      </c>
      <c r="E252" t="inlineStr">
        <is>
          <t>MALUNG-SÄLEN</t>
        </is>
      </c>
      <c r="G252" t="n">
        <v>2</v>
      </c>
      <c r="H252" t="n">
        <v>0</v>
      </c>
      <c r="I252" t="n">
        <v>0</v>
      </c>
      <c r="J252" t="n">
        <v>0</v>
      </c>
      <c r="K252" t="n">
        <v>0</v>
      </c>
      <c r="L252" t="n">
        <v>0</v>
      </c>
      <c r="M252" t="n">
        <v>0</v>
      </c>
      <c r="N252" t="n">
        <v>0</v>
      </c>
      <c r="O252" t="n">
        <v>0</v>
      </c>
      <c r="P252" t="n">
        <v>0</v>
      </c>
      <c r="Q252" t="n">
        <v>0</v>
      </c>
      <c r="R252" s="2" t="inlineStr"/>
    </row>
    <row r="253" ht="15" customHeight="1">
      <c r="A253" t="inlineStr">
        <is>
          <t>A 63903-2020</t>
        </is>
      </c>
      <c r="B253" s="1" t="n">
        <v>44166</v>
      </c>
      <c r="C253" s="1" t="n">
        <v>45852</v>
      </c>
      <c r="D253" t="inlineStr">
        <is>
          <t>DALARNAS LÄN</t>
        </is>
      </c>
      <c r="E253" t="inlineStr">
        <is>
          <t>MALUNG-SÄLEN</t>
        </is>
      </c>
      <c r="G253" t="n">
        <v>1.3</v>
      </c>
      <c r="H253" t="n">
        <v>0</v>
      </c>
      <c r="I253" t="n">
        <v>0</v>
      </c>
      <c r="J253" t="n">
        <v>0</v>
      </c>
      <c r="K253" t="n">
        <v>0</v>
      </c>
      <c r="L253" t="n">
        <v>0</v>
      </c>
      <c r="M253" t="n">
        <v>0</v>
      </c>
      <c r="N253" t="n">
        <v>0</v>
      </c>
      <c r="O253" t="n">
        <v>0</v>
      </c>
      <c r="P253" t="n">
        <v>0</v>
      </c>
      <c r="Q253" t="n">
        <v>0</v>
      </c>
      <c r="R253" s="2" t="inlineStr"/>
    </row>
    <row r="254" ht="15" customHeight="1">
      <c r="A254" t="inlineStr">
        <is>
          <t>A 63896-2020</t>
        </is>
      </c>
      <c r="B254" s="1" t="n">
        <v>44166</v>
      </c>
      <c r="C254" s="1" t="n">
        <v>45852</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63890-2020</t>
        </is>
      </c>
      <c r="B255" s="1" t="n">
        <v>44166</v>
      </c>
      <c r="C255" s="1" t="n">
        <v>45852</v>
      </c>
      <c r="D255" t="inlineStr">
        <is>
          <t>DALARNAS LÄN</t>
        </is>
      </c>
      <c r="E255" t="inlineStr">
        <is>
          <t>MALUNG-SÄLEN</t>
        </is>
      </c>
      <c r="G255" t="n">
        <v>2.7</v>
      </c>
      <c r="H255" t="n">
        <v>0</v>
      </c>
      <c r="I255" t="n">
        <v>0</v>
      </c>
      <c r="J255" t="n">
        <v>0</v>
      </c>
      <c r="K255" t="n">
        <v>0</v>
      </c>
      <c r="L255" t="n">
        <v>0</v>
      </c>
      <c r="M255" t="n">
        <v>0</v>
      </c>
      <c r="N255" t="n">
        <v>0</v>
      </c>
      <c r="O255" t="n">
        <v>0</v>
      </c>
      <c r="P255" t="n">
        <v>0</v>
      </c>
      <c r="Q255" t="n">
        <v>0</v>
      </c>
      <c r="R255" s="2" t="inlineStr"/>
    </row>
    <row r="256" ht="15" customHeight="1">
      <c r="A256" t="inlineStr">
        <is>
          <t>A 66163-2020</t>
        </is>
      </c>
      <c r="B256" s="1" t="n">
        <v>44175</v>
      </c>
      <c r="C256" s="1" t="n">
        <v>45852</v>
      </c>
      <c r="D256" t="inlineStr">
        <is>
          <t>DALARNAS LÄN</t>
        </is>
      </c>
      <c r="E256" t="inlineStr">
        <is>
          <t>MALUNG-SÄLEN</t>
        </is>
      </c>
      <c r="G256" t="n">
        <v>3.3</v>
      </c>
      <c r="H256" t="n">
        <v>0</v>
      </c>
      <c r="I256" t="n">
        <v>0</v>
      </c>
      <c r="J256" t="n">
        <v>0</v>
      </c>
      <c r="K256" t="n">
        <v>0</v>
      </c>
      <c r="L256" t="n">
        <v>0</v>
      </c>
      <c r="M256" t="n">
        <v>0</v>
      </c>
      <c r="N256" t="n">
        <v>0</v>
      </c>
      <c r="O256" t="n">
        <v>0</v>
      </c>
      <c r="P256" t="n">
        <v>0</v>
      </c>
      <c r="Q256" t="n">
        <v>0</v>
      </c>
      <c r="R256" s="2" t="inlineStr"/>
    </row>
    <row r="257" ht="15" customHeight="1">
      <c r="A257" t="inlineStr">
        <is>
          <t>A 67774-2020</t>
        </is>
      </c>
      <c r="B257" s="1" t="n">
        <v>44182</v>
      </c>
      <c r="C257" s="1" t="n">
        <v>45852</v>
      </c>
      <c r="D257" t="inlineStr">
        <is>
          <t>DALARNAS LÄN</t>
        </is>
      </c>
      <c r="E257" t="inlineStr">
        <is>
          <t>MALUNG-SÄLEN</t>
        </is>
      </c>
      <c r="F257" t="inlineStr">
        <is>
          <t>Bergvik skog öst AB</t>
        </is>
      </c>
      <c r="G257" t="n">
        <v>4.9</v>
      </c>
      <c r="H257" t="n">
        <v>0</v>
      </c>
      <c r="I257" t="n">
        <v>0</v>
      </c>
      <c r="J257" t="n">
        <v>0</v>
      </c>
      <c r="K257" t="n">
        <v>0</v>
      </c>
      <c r="L257" t="n">
        <v>0</v>
      </c>
      <c r="M257" t="n">
        <v>0</v>
      </c>
      <c r="N257" t="n">
        <v>0</v>
      </c>
      <c r="O257" t="n">
        <v>0</v>
      </c>
      <c r="P257" t="n">
        <v>0</v>
      </c>
      <c r="Q257" t="n">
        <v>0</v>
      </c>
      <c r="R257" s="2" t="inlineStr"/>
    </row>
    <row r="258" ht="15" customHeight="1">
      <c r="A258" t="inlineStr">
        <is>
          <t>A 68150-2020</t>
        </is>
      </c>
      <c r="B258" s="1" t="n">
        <v>44183</v>
      </c>
      <c r="C258" s="1" t="n">
        <v>45852</v>
      </c>
      <c r="D258" t="inlineStr">
        <is>
          <t>DALARNAS LÄN</t>
        </is>
      </c>
      <c r="E258" t="inlineStr">
        <is>
          <t>MALUNG-SÄLEN</t>
        </is>
      </c>
      <c r="G258" t="n">
        <v>4.1</v>
      </c>
      <c r="H258" t="n">
        <v>0</v>
      </c>
      <c r="I258" t="n">
        <v>0</v>
      </c>
      <c r="J258" t="n">
        <v>0</v>
      </c>
      <c r="K258" t="n">
        <v>0</v>
      </c>
      <c r="L258" t="n">
        <v>0</v>
      </c>
      <c r="M258" t="n">
        <v>0</v>
      </c>
      <c r="N258" t="n">
        <v>0</v>
      </c>
      <c r="O258" t="n">
        <v>0</v>
      </c>
      <c r="P258" t="n">
        <v>0</v>
      </c>
      <c r="Q258" t="n">
        <v>0</v>
      </c>
      <c r="R258" s="2" t="inlineStr"/>
    </row>
    <row r="259" ht="15" customHeight="1">
      <c r="A259" t="inlineStr">
        <is>
          <t>A 68326-2020</t>
        </is>
      </c>
      <c r="B259" s="1" t="n">
        <v>44185</v>
      </c>
      <c r="C259" s="1" t="n">
        <v>45852</v>
      </c>
      <c r="D259" t="inlineStr">
        <is>
          <t>DALARNAS LÄN</t>
        </is>
      </c>
      <c r="E259" t="inlineStr">
        <is>
          <t>MALUNG-SÄLEN</t>
        </is>
      </c>
      <c r="G259" t="n">
        <v>2.3</v>
      </c>
      <c r="H259" t="n">
        <v>0</v>
      </c>
      <c r="I259" t="n">
        <v>0</v>
      </c>
      <c r="J259" t="n">
        <v>0</v>
      </c>
      <c r="K259" t="n">
        <v>0</v>
      </c>
      <c r="L259" t="n">
        <v>0</v>
      </c>
      <c r="M259" t="n">
        <v>0</v>
      </c>
      <c r="N259" t="n">
        <v>0</v>
      </c>
      <c r="O259" t="n">
        <v>0</v>
      </c>
      <c r="P259" t="n">
        <v>0</v>
      </c>
      <c r="Q259" t="n">
        <v>0</v>
      </c>
      <c r="R259" s="2" t="inlineStr"/>
    </row>
    <row r="260" ht="15" customHeight="1">
      <c r="A260" t="inlineStr">
        <is>
          <t>A 68323-2020</t>
        </is>
      </c>
      <c r="B260" s="1" t="n">
        <v>44185</v>
      </c>
      <c r="C260" s="1" t="n">
        <v>45852</v>
      </c>
      <c r="D260" t="inlineStr">
        <is>
          <t>DALARNAS LÄN</t>
        </is>
      </c>
      <c r="E260" t="inlineStr">
        <is>
          <t>MALUNG-SÄLEN</t>
        </is>
      </c>
      <c r="G260" t="n">
        <v>2.6</v>
      </c>
      <c r="H260" t="n">
        <v>0</v>
      </c>
      <c r="I260" t="n">
        <v>0</v>
      </c>
      <c r="J260" t="n">
        <v>0</v>
      </c>
      <c r="K260" t="n">
        <v>0</v>
      </c>
      <c r="L260" t="n">
        <v>0</v>
      </c>
      <c r="M260" t="n">
        <v>0</v>
      </c>
      <c r="N260" t="n">
        <v>0</v>
      </c>
      <c r="O260" t="n">
        <v>0</v>
      </c>
      <c r="P260" t="n">
        <v>0</v>
      </c>
      <c r="Q260" t="n">
        <v>0</v>
      </c>
      <c r="R260" s="2" t="inlineStr"/>
    </row>
    <row r="261" ht="15" customHeight="1">
      <c r="A261" t="inlineStr">
        <is>
          <t>A 68325-2020</t>
        </is>
      </c>
      <c r="B261" s="1" t="n">
        <v>44185</v>
      </c>
      <c r="C261" s="1" t="n">
        <v>45852</v>
      </c>
      <c r="D261" t="inlineStr">
        <is>
          <t>DALARNAS LÄN</t>
        </is>
      </c>
      <c r="E261" t="inlineStr">
        <is>
          <t>MALUNG-SÄLEN</t>
        </is>
      </c>
      <c r="G261" t="n">
        <v>1.4</v>
      </c>
      <c r="H261" t="n">
        <v>0</v>
      </c>
      <c r="I261" t="n">
        <v>0</v>
      </c>
      <c r="J261" t="n">
        <v>0</v>
      </c>
      <c r="K261" t="n">
        <v>0</v>
      </c>
      <c r="L261" t="n">
        <v>0</v>
      </c>
      <c r="M261" t="n">
        <v>0</v>
      </c>
      <c r="N261" t="n">
        <v>0</v>
      </c>
      <c r="O261" t="n">
        <v>0</v>
      </c>
      <c r="P261" t="n">
        <v>0</v>
      </c>
      <c r="Q261" t="n">
        <v>0</v>
      </c>
      <c r="R261" s="2" t="inlineStr"/>
    </row>
    <row r="262" ht="15" customHeight="1">
      <c r="A262" t="inlineStr">
        <is>
          <t>A 68324-2020</t>
        </is>
      </c>
      <c r="B262" s="1" t="n">
        <v>44185</v>
      </c>
      <c r="C262" s="1" t="n">
        <v>45852</v>
      </c>
      <c r="D262" t="inlineStr">
        <is>
          <t>DALARNAS LÄN</t>
        </is>
      </c>
      <c r="E262" t="inlineStr">
        <is>
          <t>MALUNG-SÄLEN</t>
        </is>
      </c>
      <c r="G262" t="n">
        <v>3.2</v>
      </c>
      <c r="H262" t="n">
        <v>0</v>
      </c>
      <c r="I262" t="n">
        <v>0</v>
      </c>
      <c r="J262" t="n">
        <v>0</v>
      </c>
      <c r="K262" t="n">
        <v>0</v>
      </c>
      <c r="L262" t="n">
        <v>0</v>
      </c>
      <c r="M262" t="n">
        <v>0</v>
      </c>
      <c r="N262" t="n">
        <v>0</v>
      </c>
      <c r="O262" t="n">
        <v>0</v>
      </c>
      <c r="P262" t="n">
        <v>0</v>
      </c>
      <c r="Q262" t="n">
        <v>0</v>
      </c>
      <c r="R262" s="2" t="inlineStr"/>
    </row>
    <row r="263" ht="15" customHeight="1">
      <c r="A263" t="inlineStr">
        <is>
          <t>A 69555-2020</t>
        </is>
      </c>
      <c r="B263" s="1" t="n">
        <v>44194</v>
      </c>
      <c r="C263" s="1" t="n">
        <v>45852</v>
      </c>
      <c r="D263" t="inlineStr">
        <is>
          <t>DALARNAS LÄN</t>
        </is>
      </c>
      <c r="E263" t="inlineStr">
        <is>
          <t>MALUNG-SÄLEN</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185-2021</t>
        </is>
      </c>
      <c r="B264" s="1" t="n">
        <v>44200</v>
      </c>
      <c r="C264" s="1" t="n">
        <v>45852</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283-2021</t>
        </is>
      </c>
      <c r="B265" s="1" t="n">
        <v>44201</v>
      </c>
      <c r="C265" s="1" t="n">
        <v>45852</v>
      </c>
      <c r="D265" t="inlineStr">
        <is>
          <t>DALARNAS LÄN</t>
        </is>
      </c>
      <c r="E265" t="inlineStr">
        <is>
          <t>MALUNG-SÄLEN</t>
        </is>
      </c>
      <c r="G265" t="n">
        <v>4.8</v>
      </c>
      <c r="H265" t="n">
        <v>0</v>
      </c>
      <c r="I265" t="n">
        <v>0</v>
      </c>
      <c r="J265" t="n">
        <v>0</v>
      </c>
      <c r="K265" t="n">
        <v>0</v>
      </c>
      <c r="L265" t="n">
        <v>0</v>
      </c>
      <c r="M265" t="n">
        <v>0</v>
      </c>
      <c r="N265" t="n">
        <v>0</v>
      </c>
      <c r="O265" t="n">
        <v>0</v>
      </c>
      <c r="P265" t="n">
        <v>0</v>
      </c>
      <c r="Q265" t="n">
        <v>0</v>
      </c>
      <c r="R265" s="2" t="inlineStr"/>
    </row>
    <row r="266" ht="15" customHeight="1">
      <c r="A266" t="inlineStr">
        <is>
          <t>A 560-2021</t>
        </is>
      </c>
      <c r="B266" s="1" t="n">
        <v>44203</v>
      </c>
      <c r="C266" s="1" t="n">
        <v>45852</v>
      </c>
      <c r="D266" t="inlineStr">
        <is>
          <t>DALARNAS LÄN</t>
        </is>
      </c>
      <c r="E266" t="inlineStr">
        <is>
          <t>MALUNG-SÄLEN</t>
        </is>
      </c>
      <c r="G266" t="n">
        <v>5.8</v>
      </c>
      <c r="H266" t="n">
        <v>0</v>
      </c>
      <c r="I266" t="n">
        <v>0</v>
      </c>
      <c r="J266" t="n">
        <v>0</v>
      </c>
      <c r="K266" t="n">
        <v>0</v>
      </c>
      <c r="L266" t="n">
        <v>0</v>
      </c>
      <c r="M266" t="n">
        <v>0</v>
      </c>
      <c r="N266" t="n">
        <v>0</v>
      </c>
      <c r="O266" t="n">
        <v>0</v>
      </c>
      <c r="P266" t="n">
        <v>0</v>
      </c>
      <c r="Q266" t="n">
        <v>0</v>
      </c>
      <c r="R266" s="2" t="inlineStr"/>
    </row>
    <row r="267" ht="15" customHeight="1">
      <c r="A267" t="inlineStr">
        <is>
          <t>A 1286-2021</t>
        </is>
      </c>
      <c r="B267" s="1" t="n">
        <v>44208</v>
      </c>
      <c r="C267" s="1" t="n">
        <v>45852</v>
      </c>
      <c r="D267" t="inlineStr">
        <is>
          <t>DALARNAS LÄN</t>
        </is>
      </c>
      <c r="E267" t="inlineStr">
        <is>
          <t>MALUNG-SÄLEN</t>
        </is>
      </c>
      <c r="G267" t="n">
        <v>7.7</v>
      </c>
      <c r="H267" t="n">
        <v>0</v>
      </c>
      <c r="I267" t="n">
        <v>0</v>
      </c>
      <c r="J267" t="n">
        <v>0</v>
      </c>
      <c r="K267" t="n">
        <v>0</v>
      </c>
      <c r="L267" t="n">
        <v>0</v>
      </c>
      <c r="M267" t="n">
        <v>0</v>
      </c>
      <c r="N267" t="n">
        <v>0</v>
      </c>
      <c r="O267" t="n">
        <v>0</v>
      </c>
      <c r="P267" t="n">
        <v>0</v>
      </c>
      <c r="Q267" t="n">
        <v>0</v>
      </c>
      <c r="R267" s="2" t="inlineStr"/>
    </row>
    <row r="268" ht="15" customHeight="1">
      <c r="A268" t="inlineStr">
        <is>
          <t>A 1837-2021</t>
        </is>
      </c>
      <c r="B268" s="1" t="n">
        <v>44210</v>
      </c>
      <c r="C268" s="1" t="n">
        <v>45852</v>
      </c>
      <c r="D268" t="inlineStr">
        <is>
          <t>DALARNAS LÄN</t>
        </is>
      </c>
      <c r="E268" t="inlineStr">
        <is>
          <t>MALUNG-SÄLEN</t>
        </is>
      </c>
      <c r="G268" t="n">
        <v>1.9</v>
      </c>
      <c r="H268" t="n">
        <v>0</v>
      </c>
      <c r="I268" t="n">
        <v>0</v>
      </c>
      <c r="J268" t="n">
        <v>0</v>
      </c>
      <c r="K268" t="n">
        <v>0</v>
      </c>
      <c r="L268" t="n">
        <v>0</v>
      </c>
      <c r="M268" t="n">
        <v>0</v>
      </c>
      <c r="N268" t="n">
        <v>0</v>
      </c>
      <c r="O268" t="n">
        <v>0</v>
      </c>
      <c r="P268" t="n">
        <v>0</v>
      </c>
      <c r="Q268" t="n">
        <v>0</v>
      </c>
      <c r="R268" s="2" t="inlineStr"/>
    </row>
    <row r="269" ht="15" customHeight="1">
      <c r="A269" t="inlineStr">
        <is>
          <t>A 2208-2021</t>
        </is>
      </c>
      <c r="B269" s="1" t="n">
        <v>44211</v>
      </c>
      <c r="C269" s="1" t="n">
        <v>45852</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2390-2021</t>
        </is>
      </c>
      <c r="B270" s="1" t="n">
        <v>44214</v>
      </c>
      <c r="C270" s="1" t="n">
        <v>45852</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2406-2021</t>
        </is>
      </c>
      <c r="B271" s="1" t="n">
        <v>44214</v>
      </c>
      <c r="C271" s="1" t="n">
        <v>45852</v>
      </c>
      <c r="D271" t="inlineStr">
        <is>
          <t>DALARNAS LÄN</t>
        </is>
      </c>
      <c r="E271" t="inlineStr">
        <is>
          <t>MALUNG-SÄLEN</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2391-2021</t>
        </is>
      </c>
      <c r="B272" s="1" t="n">
        <v>44214</v>
      </c>
      <c r="C272" s="1" t="n">
        <v>45852</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3132-2021</t>
        </is>
      </c>
      <c r="B273" s="1" t="n">
        <v>44217</v>
      </c>
      <c r="C273" s="1" t="n">
        <v>45852</v>
      </c>
      <c r="D273" t="inlineStr">
        <is>
          <t>DALARNAS LÄN</t>
        </is>
      </c>
      <c r="E273" t="inlineStr">
        <is>
          <t>MALUNG-SÄLEN</t>
        </is>
      </c>
      <c r="G273" t="n">
        <v>1</v>
      </c>
      <c r="H273" t="n">
        <v>0</v>
      </c>
      <c r="I273" t="n">
        <v>0</v>
      </c>
      <c r="J273" t="n">
        <v>0</v>
      </c>
      <c r="K273" t="n">
        <v>0</v>
      </c>
      <c r="L273" t="n">
        <v>0</v>
      </c>
      <c r="M273" t="n">
        <v>0</v>
      </c>
      <c r="N273" t="n">
        <v>0</v>
      </c>
      <c r="O273" t="n">
        <v>0</v>
      </c>
      <c r="P273" t="n">
        <v>0</v>
      </c>
      <c r="Q273" t="n">
        <v>0</v>
      </c>
      <c r="R273" s="2" t="inlineStr"/>
    </row>
    <row r="274" ht="15" customHeight="1">
      <c r="A274" t="inlineStr">
        <is>
          <t>A 3941-2021</t>
        </is>
      </c>
      <c r="B274" s="1" t="n">
        <v>44222</v>
      </c>
      <c r="C274" s="1" t="n">
        <v>45852</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4030-2021</t>
        </is>
      </c>
      <c r="B275" s="1" t="n">
        <v>44222</v>
      </c>
      <c r="C275" s="1" t="n">
        <v>45852</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4525-2021</t>
        </is>
      </c>
      <c r="B276" s="1" t="n">
        <v>44224</v>
      </c>
      <c r="C276" s="1" t="n">
        <v>45852</v>
      </c>
      <c r="D276" t="inlineStr">
        <is>
          <t>DALARNAS LÄN</t>
        </is>
      </c>
      <c r="E276" t="inlineStr">
        <is>
          <t>MALUNG-SÄLEN</t>
        </is>
      </c>
      <c r="G276" t="n">
        <v>5.3</v>
      </c>
      <c r="H276" t="n">
        <v>0</v>
      </c>
      <c r="I276" t="n">
        <v>0</v>
      </c>
      <c r="J276" t="n">
        <v>0</v>
      </c>
      <c r="K276" t="n">
        <v>0</v>
      </c>
      <c r="L276" t="n">
        <v>0</v>
      </c>
      <c r="M276" t="n">
        <v>0</v>
      </c>
      <c r="N276" t="n">
        <v>0</v>
      </c>
      <c r="O276" t="n">
        <v>0</v>
      </c>
      <c r="P276" t="n">
        <v>0</v>
      </c>
      <c r="Q276" t="n">
        <v>0</v>
      </c>
      <c r="R276" s="2" t="inlineStr"/>
    </row>
    <row r="277" ht="15" customHeight="1">
      <c r="A277" t="inlineStr">
        <is>
          <t>A 5215-2021</t>
        </is>
      </c>
      <c r="B277" s="1" t="n">
        <v>44229</v>
      </c>
      <c r="C277" s="1" t="n">
        <v>45852</v>
      </c>
      <c r="D277" t="inlineStr">
        <is>
          <t>DALARNAS LÄN</t>
        </is>
      </c>
      <c r="E277" t="inlineStr">
        <is>
          <t>MALUNG-SÄLEN</t>
        </is>
      </c>
      <c r="G277" t="n">
        <v>1.7</v>
      </c>
      <c r="H277" t="n">
        <v>0</v>
      </c>
      <c r="I277" t="n">
        <v>0</v>
      </c>
      <c r="J277" t="n">
        <v>0</v>
      </c>
      <c r="K277" t="n">
        <v>0</v>
      </c>
      <c r="L277" t="n">
        <v>0</v>
      </c>
      <c r="M277" t="n">
        <v>0</v>
      </c>
      <c r="N277" t="n">
        <v>0</v>
      </c>
      <c r="O277" t="n">
        <v>0</v>
      </c>
      <c r="P277" t="n">
        <v>0</v>
      </c>
      <c r="Q277" t="n">
        <v>0</v>
      </c>
      <c r="R277" s="2" t="inlineStr"/>
    </row>
    <row r="278" ht="15" customHeight="1">
      <c r="A278" t="inlineStr">
        <is>
          <t>A 6254-2021</t>
        </is>
      </c>
      <c r="B278" s="1" t="n">
        <v>44235</v>
      </c>
      <c r="C278" s="1" t="n">
        <v>45852</v>
      </c>
      <c r="D278" t="inlineStr">
        <is>
          <t>DALARNAS LÄN</t>
        </is>
      </c>
      <c r="E278" t="inlineStr">
        <is>
          <t>MALUNG-SÄLEN</t>
        </is>
      </c>
      <c r="G278" t="n">
        <v>0.8</v>
      </c>
      <c r="H278" t="n">
        <v>0</v>
      </c>
      <c r="I278" t="n">
        <v>0</v>
      </c>
      <c r="J278" t="n">
        <v>0</v>
      </c>
      <c r="K278" t="n">
        <v>0</v>
      </c>
      <c r="L278" t="n">
        <v>0</v>
      </c>
      <c r="M278" t="n">
        <v>0</v>
      </c>
      <c r="N278" t="n">
        <v>0</v>
      </c>
      <c r="O278" t="n">
        <v>0</v>
      </c>
      <c r="P278" t="n">
        <v>0</v>
      </c>
      <c r="Q278" t="n">
        <v>0</v>
      </c>
      <c r="R278" s="2" t="inlineStr"/>
    </row>
    <row r="279" ht="15" customHeight="1">
      <c r="A279" t="inlineStr">
        <is>
          <t>A 7859-2021</t>
        </is>
      </c>
      <c r="B279" s="1" t="n">
        <v>44242</v>
      </c>
      <c r="C279" s="1" t="n">
        <v>45852</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12376-2021</t>
        </is>
      </c>
      <c r="B280" s="1" t="n">
        <v>44267</v>
      </c>
      <c r="C280" s="1" t="n">
        <v>45852</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12375-2021</t>
        </is>
      </c>
      <c r="B281" s="1" t="n">
        <v>44267</v>
      </c>
      <c r="C281" s="1" t="n">
        <v>45852</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12985-2021</t>
        </is>
      </c>
      <c r="B282" s="1" t="n">
        <v>44271</v>
      </c>
      <c r="C282" s="1" t="n">
        <v>45852</v>
      </c>
      <c r="D282" t="inlineStr">
        <is>
          <t>DALARNAS LÄN</t>
        </is>
      </c>
      <c r="E282" t="inlineStr">
        <is>
          <t>MALUNG-SÄLEN</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13934-2021</t>
        </is>
      </c>
      <c r="B283" s="1" t="n">
        <v>44277</v>
      </c>
      <c r="C283" s="1" t="n">
        <v>45852</v>
      </c>
      <c r="D283" t="inlineStr">
        <is>
          <t>DALARNAS LÄN</t>
        </is>
      </c>
      <c r="E283" t="inlineStr">
        <is>
          <t>MALUNG-SÄLEN</t>
        </is>
      </c>
      <c r="G283" t="n">
        <v>0.6</v>
      </c>
      <c r="H283" t="n">
        <v>0</v>
      </c>
      <c r="I283" t="n">
        <v>0</v>
      </c>
      <c r="J283" t="n">
        <v>0</v>
      </c>
      <c r="K283" t="n">
        <v>0</v>
      </c>
      <c r="L283" t="n">
        <v>0</v>
      </c>
      <c r="M283" t="n">
        <v>0</v>
      </c>
      <c r="N283" t="n">
        <v>0</v>
      </c>
      <c r="O283" t="n">
        <v>0</v>
      </c>
      <c r="P283" t="n">
        <v>0</v>
      </c>
      <c r="Q283" t="n">
        <v>0</v>
      </c>
      <c r="R283" s="2" t="inlineStr"/>
    </row>
    <row r="284" ht="15" customHeight="1">
      <c r="A284" t="inlineStr">
        <is>
          <t>A 14035-2021</t>
        </is>
      </c>
      <c r="B284" s="1" t="n">
        <v>44277</v>
      </c>
      <c r="C284" s="1" t="n">
        <v>45852</v>
      </c>
      <c r="D284" t="inlineStr">
        <is>
          <t>DALARNAS LÄN</t>
        </is>
      </c>
      <c r="E284" t="inlineStr">
        <is>
          <t>MALUNG-SÄLEN</t>
        </is>
      </c>
      <c r="G284" t="n">
        <v>6.9</v>
      </c>
      <c r="H284" t="n">
        <v>0</v>
      </c>
      <c r="I284" t="n">
        <v>0</v>
      </c>
      <c r="J284" t="n">
        <v>0</v>
      </c>
      <c r="K284" t="n">
        <v>0</v>
      </c>
      <c r="L284" t="n">
        <v>0</v>
      </c>
      <c r="M284" t="n">
        <v>0</v>
      </c>
      <c r="N284" t="n">
        <v>0</v>
      </c>
      <c r="O284" t="n">
        <v>0</v>
      </c>
      <c r="P284" t="n">
        <v>0</v>
      </c>
      <c r="Q284" t="n">
        <v>0</v>
      </c>
      <c r="R284" s="2" t="inlineStr"/>
    </row>
    <row r="285" ht="15" customHeight="1">
      <c r="A285" t="inlineStr">
        <is>
          <t>A 15734-2021</t>
        </is>
      </c>
      <c r="B285" s="1" t="n">
        <v>44286</v>
      </c>
      <c r="C285" s="1" t="n">
        <v>45852</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17502-2021</t>
        </is>
      </c>
      <c r="B286" s="1" t="n">
        <v>44299</v>
      </c>
      <c r="C286" s="1" t="n">
        <v>45852</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17763-2021</t>
        </is>
      </c>
      <c r="B287" s="1" t="n">
        <v>44300</v>
      </c>
      <c r="C287" s="1" t="n">
        <v>45852</v>
      </c>
      <c r="D287" t="inlineStr">
        <is>
          <t>DALARNAS LÄN</t>
        </is>
      </c>
      <c r="E287" t="inlineStr">
        <is>
          <t>MALUNG-SÄLEN</t>
        </is>
      </c>
      <c r="G287" t="n">
        <v>3</v>
      </c>
      <c r="H287" t="n">
        <v>0</v>
      </c>
      <c r="I287" t="n">
        <v>0</v>
      </c>
      <c r="J287" t="n">
        <v>0</v>
      </c>
      <c r="K287" t="n">
        <v>0</v>
      </c>
      <c r="L287" t="n">
        <v>0</v>
      </c>
      <c r="M287" t="n">
        <v>0</v>
      </c>
      <c r="N287" t="n">
        <v>0</v>
      </c>
      <c r="O287" t="n">
        <v>0</v>
      </c>
      <c r="P287" t="n">
        <v>0</v>
      </c>
      <c r="Q287" t="n">
        <v>0</v>
      </c>
      <c r="R287" s="2" t="inlineStr"/>
    </row>
    <row r="288" ht="15" customHeight="1">
      <c r="A288" t="inlineStr">
        <is>
          <t>A 18637-2021</t>
        </is>
      </c>
      <c r="B288" s="1" t="n">
        <v>44306</v>
      </c>
      <c r="C288" s="1" t="n">
        <v>45852</v>
      </c>
      <c r="D288" t="inlineStr">
        <is>
          <t>DALARNAS LÄN</t>
        </is>
      </c>
      <c r="E288" t="inlineStr">
        <is>
          <t>MALUNG-SÄLEN</t>
        </is>
      </c>
      <c r="G288" t="n">
        <v>1.9</v>
      </c>
      <c r="H288" t="n">
        <v>0</v>
      </c>
      <c r="I288" t="n">
        <v>0</v>
      </c>
      <c r="J288" t="n">
        <v>0</v>
      </c>
      <c r="K288" t="n">
        <v>0</v>
      </c>
      <c r="L288" t="n">
        <v>0</v>
      </c>
      <c r="M288" t="n">
        <v>0</v>
      </c>
      <c r="N288" t="n">
        <v>0</v>
      </c>
      <c r="O288" t="n">
        <v>0</v>
      </c>
      <c r="P288" t="n">
        <v>0</v>
      </c>
      <c r="Q288" t="n">
        <v>0</v>
      </c>
      <c r="R288" s="2" t="inlineStr"/>
    </row>
    <row r="289" ht="15" customHeight="1">
      <c r="A289" t="inlineStr">
        <is>
          <t>A 19768-2021</t>
        </is>
      </c>
      <c r="B289" s="1" t="n">
        <v>44312</v>
      </c>
      <c r="C289" s="1" t="n">
        <v>45852</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19764-2021</t>
        </is>
      </c>
      <c r="B290" s="1" t="n">
        <v>44313</v>
      </c>
      <c r="C290" s="1" t="n">
        <v>45852</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19944-2021</t>
        </is>
      </c>
      <c r="B291" s="1" t="n">
        <v>44313</v>
      </c>
      <c r="C291" s="1" t="n">
        <v>45852</v>
      </c>
      <c r="D291" t="inlineStr">
        <is>
          <t>DALARNAS LÄN</t>
        </is>
      </c>
      <c r="E291" t="inlineStr">
        <is>
          <t>MALUNG-SÄLEN</t>
        </is>
      </c>
      <c r="G291" t="n">
        <v>10.7</v>
      </c>
      <c r="H291" t="n">
        <v>0</v>
      </c>
      <c r="I291" t="n">
        <v>0</v>
      </c>
      <c r="J291" t="n">
        <v>0</v>
      </c>
      <c r="K291" t="n">
        <v>0</v>
      </c>
      <c r="L291" t="n">
        <v>0</v>
      </c>
      <c r="M291" t="n">
        <v>0</v>
      </c>
      <c r="N291" t="n">
        <v>0</v>
      </c>
      <c r="O291" t="n">
        <v>0</v>
      </c>
      <c r="P291" t="n">
        <v>0</v>
      </c>
      <c r="Q291" t="n">
        <v>0</v>
      </c>
      <c r="R291" s="2" t="inlineStr"/>
    </row>
    <row r="292" ht="15" customHeight="1">
      <c r="A292" t="inlineStr">
        <is>
          <t>A 19924-2021</t>
        </is>
      </c>
      <c r="B292" s="1" t="n">
        <v>44313</v>
      </c>
      <c r="C292" s="1" t="n">
        <v>45852</v>
      </c>
      <c r="D292" t="inlineStr">
        <is>
          <t>DALARNAS LÄN</t>
        </is>
      </c>
      <c r="E292" t="inlineStr">
        <is>
          <t>MALUNG-SÄLEN</t>
        </is>
      </c>
      <c r="G292" t="n">
        <v>17.3</v>
      </c>
      <c r="H292" t="n">
        <v>0</v>
      </c>
      <c r="I292" t="n">
        <v>0</v>
      </c>
      <c r="J292" t="n">
        <v>0</v>
      </c>
      <c r="K292" t="n">
        <v>0</v>
      </c>
      <c r="L292" t="n">
        <v>0</v>
      </c>
      <c r="M292" t="n">
        <v>0</v>
      </c>
      <c r="N292" t="n">
        <v>0</v>
      </c>
      <c r="O292" t="n">
        <v>0</v>
      </c>
      <c r="P292" t="n">
        <v>0</v>
      </c>
      <c r="Q292" t="n">
        <v>0</v>
      </c>
      <c r="R292" s="2" t="inlineStr"/>
    </row>
    <row r="293" ht="15" customHeight="1">
      <c r="A293" t="inlineStr">
        <is>
          <t>A 20228-2021</t>
        </is>
      </c>
      <c r="B293" s="1" t="n">
        <v>44314</v>
      </c>
      <c r="C293" s="1" t="n">
        <v>45852</v>
      </c>
      <c r="D293" t="inlineStr">
        <is>
          <t>DALARNAS LÄN</t>
        </is>
      </c>
      <c r="E293" t="inlineStr">
        <is>
          <t>MALUNG-SÄLEN</t>
        </is>
      </c>
      <c r="G293" t="n">
        <v>2</v>
      </c>
      <c r="H293" t="n">
        <v>0</v>
      </c>
      <c r="I293" t="n">
        <v>0</v>
      </c>
      <c r="J293" t="n">
        <v>0</v>
      </c>
      <c r="K293" t="n">
        <v>0</v>
      </c>
      <c r="L293" t="n">
        <v>0</v>
      </c>
      <c r="M293" t="n">
        <v>0</v>
      </c>
      <c r="N293" t="n">
        <v>0</v>
      </c>
      <c r="O293" t="n">
        <v>0</v>
      </c>
      <c r="P293" t="n">
        <v>0</v>
      </c>
      <c r="Q293" t="n">
        <v>0</v>
      </c>
      <c r="R293" s="2" t="inlineStr"/>
    </row>
    <row r="294" ht="15" customHeight="1">
      <c r="A294" t="inlineStr">
        <is>
          <t>A 20427-2021</t>
        </is>
      </c>
      <c r="B294" s="1" t="n">
        <v>44315</v>
      </c>
      <c r="C294" s="1" t="n">
        <v>45852</v>
      </c>
      <c r="D294" t="inlineStr">
        <is>
          <t>DALARNAS LÄN</t>
        </is>
      </c>
      <c r="E294" t="inlineStr">
        <is>
          <t>MALUNG-SÄLEN</t>
        </is>
      </c>
      <c r="F294" t="inlineStr">
        <is>
          <t>Bergvik skog väst AB</t>
        </is>
      </c>
      <c r="G294" t="n">
        <v>13.1</v>
      </c>
      <c r="H294" t="n">
        <v>0</v>
      </c>
      <c r="I294" t="n">
        <v>0</v>
      </c>
      <c r="J294" t="n">
        <v>0</v>
      </c>
      <c r="K294" t="n">
        <v>0</v>
      </c>
      <c r="L294" t="n">
        <v>0</v>
      </c>
      <c r="M294" t="n">
        <v>0</v>
      </c>
      <c r="N294" t="n">
        <v>0</v>
      </c>
      <c r="O294" t="n">
        <v>0</v>
      </c>
      <c r="P294" t="n">
        <v>0</v>
      </c>
      <c r="Q294" t="n">
        <v>0</v>
      </c>
      <c r="R294" s="2" t="inlineStr"/>
    </row>
    <row r="295" ht="15" customHeight="1">
      <c r="A295" t="inlineStr">
        <is>
          <t>A 21011-2021</t>
        </is>
      </c>
      <c r="B295" s="1" t="n">
        <v>44319</v>
      </c>
      <c r="C295" s="1" t="n">
        <v>45852</v>
      </c>
      <c r="D295" t="inlineStr">
        <is>
          <t>DALARNAS LÄN</t>
        </is>
      </c>
      <c r="E295" t="inlineStr">
        <is>
          <t>MALUNG-SÄLEN</t>
        </is>
      </c>
      <c r="G295" t="n">
        <v>1.5</v>
      </c>
      <c r="H295" t="n">
        <v>0</v>
      </c>
      <c r="I295" t="n">
        <v>0</v>
      </c>
      <c r="J295" t="n">
        <v>0</v>
      </c>
      <c r="K295" t="n">
        <v>0</v>
      </c>
      <c r="L295" t="n">
        <v>0</v>
      </c>
      <c r="M295" t="n">
        <v>0</v>
      </c>
      <c r="N295" t="n">
        <v>0</v>
      </c>
      <c r="O295" t="n">
        <v>0</v>
      </c>
      <c r="P295" t="n">
        <v>0</v>
      </c>
      <c r="Q295" t="n">
        <v>0</v>
      </c>
      <c r="R295" s="2" t="inlineStr"/>
    </row>
    <row r="296" ht="15" customHeight="1">
      <c r="A296" t="inlineStr">
        <is>
          <t>A 21018-2021</t>
        </is>
      </c>
      <c r="B296" s="1" t="n">
        <v>44319</v>
      </c>
      <c r="C296" s="1" t="n">
        <v>45852</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21368-2021</t>
        </is>
      </c>
      <c r="B297" s="1" t="n">
        <v>44321</v>
      </c>
      <c r="C297" s="1" t="n">
        <v>45852</v>
      </c>
      <c r="D297" t="inlineStr">
        <is>
          <t>DALARNAS LÄN</t>
        </is>
      </c>
      <c r="E297" t="inlineStr">
        <is>
          <t>MALUNG-SÄLEN</t>
        </is>
      </c>
      <c r="G297" t="n">
        <v>6.2</v>
      </c>
      <c r="H297" t="n">
        <v>0</v>
      </c>
      <c r="I297" t="n">
        <v>0</v>
      </c>
      <c r="J297" t="n">
        <v>0</v>
      </c>
      <c r="K297" t="n">
        <v>0</v>
      </c>
      <c r="L297" t="n">
        <v>0</v>
      </c>
      <c r="M297" t="n">
        <v>0</v>
      </c>
      <c r="N297" t="n">
        <v>0</v>
      </c>
      <c r="O297" t="n">
        <v>0</v>
      </c>
      <c r="P297" t="n">
        <v>0</v>
      </c>
      <c r="Q297" t="n">
        <v>0</v>
      </c>
      <c r="R297" s="2" t="inlineStr"/>
    </row>
    <row r="298" ht="15" customHeight="1">
      <c r="A298" t="inlineStr">
        <is>
          <t>A 21566-2021</t>
        </is>
      </c>
      <c r="B298" s="1" t="n">
        <v>44321</v>
      </c>
      <c r="C298" s="1" t="n">
        <v>45852</v>
      </c>
      <c r="D298" t="inlineStr">
        <is>
          <t>DALARNAS LÄN</t>
        </is>
      </c>
      <c r="E298" t="inlineStr">
        <is>
          <t>MALUNG-SÄLEN</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22455-2021</t>
        </is>
      </c>
      <c r="B299" s="1" t="n">
        <v>44321</v>
      </c>
      <c r="C299" s="1" t="n">
        <v>45852</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22721-2021</t>
        </is>
      </c>
      <c r="B300" s="1" t="n">
        <v>44325</v>
      </c>
      <c r="C300" s="1" t="n">
        <v>45852</v>
      </c>
      <c r="D300" t="inlineStr">
        <is>
          <t>DALARNAS LÄN</t>
        </is>
      </c>
      <c r="E300" t="inlineStr">
        <is>
          <t>MALUNG-SÄLEN</t>
        </is>
      </c>
      <c r="G300" t="n">
        <v>0.2</v>
      </c>
      <c r="H300" t="n">
        <v>0</v>
      </c>
      <c r="I300" t="n">
        <v>0</v>
      </c>
      <c r="J300" t="n">
        <v>0</v>
      </c>
      <c r="K300" t="n">
        <v>0</v>
      </c>
      <c r="L300" t="n">
        <v>0</v>
      </c>
      <c r="M300" t="n">
        <v>0</v>
      </c>
      <c r="N300" t="n">
        <v>0</v>
      </c>
      <c r="O300" t="n">
        <v>0</v>
      </c>
      <c r="P300" t="n">
        <v>0</v>
      </c>
      <c r="Q300" t="n">
        <v>0</v>
      </c>
      <c r="R300" s="2" t="inlineStr"/>
    </row>
    <row r="301" ht="15" customHeight="1">
      <c r="A301" t="inlineStr">
        <is>
          <t>A 22329-2021</t>
        </is>
      </c>
      <c r="B301" s="1" t="n">
        <v>44326</v>
      </c>
      <c r="C301" s="1" t="n">
        <v>45852</v>
      </c>
      <c r="D301" t="inlineStr">
        <is>
          <t>DALARNAS LÄN</t>
        </is>
      </c>
      <c r="E301" t="inlineStr">
        <is>
          <t>MALUNG-SÄLEN</t>
        </is>
      </c>
      <c r="G301" t="n">
        <v>2.1</v>
      </c>
      <c r="H301" t="n">
        <v>0</v>
      </c>
      <c r="I301" t="n">
        <v>0</v>
      </c>
      <c r="J301" t="n">
        <v>0</v>
      </c>
      <c r="K301" t="n">
        <v>0</v>
      </c>
      <c r="L301" t="n">
        <v>0</v>
      </c>
      <c r="M301" t="n">
        <v>0</v>
      </c>
      <c r="N301" t="n">
        <v>0</v>
      </c>
      <c r="O301" t="n">
        <v>0</v>
      </c>
      <c r="P301" t="n">
        <v>0</v>
      </c>
      <c r="Q301" t="n">
        <v>0</v>
      </c>
      <c r="R301" s="2" t="inlineStr"/>
    </row>
    <row r="302" ht="15" customHeight="1">
      <c r="A302" t="inlineStr">
        <is>
          <t>A 22258-2021</t>
        </is>
      </c>
      <c r="B302" s="1" t="n">
        <v>44326</v>
      </c>
      <c r="C302" s="1" t="n">
        <v>45852</v>
      </c>
      <c r="D302" t="inlineStr">
        <is>
          <t>DALARNAS LÄN</t>
        </is>
      </c>
      <c r="E302" t="inlineStr">
        <is>
          <t>MALUNG-SÄLEN</t>
        </is>
      </c>
      <c r="G302" t="n">
        <v>0.9</v>
      </c>
      <c r="H302" t="n">
        <v>0</v>
      </c>
      <c r="I302" t="n">
        <v>0</v>
      </c>
      <c r="J302" t="n">
        <v>0</v>
      </c>
      <c r="K302" t="n">
        <v>0</v>
      </c>
      <c r="L302" t="n">
        <v>0</v>
      </c>
      <c r="M302" t="n">
        <v>0</v>
      </c>
      <c r="N302" t="n">
        <v>0</v>
      </c>
      <c r="O302" t="n">
        <v>0</v>
      </c>
      <c r="P302" t="n">
        <v>0</v>
      </c>
      <c r="Q302" t="n">
        <v>0</v>
      </c>
      <c r="R302" s="2" t="inlineStr"/>
    </row>
    <row r="303" ht="15" customHeight="1">
      <c r="A303" t="inlineStr">
        <is>
          <t>A 22855-2021</t>
        </is>
      </c>
      <c r="B303" s="1" t="n">
        <v>44328</v>
      </c>
      <c r="C303" s="1" t="n">
        <v>45852</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23161-2021</t>
        </is>
      </c>
      <c r="B304" s="1" t="n">
        <v>44332</v>
      </c>
      <c r="C304" s="1" t="n">
        <v>45852</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23162-2021</t>
        </is>
      </c>
      <c r="B305" s="1" t="n">
        <v>44332</v>
      </c>
      <c r="C305" s="1" t="n">
        <v>45852</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23281-2021</t>
        </is>
      </c>
      <c r="B306" s="1" t="n">
        <v>44333</v>
      </c>
      <c r="C306" s="1" t="n">
        <v>45852</v>
      </c>
      <c r="D306" t="inlineStr">
        <is>
          <t>DALARNAS LÄN</t>
        </is>
      </c>
      <c r="E306" t="inlineStr">
        <is>
          <t>MALUNG-SÄLEN</t>
        </is>
      </c>
      <c r="G306" t="n">
        <v>2.9</v>
      </c>
      <c r="H306" t="n">
        <v>0</v>
      </c>
      <c r="I306" t="n">
        <v>0</v>
      </c>
      <c r="J306" t="n">
        <v>0</v>
      </c>
      <c r="K306" t="n">
        <v>0</v>
      </c>
      <c r="L306" t="n">
        <v>0</v>
      </c>
      <c r="M306" t="n">
        <v>0</v>
      </c>
      <c r="N306" t="n">
        <v>0</v>
      </c>
      <c r="O306" t="n">
        <v>0</v>
      </c>
      <c r="P306" t="n">
        <v>0</v>
      </c>
      <c r="Q306" t="n">
        <v>0</v>
      </c>
      <c r="R306" s="2" t="inlineStr"/>
    </row>
    <row r="307" ht="15" customHeight="1">
      <c r="A307" t="inlineStr">
        <is>
          <t>A 23953-2021</t>
        </is>
      </c>
      <c r="B307" s="1" t="n">
        <v>44335</v>
      </c>
      <c r="C307" s="1" t="n">
        <v>45852</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25285-2021</t>
        </is>
      </c>
      <c r="B308" s="1" t="n">
        <v>44342</v>
      </c>
      <c r="C308" s="1" t="n">
        <v>45852</v>
      </c>
      <c r="D308" t="inlineStr">
        <is>
          <t>DALARNAS LÄN</t>
        </is>
      </c>
      <c r="E308" t="inlineStr">
        <is>
          <t>MALUNG-SÄLEN</t>
        </is>
      </c>
      <c r="G308" t="n">
        <v>1.4</v>
      </c>
      <c r="H308" t="n">
        <v>0</v>
      </c>
      <c r="I308" t="n">
        <v>0</v>
      </c>
      <c r="J308" t="n">
        <v>0</v>
      </c>
      <c r="K308" t="n">
        <v>0</v>
      </c>
      <c r="L308" t="n">
        <v>0</v>
      </c>
      <c r="M308" t="n">
        <v>0</v>
      </c>
      <c r="N308" t="n">
        <v>0</v>
      </c>
      <c r="O308" t="n">
        <v>0</v>
      </c>
      <c r="P308" t="n">
        <v>0</v>
      </c>
      <c r="Q308" t="n">
        <v>0</v>
      </c>
      <c r="R308" s="2" t="inlineStr"/>
    </row>
    <row r="309" ht="15" customHeight="1">
      <c r="A309" t="inlineStr">
        <is>
          <t>A 26341-2021</t>
        </is>
      </c>
      <c r="B309" s="1" t="n">
        <v>44347</v>
      </c>
      <c r="C309" s="1" t="n">
        <v>45852</v>
      </c>
      <c r="D309" t="inlineStr">
        <is>
          <t>DALARNAS LÄN</t>
        </is>
      </c>
      <c r="E309" t="inlineStr">
        <is>
          <t>MALUNG-SÄLEN</t>
        </is>
      </c>
      <c r="G309" t="n">
        <v>2.4</v>
      </c>
      <c r="H309" t="n">
        <v>0</v>
      </c>
      <c r="I309" t="n">
        <v>0</v>
      </c>
      <c r="J309" t="n">
        <v>0</v>
      </c>
      <c r="K309" t="n">
        <v>0</v>
      </c>
      <c r="L309" t="n">
        <v>0</v>
      </c>
      <c r="M309" t="n">
        <v>0</v>
      </c>
      <c r="N309" t="n">
        <v>0</v>
      </c>
      <c r="O309" t="n">
        <v>0</v>
      </c>
      <c r="P309" t="n">
        <v>0</v>
      </c>
      <c r="Q309" t="n">
        <v>0</v>
      </c>
      <c r="R309" s="2" t="inlineStr"/>
    </row>
    <row r="310" ht="15" customHeight="1">
      <c r="A310" t="inlineStr">
        <is>
          <t>A 26568-2021</t>
        </is>
      </c>
      <c r="B310" s="1" t="n">
        <v>44348</v>
      </c>
      <c r="C310" s="1" t="n">
        <v>45852</v>
      </c>
      <c r="D310" t="inlineStr">
        <is>
          <t>DALARNAS LÄN</t>
        </is>
      </c>
      <c r="E310" t="inlineStr">
        <is>
          <t>MALUNG-SÄLEN</t>
        </is>
      </c>
      <c r="F310" t="inlineStr">
        <is>
          <t>Bergvik skog öst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26693-2021</t>
        </is>
      </c>
      <c r="B311" s="1" t="n">
        <v>44349</v>
      </c>
      <c r="C311" s="1" t="n">
        <v>45852</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27047-2021</t>
        </is>
      </c>
      <c r="B312" s="1" t="n">
        <v>44350</v>
      </c>
      <c r="C312" s="1" t="n">
        <v>45852</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27470-2021</t>
        </is>
      </c>
      <c r="B313" s="1" t="n">
        <v>44351</v>
      </c>
      <c r="C313" s="1" t="n">
        <v>45852</v>
      </c>
      <c r="D313" t="inlineStr">
        <is>
          <t>DALARNAS LÄN</t>
        </is>
      </c>
      <c r="E313" t="inlineStr">
        <is>
          <t>MALUNG-SÄLEN</t>
        </is>
      </c>
      <c r="F313" t="inlineStr">
        <is>
          <t>Allmännings- och besparingsskogar</t>
        </is>
      </c>
      <c r="G313" t="n">
        <v>14.8</v>
      </c>
      <c r="H313" t="n">
        <v>0</v>
      </c>
      <c r="I313" t="n">
        <v>0</v>
      </c>
      <c r="J313" t="n">
        <v>0</v>
      </c>
      <c r="K313" t="n">
        <v>0</v>
      </c>
      <c r="L313" t="n">
        <v>0</v>
      </c>
      <c r="M313" t="n">
        <v>0</v>
      </c>
      <c r="N313" t="n">
        <v>0</v>
      </c>
      <c r="O313" t="n">
        <v>0</v>
      </c>
      <c r="P313" t="n">
        <v>0</v>
      </c>
      <c r="Q313" t="n">
        <v>0</v>
      </c>
      <c r="R313" s="2" t="inlineStr"/>
    </row>
    <row r="314" ht="15" customHeight="1">
      <c r="A314" t="inlineStr">
        <is>
          <t>A 27302-2021</t>
        </is>
      </c>
      <c r="B314" s="1" t="n">
        <v>44351</v>
      </c>
      <c r="C314" s="1" t="n">
        <v>45852</v>
      </c>
      <c r="D314" t="inlineStr">
        <is>
          <t>DALARNAS LÄN</t>
        </is>
      </c>
      <c r="E314" t="inlineStr">
        <is>
          <t>MALUNG-SÄLEN</t>
        </is>
      </c>
      <c r="F314" t="inlineStr">
        <is>
          <t>Allmännings- och besparingsskogar</t>
        </is>
      </c>
      <c r="G314" t="n">
        <v>5.7</v>
      </c>
      <c r="H314" t="n">
        <v>0</v>
      </c>
      <c r="I314" t="n">
        <v>0</v>
      </c>
      <c r="J314" t="n">
        <v>0</v>
      </c>
      <c r="K314" t="n">
        <v>0</v>
      </c>
      <c r="L314" t="n">
        <v>0</v>
      </c>
      <c r="M314" t="n">
        <v>0</v>
      </c>
      <c r="N314" t="n">
        <v>0</v>
      </c>
      <c r="O314" t="n">
        <v>0</v>
      </c>
      <c r="P314" t="n">
        <v>0</v>
      </c>
      <c r="Q314" t="n">
        <v>0</v>
      </c>
      <c r="R314" s="2" t="inlineStr"/>
    </row>
    <row r="315" ht="15" customHeight="1">
      <c r="A315" t="inlineStr">
        <is>
          <t>A 27466-2021</t>
        </is>
      </c>
      <c r="B315" s="1" t="n">
        <v>44351</v>
      </c>
      <c r="C315" s="1" t="n">
        <v>45852</v>
      </c>
      <c r="D315" t="inlineStr">
        <is>
          <t>DALARNAS LÄN</t>
        </is>
      </c>
      <c r="E315" t="inlineStr">
        <is>
          <t>MALUNG-SÄLEN</t>
        </is>
      </c>
      <c r="G315" t="n">
        <v>1.8</v>
      </c>
      <c r="H315" t="n">
        <v>0</v>
      </c>
      <c r="I315" t="n">
        <v>0</v>
      </c>
      <c r="J315" t="n">
        <v>0</v>
      </c>
      <c r="K315" t="n">
        <v>0</v>
      </c>
      <c r="L315" t="n">
        <v>0</v>
      </c>
      <c r="M315" t="n">
        <v>0</v>
      </c>
      <c r="N315" t="n">
        <v>0</v>
      </c>
      <c r="O315" t="n">
        <v>0</v>
      </c>
      <c r="P315" t="n">
        <v>0</v>
      </c>
      <c r="Q315" t="n">
        <v>0</v>
      </c>
      <c r="R315" s="2" t="inlineStr"/>
    </row>
    <row r="316" ht="15" customHeight="1">
      <c r="A316" t="inlineStr">
        <is>
          <t>A 27656-2021</t>
        </is>
      </c>
      <c r="B316" s="1" t="n">
        <v>44354</v>
      </c>
      <c r="C316" s="1" t="n">
        <v>45852</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28204-2021</t>
        </is>
      </c>
      <c r="B317" s="1" t="n">
        <v>44355</v>
      </c>
      <c r="C317" s="1" t="n">
        <v>45852</v>
      </c>
      <c r="D317" t="inlineStr">
        <is>
          <t>DALARNAS LÄN</t>
        </is>
      </c>
      <c r="E317" t="inlineStr">
        <is>
          <t>MALUNG-SÄLEN</t>
        </is>
      </c>
      <c r="F317" t="inlineStr">
        <is>
          <t>Bergvik skog öst AB</t>
        </is>
      </c>
      <c r="G317" t="n">
        <v>0.9</v>
      </c>
      <c r="H317" t="n">
        <v>0</v>
      </c>
      <c r="I317" t="n">
        <v>0</v>
      </c>
      <c r="J317" t="n">
        <v>0</v>
      </c>
      <c r="K317" t="n">
        <v>0</v>
      </c>
      <c r="L317" t="n">
        <v>0</v>
      </c>
      <c r="M317" t="n">
        <v>0</v>
      </c>
      <c r="N317" t="n">
        <v>0</v>
      </c>
      <c r="O317" t="n">
        <v>0</v>
      </c>
      <c r="P317" t="n">
        <v>0</v>
      </c>
      <c r="Q317" t="n">
        <v>0</v>
      </c>
      <c r="R317" s="2" t="inlineStr"/>
    </row>
    <row r="318" ht="15" customHeight="1">
      <c r="A318" t="inlineStr">
        <is>
          <t>A 28396-2021</t>
        </is>
      </c>
      <c r="B318" s="1" t="n">
        <v>44356</v>
      </c>
      <c r="C318" s="1" t="n">
        <v>45852</v>
      </c>
      <c r="D318" t="inlineStr">
        <is>
          <t>DALARNAS LÄN</t>
        </is>
      </c>
      <c r="E318" t="inlineStr">
        <is>
          <t>MALUNG-SÄLEN</t>
        </is>
      </c>
      <c r="G318" t="n">
        <v>0.6</v>
      </c>
      <c r="H318" t="n">
        <v>0</v>
      </c>
      <c r="I318" t="n">
        <v>0</v>
      </c>
      <c r="J318" t="n">
        <v>0</v>
      </c>
      <c r="K318" t="n">
        <v>0</v>
      </c>
      <c r="L318" t="n">
        <v>0</v>
      </c>
      <c r="M318" t="n">
        <v>0</v>
      </c>
      <c r="N318" t="n">
        <v>0</v>
      </c>
      <c r="O318" t="n">
        <v>0</v>
      </c>
      <c r="P318" t="n">
        <v>0</v>
      </c>
      <c r="Q318" t="n">
        <v>0</v>
      </c>
      <c r="R318" s="2" t="inlineStr"/>
    </row>
    <row r="319" ht="15" customHeight="1">
      <c r="A319" t="inlineStr">
        <is>
          <t>A 28415-2021</t>
        </is>
      </c>
      <c r="B319" s="1" t="n">
        <v>44356</v>
      </c>
      <c r="C319" s="1" t="n">
        <v>45852</v>
      </c>
      <c r="D319" t="inlineStr">
        <is>
          <t>DALARNAS LÄN</t>
        </is>
      </c>
      <c r="E319" t="inlineStr">
        <is>
          <t>MALUNG-SÄLEN</t>
        </is>
      </c>
      <c r="G319" t="n">
        <v>2</v>
      </c>
      <c r="H319" t="n">
        <v>0</v>
      </c>
      <c r="I319" t="n">
        <v>0</v>
      </c>
      <c r="J319" t="n">
        <v>0</v>
      </c>
      <c r="K319" t="n">
        <v>0</v>
      </c>
      <c r="L319" t="n">
        <v>0</v>
      </c>
      <c r="M319" t="n">
        <v>0</v>
      </c>
      <c r="N319" t="n">
        <v>0</v>
      </c>
      <c r="O319" t="n">
        <v>0</v>
      </c>
      <c r="P319" t="n">
        <v>0</v>
      </c>
      <c r="Q319" t="n">
        <v>0</v>
      </c>
      <c r="R319" s="2" t="inlineStr"/>
    </row>
    <row r="320" ht="15" customHeight="1">
      <c r="A320" t="inlineStr">
        <is>
          <t>A 30006-2021</t>
        </is>
      </c>
      <c r="B320" s="1" t="n">
        <v>44363</v>
      </c>
      <c r="C320" s="1" t="n">
        <v>45852</v>
      </c>
      <c r="D320" t="inlineStr">
        <is>
          <t>DALARNAS LÄN</t>
        </is>
      </c>
      <c r="E320" t="inlineStr">
        <is>
          <t>MALUNG-SÄLEN</t>
        </is>
      </c>
      <c r="G320" t="n">
        <v>1.2</v>
      </c>
      <c r="H320" t="n">
        <v>0</v>
      </c>
      <c r="I320" t="n">
        <v>0</v>
      </c>
      <c r="J320" t="n">
        <v>0</v>
      </c>
      <c r="K320" t="n">
        <v>0</v>
      </c>
      <c r="L320" t="n">
        <v>0</v>
      </c>
      <c r="M320" t="n">
        <v>0</v>
      </c>
      <c r="N320" t="n">
        <v>0</v>
      </c>
      <c r="O320" t="n">
        <v>0</v>
      </c>
      <c r="P320" t="n">
        <v>0</v>
      </c>
      <c r="Q320" t="n">
        <v>0</v>
      </c>
      <c r="R320" s="2" t="inlineStr"/>
    </row>
    <row r="321" ht="15" customHeight="1">
      <c r="A321" t="inlineStr">
        <is>
          <t>A 30140-2021</t>
        </is>
      </c>
      <c r="B321" s="1" t="n">
        <v>44363</v>
      </c>
      <c r="C321" s="1" t="n">
        <v>45852</v>
      </c>
      <c r="D321" t="inlineStr">
        <is>
          <t>DALARNAS LÄN</t>
        </is>
      </c>
      <c r="E321" t="inlineStr">
        <is>
          <t>MALUNG-SÄLEN</t>
        </is>
      </c>
      <c r="G321" t="n">
        <v>1.6</v>
      </c>
      <c r="H321" t="n">
        <v>0</v>
      </c>
      <c r="I321" t="n">
        <v>0</v>
      </c>
      <c r="J321" t="n">
        <v>0</v>
      </c>
      <c r="K321" t="n">
        <v>0</v>
      </c>
      <c r="L321" t="n">
        <v>0</v>
      </c>
      <c r="M321" t="n">
        <v>0</v>
      </c>
      <c r="N321" t="n">
        <v>0</v>
      </c>
      <c r="O321" t="n">
        <v>0</v>
      </c>
      <c r="P321" t="n">
        <v>0</v>
      </c>
      <c r="Q321" t="n">
        <v>0</v>
      </c>
      <c r="R321" s="2" t="inlineStr"/>
    </row>
    <row r="322" ht="15" customHeight="1">
      <c r="A322" t="inlineStr">
        <is>
          <t>A 30079-2021</t>
        </is>
      </c>
      <c r="B322" s="1" t="n">
        <v>44363</v>
      </c>
      <c r="C322" s="1" t="n">
        <v>45852</v>
      </c>
      <c r="D322" t="inlineStr">
        <is>
          <t>DALARNAS LÄN</t>
        </is>
      </c>
      <c r="E322" t="inlineStr">
        <is>
          <t>MALUNG-SÄLEN</t>
        </is>
      </c>
      <c r="G322" t="n">
        <v>4.9</v>
      </c>
      <c r="H322" t="n">
        <v>0</v>
      </c>
      <c r="I322" t="n">
        <v>0</v>
      </c>
      <c r="J322" t="n">
        <v>0</v>
      </c>
      <c r="K322" t="n">
        <v>0</v>
      </c>
      <c r="L322" t="n">
        <v>0</v>
      </c>
      <c r="M322" t="n">
        <v>0</v>
      </c>
      <c r="N322" t="n">
        <v>0</v>
      </c>
      <c r="O322" t="n">
        <v>0</v>
      </c>
      <c r="P322" t="n">
        <v>0</v>
      </c>
      <c r="Q322" t="n">
        <v>0</v>
      </c>
      <c r="R322" s="2" t="inlineStr"/>
    </row>
    <row r="323" ht="15" customHeight="1">
      <c r="A323" t="inlineStr">
        <is>
          <t>A 30405-2021</t>
        </is>
      </c>
      <c r="B323" s="1" t="n">
        <v>44364</v>
      </c>
      <c r="C323" s="1" t="n">
        <v>45852</v>
      </c>
      <c r="D323" t="inlineStr">
        <is>
          <t>DALARNAS LÄN</t>
        </is>
      </c>
      <c r="E323" t="inlineStr">
        <is>
          <t>MALUNG-SÄLEN</t>
        </is>
      </c>
      <c r="G323" t="n">
        <v>1.9</v>
      </c>
      <c r="H323" t="n">
        <v>0</v>
      </c>
      <c r="I323" t="n">
        <v>0</v>
      </c>
      <c r="J323" t="n">
        <v>0</v>
      </c>
      <c r="K323" t="n">
        <v>0</v>
      </c>
      <c r="L323" t="n">
        <v>0</v>
      </c>
      <c r="M323" t="n">
        <v>0</v>
      </c>
      <c r="N323" t="n">
        <v>0</v>
      </c>
      <c r="O323" t="n">
        <v>0</v>
      </c>
      <c r="P323" t="n">
        <v>0</v>
      </c>
      <c r="Q323" t="n">
        <v>0</v>
      </c>
      <c r="R323" s="2" t="inlineStr"/>
    </row>
    <row r="324" ht="15" customHeight="1">
      <c r="A324" t="inlineStr">
        <is>
          <t>A 32548-2021</t>
        </is>
      </c>
      <c r="B324" s="1" t="n">
        <v>44375</v>
      </c>
      <c r="C324" s="1" t="n">
        <v>45852</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32869-2021</t>
        </is>
      </c>
      <c r="B325" s="1" t="n">
        <v>44375</v>
      </c>
      <c r="C325" s="1" t="n">
        <v>45852</v>
      </c>
      <c r="D325" t="inlineStr">
        <is>
          <t>DALARNAS LÄN</t>
        </is>
      </c>
      <c r="E325" t="inlineStr">
        <is>
          <t>MALUNG-SÄLEN</t>
        </is>
      </c>
      <c r="G325" t="n">
        <v>1.1</v>
      </c>
      <c r="H325" t="n">
        <v>0</v>
      </c>
      <c r="I325" t="n">
        <v>0</v>
      </c>
      <c r="J325" t="n">
        <v>0</v>
      </c>
      <c r="K325" t="n">
        <v>0</v>
      </c>
      <c r="L325" t="n">
        <v>0</v>
      </c>
      <c r="M325" t="n">
        <v>0</v>
      </c>
      <c r="N325" t="n">
        <v>0</v>
      </c>
      <c r="O325" t="n">
        <v>0</v>
      </c>
      <c r="P325" t="n">
        <v>0</v>
      </c>
      <c r="Q325" t="n">
        <v>0</v>
      </c>
      <c r="R325" s="2" t="inlineStr"/>
    </row>
    <row r="326" ht="15" customHeight="1">
      <c r="A326" t="inlineStr">
        <is>
          <t>A 32863-2021</t>
        </is>
      </c>
      <c r="B326" s="1" t="n">
        <v>44375</v>
      </c>
      <c r="C326" s="1" t="n">
        <v>45852</v>
      </c>
      <c r="D326" t="inlineStr">
        <is>
          <t>DALARNAS LÄN</t>
        </is>
      </c>
      <c r="E326" t="inlineStr">
        <is>
          <t>MALUNG-SÄLEN</t>
        </is>
      </c>
      <c r="G326" t="n">
        <v>3.5</v>
      </c>
      <c r="H326" t="n">
        <v>0</v>
      </c>
      <c r="I326" t="n">
        <v>0</v>
      </c>
      <c r="J326" t="n">
        <v>0</v>
      </c>
      <c r="K326" t="n">
        <v>0</v>
      </c>
      <c r="L326" t="n">
        <v>0</v>
      </c>
      <c r="M326" t="n">
        <v>0</v>
      </c>
      <c r="N326" t="n">
        <v>0</v>
      </c>
      <c r="O326" t="n">
        <v>0</v>
      </c>
      <c r="P326" t="n">
        <v>0</v>
      </c>
      <c r="Q326" t="n">
        <v>0</v>
      </c>
      <c r="R326" s="2" t="inlineStr"/>
    </row>
    <row r="327" ht="15" customHeight="1">
      <c r="A327" t="inlineStr">
        <is>
          <t>A 34091-2021</t>
        </is>
      </c>
      <c r="B327" s="1" t="n">
        <v>44379</v>
      </c>
      <c r="C327" s="1" t="n">
        <v>45852</v>
      </c>
      <c r="D327" t="inlineStr">
        <is>
          <t>DALARNAS LÄN</t>
        </is>
      </c>
      <c r="E327" t="inlineStr">
        <is>
          <t>MALUNG-SÄLEN</t>
        </is>
      </c>
      <c r="G327" t="n">
        <v>3.7</v>
      </c>
      <c r="H327" t="n">
        <v>0</v>
      </c>
      <c r="I327" t="n">
        <v>0</v>
      </c>
      <c r="J327" t="n">
        <v>0</v>
      </c>
      <c r="K327" t="n">
        <v>0</v>
      </c>
      <c r="L327" t="n">
        <v>0</v>
      </c>
      <c r="M327" t="n">
        <v>0</v>
      </c>
      <c r="N327" t="n">
        <v>0</v>
      </c>
      <c r="O327" t="n">
        <v>0</v>
      </c>
      <c r="P327" t="n">
        <v>0</v>
      </c>
      <c r="Q327" t="n">
        <v>0</v>
      </c>
      <c r="R327" s="2" t="inlineStr"/>
    </row>
    <row r="328" ht="15" customHeight="1">
      <c r="A328" t="inlineStr">
        <is>
          <t>A 35217-2021</t>
        </is>
      </c>
      <c r="B328" s="1" t="n">
        <v>44384</v>
      </c>
      <c r="C328" s="1" t="n">
        <v>45852</v>
      </c>
      <c r="D328" t="inlineStr">
        <is>
          <t>DALARNAS LÄN</t>
        </is>
      </c>
      <c r="E328" t="inlineStr">
        <is>
          <t>MALUNG-SÄLEN</t>
        </is>
      </c>
      <c r="G328" t="n">
        <v>0.8</v>
      </c>
      <c r="H328" t="n">
        <v>0</v>
      </c>
      <c r="I328" t="n">
        <v>0</v>
      </c>
      <c r="J328" t="n">
        <v>0</v>
      </c>
      <c r="K328" t="n">
        <v>0</v>
      </c>
      <c r="L328" t="n">
        <v>0</v>
      </c>
      <c r="M328" t="n">
        <v>0</v>
      </c>
      <c r="N328" t="n">
        <v>0</v>
      </c>
      <c r="O328" t="n">
        <v>0</v>
      </c>
      <c r="P328" t="n">
        <v>0</v>
      </c>
      <c r="Q328" t="n">
        <v>0</v>
      </c>
      <c r="R328" s="2" t="inlineStr"/>
    </row>
    <row r="329" ht="15" customHeight="1">
      <c r="A329" t="inlineStr">
        <is>
          <t>A 35378-2021</t>
        </is>
      </c>
      <c r="B329" s="1" t="n">
        <v>44385</v>
      </c>
      <c r="C329" s="1" t="n">
        <v>45852</v>
      </c>
      <c r="D329" t="inlineStr">
        <is>
          <t>DALARNAS LÄN</t>
        </is>
      </c>
      <c r="E329" t="inlineStr">
        <is>
          <t>MALUNG-SÄLEN</t>
        </is>
      </c>
      <c r="F329" t="inlineStr">
        <is>
          <t>Övriga statliga verk och myndigheter</t>
        </is>
      </c>
      <c r="G329" t="n">
        <v>5.8</v>
      </c>
      <c r="H329" t="n">
        <v>0</v>
      </c>
      <c r="I329" t="n">
        <v>0</v>
      </c>
      <c r="J329" t="n">
        <v>0</v>
      </c>
      <c r="K329" t="n">
        <v>0</v>
      </c>
      <c r="L329" t="n">
        <v>0</v>
      </c>
      <c r="M329" t="n">
        <v>0</v>
      </c>
      <c r="N329" t="n">
        <v>0</v>
      </c>
      <c r="O329" t="n">
        <v>0</v>
      </c>
      <c r="P329" t="n">
        <v>0</v>
      </c>
      <c r="Q329" t="n">
        <v>0</v>
      </c>
      <c r="R329" s="2" t="inlineStr"/>
    </row>
    <row r="330" ht="15" customHeight="1">
      <c r="A330" t="inlineStr">
        <is>
          <t>A 36340-2021</t>
        </is>
      </c>
      <c r="B330" s="1" t="n">
        <v>44390</v>
      </c>
      <c r="C330" s="1" t="n">
        <v>45852</v>
      </c>
      <c r="D330" t="inlineStr">
        <is>
          <t>DALARNAS LÄN</t>
        </is>
      </c>
      <c r="E330" t="inlineStr">
        <is>
          <t>MALUNG-SÄLEN</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36411-2021</t>
        </is>
      </c>
      <c r="B331" s="1" t="n">
        <v>44390</v>
      </c>
      <c r="C331" s="1" t="n">
        <v>45852</v>
      </c>
      <c r="D331" t="inlineStr">
        <is>
          <t>DALARNAS LÄN</t>
        </is>
      </c>
      <c r="E331" t="inlineStr">
        <is>
          <t>MALUNG-SÄLEN</t>
        </is>
      </c>
      <c r="G331" t="n">
        <v>0.4</v>
      </c>
      <c r="H331" t="n">
        <v>0</v>
      </c>
      <c r="I331" t="n">
        <v>0</v>
      </c>
      <c r="J331" t="n">
        <v>0</v>
      </c>
      <c r="K331" t="n">
        <v>0</v>
      </c>
      <c r="L331" t="n">
        <v>0</v>
      </c>
      <c r="M331" t="n">
        <v>0</v>
      </c>
      <c r="N331" t="n">
        <v>0</v>
      </c>
      <c r="O331" t="n">
        <v>0</v>
      </c>
      <c r="P331" t="n">
        <v>0</v>
      </c>
      <c r="Q331" t="n">
        <v>0</v>
      </c>
      <c r="R331" s="2" t="inlineStr"/>
    </row>
    <row r="332" ht="15" customHeight="1">
      <c r="A332" t="inlineStr">
        <is>
          <t>A 38193-2021</t>
        </is>
      </c>
      <c r="B332" s="1" t="n">
        <v>44405</v>
      </c>
      <c r="C332" s="1" t="n">
        <v>45852</v>
      </c>
      <c r="D332" t="inlineStr">
        <is>
          <t>DALARNAS LÄN</t>
        </is>
      </c>
      <c r="E332" t="inlineStr">
        <is>
          <t>MALUNG-SÄLEN</t>
        </is>
      </c>
      <c r="F332" t="inlineStr">
        <is>
          <t>Naturvårdsverket</t>
        </is>
      </c>
      <c r="G332" t="n">
        <v>7.1</v>
      </c>
      <c r="H332" t="n">
        <v>0</v>
      </c>
      <c r="I332" t="n">
        <v>0</v>
      </c>
      <c r="J332" t="n">
        <v>0</v>
      </c>
      <c r="K332" t="n">
        <v>0</v>
      </c>
      <c r="L332" t="n">
        <v>0</v>
      </c>
      <c r="M332" t="n">
        <v>0</v>
      </c>
      <c r="N332" t="n">
        <v>0</v>
      </c>
      <c r="O332" t="n">
        <v>0</v>
      </c>
      <c r="P332" t="n">
        <v>0</v>
      </c>
      <c r="Q332" t="n">
        <v>0</v>
      </c>
      <c r="R332" s="2" t="inlineStr"/>
    </row>
    <row r="333" ht="15" customHeight="1">
      <c r="A333" t="inlineStr">
        <is>
          <t>A 38204-2021</t>
        </is>
      </c>
      <c r="B333" s="1" t="n">
        <v>44405</v>
      </c>
      <c r="C333" s="1" t="n">
        <v>45852</v>
      </c>
      <c r="D333" t="inlineStr">
        <is>
          <t>DALARNAS LÄN</t>
        </is>
      </c>
      <c r="E333" t="inlineStr">
        <is>
          <t>MALUNG-SÄLEN</t>
        </is>
      </c>
      <c r="F333" t="inlineStr">
        <is>
          <t>Naturvårdsverket</t>
        </is>
      </c>
      <c r="G333" t="n">
        <v>2.5</v>
      </c>
      <c r="H333" t="n">
        <v>0</v>
      </c>
      <c r="I333" t="n">
        <v>0</v>
      </c>
      <c r="J333" t="n">
        <v>0</v>
      </c>
      <c r="K333" t="n">
        <v>0</v>
      </c>
      <c r="L333" t="n">
        <v>0</v>
      </c>
      <c r="M333" t="n">
        <v>0</v>
      </c>
      <c r="N333" t="n">
        <v>0</v>
      </c>
      <c r="O333" t="n">
        <v>0</v>
      </c>
      <c r="P333" t="n">
        <v>0</v>
      </c>
      <c r="Q333" t="n">
        <v>0</v>
      </c>
      <c r="R333" s="2" t="inlineStr"/>
    </row>
    <row r="334" ht="15" customHeight="1">
      <c r="A334" t="inlineStr">
        <is>
          <t>A 38492-2021</t>
        </is>
      </c>
      <c r="B334" s="1" t="n">
        <v>44405</v>
      </c>
      <c r="C334" s="1" t="n">
        <v>45852</v>
      </c>
      <c r="D334" t="inlineStr">
        <is>
          <t>DALARNAS LÄN</t>
        </is>
      </c>
      <c r="E334" t="inlineStr">
        <is>
          <t>MALUNG-SÄLEN</t>
        </is>
      </c>
      <c r="F334" t="inlineStr">
        <is>
          <t>Naturvårdsverket</t>
        </is>
      </c>
      <c r="G334" t="n">
        <v>5.2</v>
      </c>
      <c r="H334" t="n">
        <v>0</v>
      </c>
      <c r="I334" t="n">
        <v>0</v>
      </c>
      <c r="J334" t="n">
        <v>0</v>
      </c>
      <c r="K334" t="n">
        <v>0</v>
      </c>
      <c r="L334" t="n">
        <v>0</v>
      </c>
      <c r="M334" t="n">
        <v>0</v>
      </c>
      <c r="N334" t="n">
        <v>0</v>
      </c>
      <c r="O334" t="n">
        <v>0</v>
      </c>
      <c r="P334" t="n">
        <v>0</v>
      </c>
      <c r="Q334" t="n">
        <v>0</v>
      </c>
      <c r="R334" s="2" t="inlineStr"/>
    </row>
    <row r="335" ht="15" customHeight="1">
      <c r="A335" t="inlineStr">
        <is>
          <t>A 38833-2021</t>
        </is>
      </c>
      <c r="B335" s="1" t="n">
        <v>44411</v>
      </c>
      <c r="C335" s="1" t="n">
        <v>45852</v>
      </c>
      <c r="D335" t="inlineStr">
        <is>
          <t>DALARNAS LÄN</t>
        </is>
      </c>
      <c r="E335" t="inlineStr">
        <is>
          <t>MALUNG-SÄLEN</t>
        </is>
      </c>
      <c r="G335" t="n">
        <v>7.5</v>
      </c>
      <c r="H335" t="n">
        <v>0</v>
      </c>
      <c r="I335" t="n">
        <v>0</v>
      </c>
      <c r="J335" t="n">
        <v>0</v>
      </c>
      <c r="K335" t="n">
        <v>0</v>
      </c>
      <c r="L335" t="n">
        <v>0</v>
      </c>
      <c r="M335" t="n">
        <v>0</v>
      </c>
      <c r="N335" t="n">
        <v>0</v>
      </c>
      <c r="O335" t="n">
        <v>0</v>
      </c>
      <c r="P335" t="n">
        <v>0</v>
      </c>
      <c r="Q335" t="n">
        <v>0</v>
      </c>
      <c r="R335" s="2" t="inlineStr"/>
    </row>
    <row r="336" ht="15" customHeight="1">
      <c r="A336" t="inlineStr">
        <is>
          <t>A 40320-2021</t>
        </is>
      </c>
      <c r="B336" s="1" t="n">
        <v>44419</v>
      </c>
      <c r="C336" s="1" t="n">
        <v>45852</v>
      </c>
      <c r="D336" t="inlineStr">
        <is>
          <t>DALARNAS LÄN</t>
        </is>
      </c>
      <c r="E336" t="inlineStr">
        <is>
          <t>MALUNG-SÄLEN</t>
        </is>
      </c>
      <c r="G336" t="n">
        <v>0.1</v>
      </c>
      <c r="H336" t="n">
        <v>0</v>
      </c>
      <c r="I336" t="n">
        <v>0</v>
      </c>
      <c r="J336" t="n">
        <v>0</v>
      </c>
      <c r="K336" t="n">
        <v>0</v>
      </c>
      <c r="L336" t="n">
        <v>0</v>
      </c>
      <c r="M336" t="n">
        <v>0</v>
      </c>
      <c r="N336" t="n">
        <v>0</v>
      </c>
      <c r="O336" t="n">
        <v>0</v>
      </c>
      <c r="P336" t="n">
        <v>0</v>
      </c>
      <c r="Q336" t="n">
        <v>0</v>
      </c>
      <c r="R336" s="2" t="inlineStr"/>
    </row>
    <row r="337" ht="15" customHeight="1">
      <c r="A337" t="inlineStr">
        <is>
          <t>A 41194-2021</t>
        </is>
      </c>
      <c r="B337" s="1" t="n">
        <v>44424</v>
      </c>
      <c r="C337" s="1" t="n">
        <v>45852</v>
      </c>
      <c r="D337" t="inlineStr">
        <is>
          <t>DALARNAS LÄN</t>
        </is>
      </c>
      <c r="E337" t="inlineStr">
        <is>
          <t>MALUNG-SÄLEN</t>
        </is>
      </c>
      <c r="G337" t="n">
        <v>7.4</v>
      </c>
      <c r="H337" t="n">
        <v>0</v>
      </c>
      <c r="I337" t="n">
        <v>0</v>
      </c>
      <c r="J337" t="n">
        <v>0</v>
      </c>
      <c r="K337" t="n">
        <v>0</v>
      </c>
      <c r="L337" t="n">
        <v>0</v>
      </c>
      <c r="M337" t="n">
        <v>0</v>
      </c>
      <c r="N337" t="n">
        <v>0</v>
      </c>
      <c r="O337" t="n">
        <v>0</v>
      </c>
      <c r="P337" t="n">
        <v>0</v>
      </c>
      <c r="Q337" t="n">
        <v>0</v>
      </c>
      <c r="R337" s="2" t="inlineStr"/>
    </row>
    <row r="338" ht="15" customHeight="1">
      <c r="A338" t="inlineStr">
        <is>
          <t>A 41200-2021</t>
        </is>
      </c>
      <c r="B338" s="1" t="n">
        <v>44424</v>
      </c>
      <c r="C338" s="1" t="n">
        <v>45852</v>
      </c>
      <c r="D338" t="inlineStr">
        <is>
          <t>DALARNAS LÄN</t>
        </is>
      </c>
      <c r="E338" t="inlineStr">
        <is>
          <t>MALUNG-SÄLEN</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41238-2021</t>
        </is>
      </c>
      <c r="B339" s="1" t="n">
        <v>44424</v>
      </c>
      <c r="C339" s="1" t="n">
        <v>45852</v>
      </c>
      <c r="D339" t="inlineStr">
        <is>
          <t>DALARNAS LÄN</t>
        </is>
      </c>
      <c r="E339" t="inlineStr">
        <is>
          <t>MALUNG-SÄLEN</t>
        </is>
      </c>
      <c r="F339" t="inlineStr">
        <is>
          <t>Bergvik skog öst AB</t>
        </is>
      </c>
      <c r="G339" t="n">
        <v>3</v>
      </c>
      <c r="H339" t="n">
        <v>0</v>
      </c>
      <c r="I339" t="n">
        <v>0</v>
      </c>
      <c r="J339" t="n">
        <v>0</v>
      </c>
      <c r="K339" t="n">
        <v>0</v>
      </c>
      <c r="L339" t="n">
        <v>0</v>
      </c>
      <c r="M339" t="n">
        <v>0</v>
      </c>
      <c r="N339" t="n">
        <v>0</v>
      </c>
      <c r="O339" t="n">
        <v>0</v>
      </c>
      <c r="P339" t="n">
        <v>0</v>
      </c>
      <c r="Q339" t="n">
        <v>0</v>
      </c>
      <c r="R339" s="2" t="inlineStr"/>
    </row>
    <row r="340" ht="15" customHeight="1">
      <c r="A340" t="inlineStr">
        <is>
          <t>A 41950-2021</t>
        </is>
      </c>
      <c r="B340" s="1" t="n">
        <v>44426</v>
      </c>
      <c r="C340" s="1" t="n">
        <v>45852</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43672-2021</t>
        </is>
      </c>
      <c r="B341" s="1" t="n">
        <v>44433</v>
      </c>
      <c r="C341" s="1" t="n">
        <v>45852</v>
      </c>
      <c r="D341" t="inlineStr">
        <is>
          <t>DALARNAS LÄN</t>
        </is>
      </c>
      <c r="E341" t="inlineStr">
        <is>
          <t>MALUNG-SÄLEN</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44505-2021</t>
        </is>
      </c>
      <c r="B342" s="1" t="n">
        <v>44435</v>
      </c>
      <c r="C342" s="1" t="n">
        <v>45852</v>
      </c>
      <c r="D342" t="inlineStr">
        <is>
          <t>DALARNAS LÄN</t>
        </is>
      </c>
      <c r="E342" t="inlineStr">
        <is>
          <t>MALUNG-SÄLEN</t>
        </is>
      </c>
      <c r="G342" t="n">
        <v>0.3</v>
      </c>
      <c r="H342" t="n">
        <v>0</v>
      </c>
      <c r="I342" t="n">
        <v>0</v>
      </c>
      <c r="J342" t="n">
        <v>0</v>
      </c>
      <c r="K342" t="n">
        <v>0</v>
      </c>
      <c r="L342" t="n">
        <v>0</v>
      </c>
      <c r="M342" t="n">
        <v>0</v>
      </c>
      <c r="N342" t="n">
        <v>0</v>
      </c>
      <c r="O342" t="n">
        <v>0</v>
      </c>
      <c r="P342" t="n">
        <v>0</v>
      </c>
      <c r="Q342" t="n">
        <v>0</v>
      </c>
      <c r="R342" s="2" t="inlineStr"/>
    </row>
    <row r="343" ht="15" customHeight="1">
      <c r="A343" t="inlineStr">
        <is>
          <t>A 44860-2021</t>
        </is>
      </c>
      <c r="B343" s="1" t="n">
        <v>44438</v>
      </c>
      <c r="C343" s="1" t="n">
        <v>45852</v>
      </c>
      <c r="D343" t="inlineStr">
        <is>
          <t>DALARNAS LÄN</t>
        </is>
      </c>
      <c r="E343" t="inlineStr">
        <is>
          <t>MALUNG-SÄLEN</t>
        </is>
      </c>
      <c r="G343" t="n">
        <v>14.9</v>
      </c>
      <c r="H343" t="n">
        <v>0</v>
      </c>
      <c r="I343" t="n">
        <v>0</v>
      </c>
      <c r="J343" t="n">
        <v>0</v>
      </c>
      <c r="K343" t="n">
        <v>0</v>
      </c>
      <c r="L343" t="n">
        <v>0</v>
      </c>
      <c r="M343" t="n">
        <v>0</v>
      </c>
      <c r="N343" t="n">
        <v>0</v>
      </c>
      <c r="O343" t="n">
        <v>0</v>
      </c>
      <c r="P343" t="n">
        <v>0</v>
      </c>
      <c r="Q343" t="n">
        <v>0</v>
      </c>
      <c r="R343" s="2" t="inlineStr"/>
    </row>
    <row r="344" ht="15" customHeight="1">
      <c r="A344" t="inlineStr">
        <is>
          <t>A 44946-2021</t>
        </is>
      </c>
      <c r="B344" s="1" t="n">
        <v>44438</v>
      </c>
      <c r="C344" s="1" t="n">
        <v>45852</v>
      </c>
      <c r="D344" t="inlineStr">
        <is>
          <t>DALARNAS LÄN</t>
        </is>
      </c>
      <c r="E344" t="inlineStr">
        <is>
          <t>MALUNG-SÄLEN</t>
        </is>
      </c>
      <c r="G344" t="n">
        <v>2</v>
      </c>
      <c r="H344" t="n">
        <v>0</v>
      </c>
      <c r="I344" t="n">
        <v>0</v>
      </c>
      <c r="J344" t="n">
        <v>0</v>
      </c>
      <c r="K344" t="n">
        <v>0</v>
      </c>
      <c r="L344" t="n">
        <v>0</v>
      </c>
      <c r="M344" t="n">
        <v>0</v>
      </c>
      <c r="N344" t="n">
        <v>0</v>
      </c>
      <c r="O344" t="n">
        <v>0</v>
      </c>
      <c r="P344" t="n">
        <v>0</v>
      </c>
      <c r="Q344" t="n">
        <v>0</v>
      </c>
      <c r="R344" s="2" t="inlineStr"/>
    </row>
    <row r="345" ht="15" customHeight="1">
      <c r="A345" t="inlineStr">
        <is>
          <t>A 44867-2021</t>
        </is>
      </c>
      <c r="B345" s="1" t="n">
        <v>44438</v>
      </c>
      <c r="C345" s="1" t="n">
        <v>45852</v>
      </c>
      <c r="D345" t="inlineStr">
        <is>
          <t>DALARNAS LÄN</t>
        </is>
      </c>
      <c r="E345" t="inlineStr">
        <is>
          <t>MALUNG-SÄLEN</t>
        </is>
      </c>
      <c r="G345" t="n">
        <v>12.6</v>
      </c>
      <c r="H345" t="n">
        <v>0</v>
      </c>
      <c r="I345" t="n">
        <v>0</v>
      </c>
      <c r="J345" t="n">
        <v>0</v>
      </c>
      <c r="K345" t="n">
        <v>0</v>
      </c>
      <c r="L345" t="n">
        <v>0</v>
      </c>
      <c r="M345" t="n">
        <v>0</v>
      </c>
      <c r="N345" t="n">
        <v>0</v>
      </c>
      <c r="O345" t="n">
        <v>0</v>
      </c>
      <c r="P345" t="n">
        <v>0</v>
      </c>
      <c r="Q345" t="n">
        <v>0</v>
      </c>
      <c r="R345" s="2" t="inlineStr"/>
    </row>
    <row r="346" ht="15" customHeight="1">
      <c r="A346" t="inlineStr">
        <is>
          <t>A 45195-2021</t>
        </is>
      </c>
      <c r="B346" s="1" t="n">
        <v>44439</v>
      </c>
      <c r="C346" s="1" t="n">
        <v>45852</v>
      </c>
      <c r="D346" t="inlineStr">
        <is>
          <t>DALARNAS LÄN</t>
        </is>
      </c>
      <c r="E346" t="inlineStr">
        <is>
          <t>MALUNG-SÄLEN</t>
        </is>
      </c>
      <c r="G346" t="n">
        <v>1.7</v>
      </c>
      <c r="H346" t="n">
        <v>0</v>
      </c>
      <c r="I346" t="n">
        <v>0</v>
      </c>
      <c r="J346" t="n">
        <v>0</v>
      </c>
      <c r="K346" t="n">
        <v>0</v>
      </c>
      <c r="L346" t="n">
        <v>0</v>
      </c>
      <c r="M346" t="n">
        <v>0</v>
      </c>
      <c r="N346" t="n">
        <v>0</v>
      </c>
      <c r="O346" t="n">
        <v>0</v>
      </c>
      <c r="P346" t="n">
        <v>0</v>
      </c>
      <c r="Q346" t="n">
        <v>0</v>
      </c>
      <c r="R346" s="2" t="inlineStr"/>
    </row>
    <row r="347" ht="15" customHeight="1">
      <c r="A347" t="inlineStr">
        <is>
          <t>A 45586-2021</t>
        </is>
      </c>
      <c r="B347" s="1" t="n">
        <v>44440</v>
      </c>
      <c r="C347" s="1" t="n">
        <v>45852</v>
      </c>
      <c r="D347" t="inlineStr">
        <is>
          <t>DALARNAS LÄN</t>
        </is>
      </c>
      <c r="E347" t="inlineStr">
        <is>
          <t>MALUNG-SÄLEN</t>
        </is>
      </c>
      <c r="F347" t="inlineStr">
        <is>
          <t>Bergvik skog öst AB</t>
        </is>
      </c>
      <c r="G347" t="n">
        <v>6.6</v>
      </c>
      <c r="H347" t="n">
        <v>0</v>
      </c>
      <c r="I347" t="n">
        <v>0</v>
      </c>
      <c r="J347" t="n">
        <v>0</v>
      </c>
      <c r="K347" t="n">
        <v>0</v>
      </c>
      <c r="L347" t="n">
        <v>0</v>
      </c>
      <c r="M347" t="n">
        <v>0</v>
      </c>
      <c r="N347" t="n">
        <v>0</v>
      </c>
      <c r="O347" t="n">
        <v>0</v>
      </c>
      <c r="P347" t="n">
        <v>0</v>
      </c>
      <c r="Q347" t="n">
        <v>0</v>
      </c>
      <c r="R347" s="2" t="inlineStr"/>
    </row>
    <row r="348" ht="15" customHeight="1">
      <c r="A348" t="inlineStr">
        <is>
          <t>A 45440-2021</t>
        </is>
      </c>
      <c r="B348" s="1" t="n">
        <v>44440</v>
      </c>
      <c r="C348" s="1" t="n">
        <v>45852</v>
      </c>
      <c r="D348" t="inlineStr">
        <is>
          <t>DALARNAS LÄN</t>
        </is>
      </c>
      <c r="E348" t="inlineStr">
        <is>
          <t>MALUNG-SÄLEN</t>
        </is>
      </c>
      <c r="F348" t="inlineStr">
        <is>
          <t>Kommuner</t>
        </is>
      </c>
      <c r="G348" t="n">
        <v>1</v>
      </c>
      <c r="H348" t="n">
        <v>0</v>
      </c>
      <c r="I348" t="n">
        <v>0</v>
      </c>
      <c r="J348" t="n">
        <v>0</v>
      </c>
      <c r="K348" t="n">
        <v>0</v>
      </c>
      <c r="L348" t="n">
        <v>0</v>
      </c>
      <c r="M348" t="n">
        <v>0</v>
      </c>
      <c r="N348" t="n">
        <v>0</v>
      </c>
      <c r="O348" t="n">
        <v>0</v>
      </c>
      <c r="P348" t="n">
        <v>0</v>
      </c>
      <c r="Q348" t="n">
        <v>0</v>
      </c>
      <c r="R348" s="2" t="inlineStr"/>
    </row>
    <row r="349" ht="15" customHeight="1">
      <c r="A349" t="inlineStr">
        <is>
          <t>A 47386-2021</t>
        </is>
      </c>
      <c r="B349" s="1" t="n">
        <v>44442</v>
      </c>
      <c r="C349" s="1" t="n">
        <v>45852</v>
      </c>
      <c r="D349" t="inlineStr">
        <is>
          <t>DALARNAS LÄN</t>
        </is>
      </c>
      <c r="E349" t="inlineStr">
        <is>
          <t>MALUNG-SÄLEN</t>
        </is>
      </c>
      <c r="G349" t="n">
        <v>4.3</v>
      </c>
      <c r="H349" t="n">
        <v>0</v>
      </c>
      <c r="I349" t="n">
        <v>0</v>
      </c>
      <c r="J349" t="n">
        <v>0</v>
      </c>
      <c r="K349" t="n">
        <v>0</v>
      </c>
      <c r="L349" t="n">
        <v>0</v>
      </c>
      <c r="M349" t="n">
        <v>0</v>
      </c>
      <c r="N349" t="n">
        <v>0</v>
      </c>
      <c r="O349" t="n">
        <v>0</v>
      </c>
      <c r="P349" t="n">
        <v>0</v>
      </c>
      <c r="Q349" t="n">
        <v>0</v>
      </c>
      <c r="R349" s="2" t="inlineStr"/>
    </row>
    <row r="350" ht="15" customHeight="1">
      <c r="A350" t="inlineStr">
        <is>
          <t>A 46604-2021</t>
        </is>
      </c>
      <c r="B350" s="1" t="n">
        <v>44445</v>
      </c>
      <c r="C350" s="1" t="n">
        <v>45852</v>
      </c>
      <c r="D350" t="inlineStr">
        <is>
          <t>DALARNAS LÄN</t>
        </is>
      </c>
      <c r="E350" t="inlineStr">
        <is>
          <t>MALUNG-SÄLEN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46820-2021</t>
        </is>
      </c>
      <c r="B351" s="1" t="n">
        <v>44445</v>
      </c>
      <c r="C351" s="1" t="n">
        <v>45852</v>
      </c>
      <c r="D351" t="inlineStr">
        <is>
          <t>DALARNAS LÄN</t>
        </is>
      </c>
      <c r="E351" t="inlineStr">
        <is>
          <t>MALUNG-SÄLEN</t>
        </is>
      </c>
      <c r="F351" t="inlineStr">
        <is>
          <t>Allmännings- och besparingsskogar</t>
        </is>
      </c>
      <c r="G351" t="n">
        <v>10.6</v>
      </c>
      <c r="H351" t="n">
        <v>0</v>
      </c>
      <c r="I351" t="n">
        <v>0</v>
      </c>
      <c r="J351" t="n">
        <v>0</v>
      </c>
      <c r="K351" t="n">
        <v>0</v>
      </c>
      <c r="L351" t="n">
        <v>0</v>
      </c>
      <c r="M351" t="n">
        <v>0</v>
      </c>
      <c r="N351" t="n">
        <v>0</v>
      </c>
      <c r="O351" t="n">
        <v>0</v>
      </c>
      <c r="P351" t="n">
        <v>0</v>
      </c>
      <c r="Q351" t="n">
        <v>0</v>
      </c>
      <c r="R351" s="2" t="inlineStr"/>
    </row>
    <row r="352" ht="15" customHeight="1">
      <c r="A352" t="inlineStr">
        <is>
          <t>A 46850-2021</t>
        </is>
      </c>
      <c r="B352" s="1" t="n">
        <v>44445</v>
      </c>
      <c r="C352" s="1" t="n">
        <v>45852</v>
      </c>
      <c r="D352" t="inlineStr">
        <is>
          <t>DALARNAS LÄN</t>
        </is>
      </c>
      <c r="E352" t="inlineStr">
        <is>
          <t>MALUNG-SÄLEN</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46809-2021</t>
        </is>
      </c>
      <c r="B353" s="1" t="n">
        <v>44445</v>
      </c>
      <c r="C353" s="1" t="n">
        <v>45852</v>
      </c>
      <c r="D353" t="inlineStr">
        <is>
          <t>DALARNAS LÄN</t>
        </is>
      </c>
      <c r="E353" t="inlineStr">
        <is>
          <t>MALUNG-SÄLEN</t>
        </is>
      </c>
      <c r="F353" t="inlineStr">
        <is>
          <t>Allmännings- och besparingsskogar</t>
        </is>
      </c>
      <c r="G353" t="n">
        <v>18.7</v>
      </c>
      <c r="H353" t="n">
        <v>0</v>
      </c>
      <c r="I353" t="n">
        <v>0</v>
      </c>
      <c r="J353" t="n">
        <v>0</v>
      </c>
      <c r="K353" t="n">
        <v>0</v>
      </c>
      <c r="L353" t="n">
        <v>0</v>
      </c>
      <c r="M353" t="n">
        <v>0</v>
      </c>
      <c r="N353" t="n">
        <v>0</v>
      </c>
      <c r="O353" t="n">
        <v>0</v>
      </c>
      <c r="P353" t="n">
        <v>0</v>
      </c>
      <c r="Q353" t="n">
        <v>0</v>
      </c>
      <c r="R353" s="2" t="inlineStr"/>
    </row>
    <row r="354" ht="15" customHeight="1">
      <c r="A354" t="inlineStr">
        <is>
          <t>A 46823-2021</t>
        </is>
      </c>
      <c r="B354" s="1" t="n">
        <v>44445</v>
      </c>
      <c r="C354" s="1" t="n">
        <v>45852</v>
      </c>
      <c r="D354" t="inlineStr">
        <is>
          <t>DALARNAS LÄN</t>
        </is>
      </c>
      <c r="E354" t="inlineStr">
        <is>
          <t>MALUNG-SÄLEN</t>
        </is>
      </c>
      <c r="F354" t="inlineStr">
        <is>
          <t>Allmännings- och besparingsskogar</t>
        </is>
      </c>
      <c r="G354" t="n">
        <v>26.2</v>
      </c>
      <c r="H354" t="n">
        <v>0</v>
      </c>
      <c r="I354" t="n">
        <v>0</v>
      </c>
      <c r="J354" t="n">
        <v>0</v>
      </c>
      <c r="K354" t="n">
        <v>0</v>
      </c>
      <c r="L354" t="n">
        <v>0</v>
      </c>
      <c r="M354" t="n">
        <v>0</v>
      </c>
      <c r="N354" t="n">
        <v>0</v>
      </c>
      <c r="O354" t="n">
        <v>0</v>
      </c>
      <c r="P354" t="n">
        <v>0</v>
      </c>
      <c r="Q354" t="n">
        <v>0</v>
      </c>
      <c r="R354" s="2" t="inlineStr"/>
    </row>
    <row r="355" ht="15" customHeight="1">
      <c r="A355" t="inlineStr">
        <is>
          <t>A 46845-2021</t>
        </is>
      </c>
      <c r="B355" s="1" t="n">
        <v>44445</v>
      </c>
      <c r="C355" s="1" t="n">
        <v>45852</v>
      </c>
      <c r="D355" t="inlineStr">
        <is>
          <t>DALARNAS LÄN</t>
        </is>
      </c>
      <c r="E355" t="inlineStr">
        <is>
          <t>MALUNG-SÄLEN</t>
        </is>
      </c>
      <c r="F355" t="inlineStr">
        <is>
          <t>Allmännings- och besparingsskogar</t>
        </is>
      </c>
      <c r="G355" t="n">
        <v>15.4</v>
      </c>
      <c r="H355" t="n">
        <v>0</v>
      </c>
      <c r="I355" t="n">
        <v>0</v>
      </c>
      <c r="J355" t="n">
        <v>0</v>
      </c>
      <c r="K355" t="n">
        <v>0</v>
      </c>
      <c r="L355" t="n">
        <v>0</v>
      </c>
      <c r="M355" t="n">
        <v>0</v>
      </c>
      <c r="N355" t="n">
        <v>0</v>
      </c>
      <c r="O355" t="n">
        <v>0</v>
      </c>
      <c r="P355" t="n">
        <v>0</v>
      </c>
      <c r="Q355" t="n">
        <v>0</v>
      </c>
      <c r="R355" s="2" t="inlineStr"/>
    </row>
    <row r="356" ht="15" customHeight="1">
      <c r="A356" t="inlineStr">
        <is>
          <t>A 47412-2021</t>
        </is>
      </c>
      <c r="B356" s="1" t="n">
        <v>44447</v>
      </c>
      <c r="C356" s="1" t="n">
        <v>45852</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47423-2021</t>
        </is>
      </c>
      <c r="B357" s="1" t="n">
        <v>44447</v>
      </c>
      <c r="C357" s="1" t="n">
        <v>45852</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47419-2021</t>
        </is>
      </c>
      <c r="B358" s="1" t="n">
        <v>44447</v>
      </c>
      <c r="C358" s="1" t="n">
        <v>45852</v>
      </c>
      <c r="D358" t="inlineStr">
        <is>
          <t>DALARNAS LÄN</t>
        </is>
      </c>
      <c r="E358" t="inlineStr">
        <is>
          <t>MALUNG-SÄLEN</t>
        </is>
      </c>
      <c r="G358" t="n">
        <v>0.4</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45852</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50881-2021</t>
        </is>
      </c>
      <c r="B360" s="1" t="n">
        <v>44460</v>
      </c>
      <c r="C360" s="1" t="n">
        <v>45852</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51533-2021</t>
        </is>
      </c>
      <c r="B361" s="1" t="n">
        <v>44462</v>
      </c>
      <c r="C361" s="1" t="n">
        <v>45852</v>
      </c>
      <c r="D361" t="inlineStr">
        <is>
          <t>DALARNAS LÄN</t>
        </is>
      </c>
      <c r="E361" t="inlineStr">
        <is>
          <t>MALUNG-SÄLEN</t>
        </is>
      </c>
      <c r="G361" t="n">
        <v>6.6</v>
      </c>
      <c r="H361" t="n">
        <v>0</v>
      </c>
      <c r="I361" t="n">
        <v>0</v>
      </c>
      <c r="J361" t="n">
        <v>0</v>
      </c>
      <c r="K361" t="n">
        <v>0</v>
      </c>
      <c r="L361" t="n">
        <v>0</v>
      </c>
      <c r="M361" t="n">
        <v>0</v>
      </c>
      <c r="N361" t="n">
        <v>0</v>
      </c>
      <c r="O361" t="n">
        <v>0</v>
      </c>
      <c r="P361" t="n">
        <v>0</v>
      </c>
      <c r="Q361" t="n">
        <v>0</v>
      </c>
      <c r="R361" s="2" t="inlineStr"/>
    </row>
    <row r="362" ht="15" customHeight="1">
      <c r="A362" t="inlineStr">
        <is>
          <t>A 52071-2021</t>
        </is>
      </c>
      <c r="B362" s="1" t="n">
        <v>44462</v>
      </c>
      <c r="C362" s="1" t="n">
        <v>45852</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52100-2021</t>
        </is>
      </c>
      <c r="B363" s="1" t="n">
        <v>44462</v>
      </c>
      <c r="C363" s="1" t="n">
        <v>45852</v>
      </c>
      <c r="D363" t="inlineStr">
        <is>
          <t>DALARNAS LÄN</t>
        </is>
      </c>
      <c r="E363" t="inlineStr">
        <is>
          <t>MALUNG-SÄLEN</t>
        </is>
      </c>
      <c r="G363" t="n">
        <v>1.3</v>
      </c>
      <c r="H363" t="n">
        <v>0</v>
      </c>
      <c r="I363" t="n">
        <v>0</v>
      </c>
      <c r="J363" t="n">
        <v>0</v>
      </c>
      <c r="K363" t="n">
        <v>0</v>
      </c>
      <c r="L363" t="n">
        <v>0</v>
      </c>
      <c r="M363" t="n">
        <v>0</v>
      </c>
      <c r="N363" t="n">
        <v>0</v>
      </c>
      <c r="O363" t="n">
        <v>0</v>
      </c>
      <c r="P363" t="n">
        <v>0</v>
      </c>
      <c r="Q363" t="n">
        <v>0</v>
      </c>
      <c r="R363" s="2" t="inlineStr"/>
    </row>
    <row r="364" ht="15" customHeight="1">
      <c r="A364" t="inlineStr">
        <is>
          <t>A 53210-2021</t>
        </is>
      </c>
      <c r="B364" s="1" t="n">
        <v>44468</v>
      </c>
      <c r="C364" s="1" t="n">
        <v>45852</v>
      </c>
      <c r="D364" t="inlineStr">
        <is>
          <t>DALARNAS LÄN</t>
        </is>
      </c>
      <c r="E364" t="inlineStr">
        <is>
          <t>MALUNG-SÄLEN</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54219-2021</t>
        </is>
      </c>
      <c r="B365" s="1" t="n">
        <v>44469</v>
      </c>
      <c r="C365" s="1" t="n">
        <v>45852</v>
      </c>
      <c r="D365" t="inlineStr">
        <is>
          <t>DALARNAS LÄN</t>
        </is>
      </c>
      <c r="E365" t="inlineStr">
        <is>
          <t>MALUNG-SÄLEN</t>
        </is>
      </c>
      <c r="G365" t="n">
        <v>0.9</v>
      </c>
      <c r="H365" t="n">
        <v>0</v>
      </c>
      <c r="I365" t="n">
        <v>0</v>
      </c>
      <c r="J365" t="n">
        <v>0</v>
      </c>
      <c r="K365" t="n">
        <v>0</v>
      </c>
      <c r="L365" t="n">
        <v>0</v>
      </c>
      <c r="M365" t="n">
        <v>0</v>
      </c>
      <c r="N365" t="n">
        <v>0</v>
      </c>
      <c r="O365" t="n">
        <v>0</v>
      </c>
      <c r="P365" t="n">
        <v>0</v>
      </c>
      <c r="Q365" t="n">
        <v>0</v>
      </c>
      <c r="R365" s="2" t="inlineStr"/>
    </row>
    <row r="366" ht="15" customHeight="1">
      <c r="A366" t="inlineStr">
        <is>
          <t>A 54551-2021</t>
        </is>
      </c>
      <c r="B366" s="1" t="n">
        <v>44473</v>
      </c>
      <c r="C366" s="1" t="n">
        <v>45852</v>
      </c>
      <c r="D366" t="inlineStr">
        <is>
          <t>DALARNAS LÄN</t>
        </is>
      </c>
      <c r="E366" t="inlineStr">
        <is>
          <t>MALUNG-SÄLEN</t>
        </is>
      </c>
      <c r="G366" t="n">
        <v>0.3</v>
      </c>
      <c r="H366" t="n">
        <v>0</v>
      </c>
      <c r="I366" t="n">
        <v>0</v>
      </c>
      <c r="J366" t="n">
        <v>0</v>
      </c>
      <c r="K366" t="n">
        <v>0</v>
      </c>
      <c r="L366" t="n">
        <v>0</v>
      </c>
      <c r="M366" t="n">
        <v>0</v>
      </c>
      <c r="N366" t="n">
        <v>0</v>
      </c>
      <c r="O366" t="n">
        <v>0</v>
      </c>
      <c r="P366" t="n">
        <v>0</v>
      </c>
      <c r="Q366" t="n">
        <v>0</v>
      </c>
      <c r="R366" s="2" t="inlineStr"/>
    </row>
    <row r="367" ht="15" customHeight="1">
      <c r="A367" t="inlineStr">
        <is>
          <t>A 55514-2021</t>
        </is>
      </c>
      <c r="B367" s="1" t="n">
        <v>44475</v>
      </c>
      <c r="C367" s="1" t="n">
        <v>45852</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55971-2021</t>
        </is>
      </c>
      <c r="B368" s="1" t="n">
        <v>44477</v>
      </c>
      <c r="C368" s="1" t="n">
        <v>45852</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58899-2021</t>
        </is>
      </c>
      <c r="B369" s="1" t="n">
        <v>44489</v>
      </c>
      <c r="C369" s="1" t="n">
        <v>45852</v>
      </c>
      <c r="D369" t="inlineStr">
        <is>
          <t>DALARNAS LÄN</t>
        </is>
      </c>
      <c r="E369" t="inlineStr">
        <is>
          <t>MALUNG-SÄLEN</t>
        </is>
      </c>
      <c r="G369" t="n">
        <v>3.2</v>
      </c>
      <c r="H369" t="n">
        <v>0</v>
      </c>
      <c r="I369" t="n">
        <v>0</v>
      </c>
      <c r="J369" t="n">
        <v>0</v>
      </c>
      <c r="K369" t="n">
        <v>0</v>
      </c>
      <c r="L369" t="n">
        <v>0</v>
      </c>
      <c r="M369" t="n">
        <v>0</v>
      </c>
      <c r="N369" t="n">
        <v>0</v>
      </c>
      <c r="O369" t="n">
        <v>0</v>
      </c>
      <c r="P369" t="n">
        <v>0</v>
      </c>
      <c r="Q369" t="n">
        <v>0</v>
      </c>
      <c r="R369" s="2" t="inlineStr"/>
    </row>
    <row r="370" ht="15" customHeight="1">
      <c r="A370" t="inlineStr">
        <is>
          <t>A 59424-2021</t>
        </is>
      </c>
      <c r="B370" s="1" t="n">
        <v>44491</v>
      </c>
      <c r="C370" s="1" t="n">
        <v>45852</v>
      </c>
      <c r="D370" t="inlineStr">
        <is>
          <t>DALARNAS LÄN</t>
        </is>
      </c>
      <c r="E370" t="inlineStr">
        <is>
          <t>MALUNG-SÄLEN</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59725-2021</t>
        </is>
      </c>
      <c r="B371" s="1" t="n">
        <v>44494</v>
      </c>
      <c r="C371" s="1" t="n">
        <v>45852</v>
      </c>
      <c r="D371" t="inlineStr">
        <is>
          <t>DALARNAS LÄN</t>
        </is>
      </c>
      <c r="E371" t="inlineStr">
        <is>
          <t>MALUNG-SÄLEN</t>
        </is>
      </c>
      <c r="F371" t="inlineStr">
        <is>
          <t>Kommuner</t>
        </is>
      </c>
      <c r="G371" t="n">
        <v>3.5</v>
      </c>
      <c r="H371" t="n">
        <v>0</v>
      </c>
      <c r="I371" t="n">
        <v>0</v>
      </c>
      <c r="J371" t="n">
        <v>0</v>
      </c>
      <c r="K371" t="n">
        <v>0</v>
      </c>
      <c r="L371" t="n">
        <v>0</v>
      </c>
      <c r="M371" t="n">
        <v>0</v>
      </c>
      <c r="N371" t="n">
        <v>0</v>
      </c>
      <c r="O371" t="n">
        <v>0</v>
      </c>
      <c r="P371" t="n">
        <v>0</v>
      </c>
      <c r="Q371" t="n">
        <v>0</v>
      </c>
      <c r="R371" s="2" t="inlineStr"/>
    </row>
    <row r="372" ht="15" customHeight="1">
      <c r="A372" t="inlineStr">
        <is>
          <t>A 60230-2021</t>
        </is>
      </c>
      <c r="B372" s="1" t="n">
        <v>44495</v>
      </c>
      <c r="C372" s="1" t="n">
        <v>45852</v>
      </c>
      <c r="D372" t="inlineStr">
        <is>
          <t>DALARNAS LÄN</t>
        </is>
      </c>
      <c r="E372" t="inlineStr">
        <is>
          <t>MALUNG-SÄLEN</t>
        </is>
      </c>
      <c r="G372" t="n">
        <v>4</v>
      </c>
      <c r="H372" t="n">
        <v>0</v>
      </c>
      <c r="I372" t="n">
        <v>0</v>
      </c>
      <c r="J372" t="n">
        <v>0</v>
      </c>
      <c r="K372" t="n">
        <v>0</v>
      </c>
      <c r="L372" t="n">
        <v>0</v>
      </c>
      <c r="M372" t="n">
        <v>0</v>
      </c>
      <c r="N372" t="n">
        <v>0</v>
      </c>
      <c r="O372" t="n">
        <v>0</v>
      </c>
      <c r="P372" t="n">
        <v>0</v>
      </c>
      <c r="Q372" t="n">
        <v>0</v>
      </c>
      <c r="R372" s="2" t="inlineStr"/>
    </row>
    <row r="373" ht="15" customHeight="1">
      <c r="A373" t="inlineStr">
        <is>
          <t>A 60962-2021</t>
        </is>
      </c>
      <c r="B373" s="1" t="n">
        <v>44497</v>
      </c>
      <c r="C373" s="1" t="n">
        <v>45852</v>
      </c>
      <c r="D373" t="inlineStr">
        <is>
          <t>DALARNAS LÄN</t>
        </is>
      </c>
      <c r="E373" t="inlineStr">
        <is>
          <t>MALUNG-SÄLEN</t>
        </is>
      </c>
      <c r="F373" t="inlineStr">
        <is>
          <t>Bergvik skog öst AB</t>
        </is>
      </c>
      <c r="G373" t="n">
        <v>6.3</v>
      </c>
      <c r="H373" t="n">
        <v>0</v>
      </c>
      <c r="I373" t="n">
        <v>0</v>
      </c>
      <c r="J373" t="n">
        <v>0</v>
      </c>
      <c r="K373" t="n">
        <v>0</v>
      </c>
      <c r="L373" t="n">
        <v>0</v>
      </c>
      <c r="M373" t="n">
        <v>0</v>
      </c>
      <c r="N373" t="n">
        <v>0</v>
      </c>
      <c r="O373" t="n">
        <v>0</v>
      </c>
      <c r="P373" t="n">
        <v>0</v>
      </c>
      <c r="Q373" t="n">
        <v>0</v>
      </c>
      <c r="R373" s="2" t="inlineStr"/>
    </row>
    <row r="374" ht="15" customHeight="1">
      <c r="A374" t="inlineStr">
        <is>
          <t>A 61978-2021</t>
        </is>
      </c>
      <c r="B374" s="1" t="n">
        <v>44501</v>
      </c>
      <c r="C374" s="1" t="n">
        <v>45852</v>
      </c>
      <c r="D374" t="inlineStr">
        <is>
          <t>DALARNAS LÄN</t>
        </is>
      </c>
      <c r="E374" t="inlineStr">
        <is>
          <t>MALUNG-SÄLEN</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61974-2021</t>
        </is>
      </c>
      <c r="B375" s="1" t="n">
        <v>44501</v>
      </c>
      <c r="C375" s="1" t="n">
        <v>45852</v>
      </c>
      <c r="D375" t="inlineStr">
        <is>
          <t>DALARNAS LÄN</t>
        </is>
      </c>
      <c r="E375" t="inlineStr">
        <is>
          <t>MALUNG-SÄLEN</t>
        </is>
      </c>
      <c r="F375" t="inlineStr">
        <is>
          <t>Allmännings- och besparingsskogar</t>
        </is>
      </c>
      <c r="G375" t="n">
        <v>12.5</v>
      </c>
      <c r="H375" t="n">
        <v>0</v>
      </c>
      <c r="I375" t="n">
        <v>0</v>
      </c>
      <c r="J375" t="n">
        <v>0</v>
      </c>
      <c r="K375" t="n">
        <v>0</v>
      </c>
      <c r="L375" t="n">
        <v>0</v>
      </c>
      <c r="M375" t="n">
        <v>0</v>
      </c>
      <c r="N375" t="n">
        <v>0</v>
      </c>
      <c r="O375" t="n">
        <v>0</v>
      </c>
      <c r="P375" t="n">
        <v>0</v>
      </c>
      <c r="Q375" t="n">
        <v>0</v>
      </c>
      <c r="R375" s="2" t="inlineStr"/>
    </row>
    <row r="376" ht="15" customHeight="1">
      <c r="A376" t="inlineStr">
        <is>
          <t>A 61969-2021</t>
        </is>
      </c>
      <c r="B376" s="1" t="n">
        <v>44501</v>
      </c>
      <c r="C376" s="1" t="n">
        <v>45852</v>
      </c>
      <c r="D376" t="inlineStr">
        <is>
          <t>DALARNAS LÄN</t>
        </is>
      </c>
      <c r="E376" t="inlineStr">
        <is>
          <t>MALUNG-SÄLEN</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61993-2021</t>
        </is>
      </c>
      <c r="B377" s="1" t="n">
        <v>44501</v>
      </c>
      <c r="C377" s="1" t="n">
        <v>45852</v>
      </c>
      <c r="D377" t="inlineStr">
        <is>
          <t>DALARNAS LÄN</t>
        </is>
      </c>
      <c r="E377" t="inlineStr">
        <is>
          <t>MALUNG-SÄLEN</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61962-2021</t>
        </is>
      </c>
      <c r="B378" s="1" t="n">
        <v>44501</v>
      </c>
      <c r="C378" s="1" t="n">
        <v>45852</v>
      </c>
      <c r="D378" t="inlineStr">
        <is>
          <t>DALARNAS LÄN</t>
        </is>
      </c>
      <c r="E378" t="inlineStr">
        <is>
          <t>MALUNG-SÄLEN</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61990-2021</t>
        </is>
      </c>
      <c r="B379" s="1" t="n">
        <v>44501</v>
      </c>
      <c r="C379" s="1" t="n">
        <v>45852</v>
      </c>
      <c r="D379" t="inlineStr">
        <is>
          <t>DALARNAS LÄN</t>
        </is>
      </c>
      <c r="E379" t="inlineStr">
        <is>
          <t>MALUNG-SÄLEN</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62253-2021</t>
        </is>
      </c>
      <c r="B380" s="1" t="n">
        <v>44503</v>
      </c>
      <c r="C380" s="1" t="n">
        <v>45852</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62830-2021</t>
        </is>
      </c>
      <c r="B381" s="1" t="n">
        <v>44504</v>
      </c>
      <c r="C381" s="1" t="n">
        <v>45852</v>
      </c>
      <c r="D381" t="inlineStr">
        <is>
          <t>DALARNAS LÄN</t>
        </is>
      </c>
      <c r="E381" t="inlineStr">
        <is>
          <t>MALUNG-SÄLEN</t>
        </is>
      </c>
      <c r="F381" t="inlineStr">
        <is>
          <t>Bergvik skog öst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63270-2021</t>
        </is>
      </c>
      <c r="B382" s="1" t="n">
        <v>44508</v>
      </c>
      <c r="C382" s="1" t="n">
        <v>45852</v>
      </c>
      <c r="D382" t="inlineStr">
        <is>
          <t>DALARNAS LÄN</t>
        </is>
      </c>
      <c r="E382" t="inlineStr">
        <is>
          <t>MALUNG-SÄLEN</t>
        </is>
      </c>
      <c r="G382" t="n">
        <v>4.8</v>
      </c>
      <c r="H382" t="n">
        <v>0</v>
      </c>
      <c r="I382" t="n">
        <v>0</v>
      </c>
      <c r="J382" t="n">
        <v>0</v>
      </c>
      <c r="K382" t="n">
        <v>0</v>
      </c>
      <c r="L382" t="n">
        <v>0</v>
      </c>
      <c r="M382" t="n">
        <v>0</v>
      </c>
      <c r="N382" t="n">
        <v>0</v>
      </c>
      <c r="O382" t="n">
        <v>0</v>
      </c>
      <c r="P382" t="n">
        <v>0</v>
      </c>
      <c r="Q382" t="n">
        <v>0</v>
      </c>
      <c r="R382" s="2" t="inlineStr"/>
    </row>
    <row r="383" ht="15" customHeight="1">
      <c r="A383" t="inlineStr">
        <is>
          <t>A 63277-2021</t>
        </is>
      </c>
      <c r="B383" s="1" t="n">
        <v>44508</v>
      </c>
      <c r="C383" s="1" t="n">
        <v>45852</v>
      </c>
      <c r="D383" t="inlineStr">
        <is>
          <t>DALARNAS LÄN</t>
        </is>
      </c>
      <c r="E383" t="inlineStr">
        <is>
          <t>MALUNG-SÄLEN</t>
        </is>
      </c>
      <c r="G383" t="n">
        <v>1.6</v>
      </c>
      <c r="H383" t="n">
        <v>0</v>
      </c>
      <c r="I383" t="n">
        <v>0</v>
      </c>
      <c r="J383" t="n">
        <v>0</v>
      </c>
      <c r="K383" t="n">
        <v>0</v>
      </c>
      <c r="L383" t="n">
        <v>0</v>
      </c>
      <c r="M383" t="n">
        <v>0</v>
      </c>
      <c r="N383" t="n">
        <v>0</v>
      </c>
      <c r="O383" t="n">
        <v>0</v>
      </c>
      <c r="P383" t="n">
        <v>0</v>
      </c>
      <c r="Q383" t="n">
        <v>0</v>
      </c>
      <c r="R383" s="2" t="inlineStr"/>
    </row>
    <row r="384" ht="15" customHeight="1">
      <c r="A384" t="inlineStr">
        <is>
          <t>A 64481-2021</t>
        </is>
      </c>
      <c r="B384" s="1" t="n">
        <v>44511</v>
      </c>
      <c r="C384" s="1" t="n">
        <v>45852</v>
      </c>
      <c r="D384" t="inlineStr">
        <is>
          <t>DALARNAS LÄN</t>
        </is>
      </c>
      <c r="E384" t="inlineStr">
        <is>
          <t>MALUNG-SÄLEN</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64577-2021</t>
        </is>
      </c>
      <c r="B385" s="1" t="n">
        <v>44511</v>
      </c>
      <c r="C385" s="1" t="n">
        <v>45852</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64581-2021</t>
        </is>
      </c>
      <c r="B386" s="1" t="n">
        <v>44511</v>
      </c>
      <c r="C386" s="1" t="n">
        <v>45852</v>
      </c>
      <c r="D386" t="inlineStr">
        <is>
          <t>DALARNAS LÄN</t>
        </is>
      </c>
      <c r="E386" t="inlineStr">
        <is>
          <t>MALUNG-SÄLEN</t>
        </is>
      </c>
      <c r="G386" t="n">
        <v>0.4</v>
      </c>
      <c r="H386" t="n">
        <v>0</v>
      </c>
      <c r="I386" t="n">
        <v>0</v>
      </c>
      <c r="J386" t="n">
        <v>0</v>
      </c>
      <c r="K386" t="n">
        <v>0</v>
      </c>
      <c r="L386" t="n">
        <v>0</v>
      </c>
      <c r="M386" t="n">
        <v>0</v>
      </c>
      <c r="N386" t="n">
        <v>0</v>
      </c>
      <c r="O386" t="n">
        <v>0</v>
      </c>
      <c r="P386" t="n">
        <v>0</v>
      </c>
      <c r="Q386" t="n">
        <v>0</v>
      </c>
      <c r="R386" s="2" t="inlineStr"/>
    </row>
    <row r="387" ht="15" customHeight="1">
      <c r="A387" t="inlineStr">
        <is>
          <t>A 64739-2021</t>
        </is>
      </c>
      <c r="B387" s="1" t="n">
        <v>44512</v>
      </c>
      <c r="C387" s="1" t="n">
        <v>45852</v>
      </c>
      <c r="D387" t="inlineStr">
        <is>
          <t>DALARNAS LÄN</t>
        </is>
      </c>
      <c r="E387" t="inlineStr">
        <is>
          <t>MALUNG-SÄLEN</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64787-2021</t>
        </is>
      </c>
      <c r="B388" s="1" t="n">
        <v>44512</v>
      </c>
      <c r="C388" s="1" t="n">
        <v>45852</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64781-2021</t>
        </is>
      </c>
      <c r="B389" s="1" t="n">
        <v>44512</v>
      </c>
      <c r="C389" s="1" t="n">
        <v>45852</v>
      </c>
      <c r="D389" t="inlineStr">
        <is>
          <t>DALARNAS LÄN</t>
        </is>
      </c>
      <c r="E389" t="inlineStr">
        <is>
          <t>MALUNG-SÄLEN</t>
        </is>
      </c>
      <c r="F389" t="inlineStr">
        <is>
          <t>Bergvik skog väst AB</t>
        </is>
      </c>
      <c r="G389" t="n">
        <v>5.6</v>
      </c>
      <c r="H389" t="n">
        <v>0</v>
      </c>
      <c r="I389" t="n">
        <v>0</v>
      </c>
      <c r="J389" t="n">
        <v>0</v>
      </c>
      <c r="K389" t="n">
        <v>0</v>
      </c>
      <c r="L389" t="n">
        <v>0</v>
      </c>
      <c r="M389" t="n">
        <v>0</v>
      </c>
      <c r="N389" t="n">
        <v>0</v>
      </c>
      <c r="O389" t="n">
        <v>0</v>
      </c>
      <c r="P389" t="n">
        <v>0</v>
      </c>
      <c r="Q389" t="n">
        <v>0</v>
      </c>
      <c r="R389" s="2" t="inlineStr"/>
    </row>
    <row r="390" ht="15" customHeight="1">
      <c r="A390" t="inlineStr">
        <is>
          <t>A 64863-2021</t>
        </is>
      </c>
      <c r="B390" s="1" t="n">
        <v>44512</v>
      </c>
      <c r="C390" s="1" t="n">
        <v>45852</v>
      </c>
      <c r="D390" t="inlineStr">
        <is>
          <t>DALARNAS LÄN</t>
        </is>
      </c>
      <c r="E390" t="inlineStr">
        <is>
          <t>MALUNG-SÄLEN</t>
        </is>
      </c>
      <c r="F390" t="inlineStr">
        <is>
          <t>Allmännings- och besparingsskogar</t>
        </is>
      </c>
      <c r="G390" t="n">
        <v>0.3</v>
      </c>
      <c r="H390" t="n">
        <v>0</v>
      </c>
      <c r="I390" t="n">
        <v>0</v>
      </c>
      <c r="J390" t="n">
        <v>0</v>
      </c>
      <c r="K390" t="n">
        <v>0</v>
      </c>
      <c r="L390" t="n">
        <v>0</v>
      </c>
      <c r="M390" t="n">
        <v>0</v>
      </c>
      <c r="N390" t="n">
        <v>0</v>
      </c>
      <c r="O390" t="n">
        <v>0</v>
      </c>
      <c r="P390" t="n">
        <v>0</v>
      </c>
      <c r="Q390" t="n">
        <v>0</v>
      </c>
      <c r="R390" s="2" t="inlineStr"/>
    </row>
    <row r="391" ht="15" customHeight="1">
      <c r="A391" t="inlineStr">
        <is>
          <t>A 64896-2021</t>
        </is>
      </c>
      <c r="B391" s="1" t="n">
        <v>44512</v>
      </c>
      <c r="C391" s="1" t="n">
        <v>45852</v>
      </c>
      <c r="D391" t="inlineStr">
        <is>
          <t>DALARNAS LÄN</t>
        </is>
      </c>
      <c r="E391" t="inlineStr">
        <is>
          <t>MALUNG-SÄLEN</t>
        </is>
      </c>
      <c r="G391" t="n">
        <v>13</v>
      </c>
      <c r="H391" t="n">
        <v>0</v>
      </c>
      <c r="I391" t="n">
        <v>0</v>
      </c>
      <c r="J391" t="n">
        <v>0</v>
      </c>
      <c r="K391" t="n">
        <v>0</v>
      </c>
      <c r="L391" t="n">
        <v>0</v>
      </c>
      <c r="M391" t="n">
        <v>0</v>
      </c>
      <c r="N391" t="n">
        <v>0</v>
      </c>
      <c r="O391" t="n">
        <v>0</v>
      </c>
      <c r="P391" t="n">
        <v>0</v>
      </c>
      <c r="Q391" t="n">
        <v>0</v>
      </c>
      <c r="R391" s="2" t="inlineStr"/>
    </row>
    <row r="392" ht="15" customHeight="1">
      <c r="A392" t="inlineStr">
        <is>
          <t>A 65252-2021</t>
        </is>
      </c>
      <c r="B392" s="1" t="n">
        <v>44515</v>
      </c>
      <c r="C392" s="1" t="n">
        <v>45852</v>
      </c>
      <c r="D392" t="inlineStr">
        <is>
          <t>DALARNAS LÄN</t>
        </is>
      </c>
      <c r="E392" t="inlineStr">
        <is>
          <t>MALUNG-SÄLEN</t>
        </is>
      </c>
      <c r="F392" t="inlineStr">
        <is>
          <t>Allmännings- och besparingsskogar</t>
        </is>
      </c>
      <c r="G392" t="n">
        <v>0.7</v>
      </c>
      <c r="H392" t="n">
        <v>0</v>
      </c>
      <c r="I392" t="n">
        <v>0</v>
      </c>
      <c r="J392" t="n">
        <v>0</v>
      </c>
      <c r="K392" t="n">
        <v>0</v>
      </c>
      <c r="L392" t="n">
        <v>0</v>
      </c>
      <c r="M392" t="n">
        <v>0</v>
      </c>
      <c r="N392" t="n">
        <v>0</v>
      </c>
      <c r="O392" t="n">
        <v>0</v>
      </c>
      <c r="P392" t="n">
        <v>0</v>
      </c>
      <c r="Q392" t="n">
        <v>0</v>
      </c>
      <c r="R392" s="2" t="inlineStr"/>
    </row>
    <row r="393" ht="15" customHeight="1">
      <c r="A393" t="inlineStr">
        <is>
          <t>A 65260-2021</t>
        </is>
      </c>
      <c r="B393" s="1" t="n">
        <v>44515</v>
      </c>
      <c r="C393" s="1" t="n">
        <v>45852</v>
      </c>
      <c r="D393" t="inlineStr">
        <is>
          <t>DALARNAS LÄN</t>
        </is>
      </c>
      <c r="E393" t="inlineStr">
        <is>
          <t>MALUNG-SÄLEN</t>
        </is>
      </c>
      <c r="F393" t="inlineStr">
        <is>
          <t>Allmännings- och besparingsskogar</t>
        </is>
      </c>
      <c r="G393" t="n">
        <v>19.1</v>
      </c>
      <c r="H393" t="n">
        <v>0</v>
      </c>
      <c r="I393" t="n">
        <v>0</v>
      </c>
      <c r="J393" t="n">
        <v>0</v>
      </c>
      <c r="K393" t="n">
        <v>0</v>
      </c>
      <c r="L393" t="n">
        <v>0</v>
      </c>
      <c r="M393" t="n">
        <v>0</v>
      </c>
      <c r="N393" t="n">
        <v>0</v>
      </c>
      <c r="O393" t="n">
        <v>0</v>
      </c>
      <c r="P393" t="n">
        <v>0</v>
      </c>
      <c r="Q393" t="n">
        <v>0</v>
      </c>
      <c r="R393" s="2" t="inlineStr"/>
    </row>
    <row r="394" ht="15" customHeight="1">
      <c r="A394" t="inlineStr">
        <is>
          <t>A 65266-2021</t>
        </is>
      </c>
      <c r="B394" s="1" t="n">
        <v>44515</v>
      </c>
      <c r="C394" s="1" t="n">
        <v>45852</v>
      </c>
      <c r="D394" t="inlineStr">
        <is>
          <t>DALARNAS LÄN</t>
        </is>
      </c>
      <c r="E394" t="inlineStr">
        <is>
          <t>MALUNG-SÄLEN</t>
        </is>
      </c>
      <c r="F394" t="inlineStr">
        <is>
          <t>Allmännings- och besparingsskogar</t>
        </is>
      </c>
      <c r="G394" t="n">
        <v>33.6</v>
      </c>
      <c r="H394" t="n">
        <v>0</v>
      </c>
      <c r="I394" t="n">
        <v>0</v>
      </c>
      <c r="J394" t="n">
        <v>0</v>
      </c>
      <c r="K394" t="n">
        <v>0</v>
      </c>
      <c r="L394" t="n">
        <v>0</v>
      </c>
      <c r="M394" t="n">
        <v>0</v>
      </c>
      <c r="N394" t="n">
        <v>0</v>
      </c>
      <c r="O394" t="n">
        <v>0</v>
      </c>
      <c r="P394" t="n">
        <v>0</v>
      </c>
      <c r="Q394" t="n">
        <v>0</v>
      </c>
      <c r="R394" s="2" t="inlineStr"/>
    </row>
    <row r="395" ht="15" customHeight="1">
      <c r="A395" t="inlineStr">
        <is>
          <t>A 65275-2021</t>
        </is>
      </c>
      <c r="B395" s="1" t="n">
        <v>44515</v>
      </c>
      <c r="C395" s="1" t="n">
        <v>45852</v>
      </c>
      <c r="D395" t="inlineStr">
        <is>
          <t>DALARNAS LÄN</t>
        </is>
      </c>
      <c r="E395" t="inlineStr">
        <is>
          <t>MALUNG-SÄLEN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65465-2021</t>
        </is>
      </c>
      <c r="B396" s="1" t="n">
        <v>44516</v>
      </c>
      <c r="C396" s="1" t="n">
        <v>45852</v>
      </c>
      <c r="D396" t="inlineStr">
        <is>
          <t>DALARNAS LÄN</t>
        </is>
      </c>
      <c r="E396" t="inlineStr">
        <is>
          <t>MALUNG-SÄLEN</t>
        </is>
      </c>
      <c r="G396" t="n">
        <v>3.1</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45852</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67320-2021</t>
        </is>
      </c>
      <c r="B398" s="1" t="n">
        <v>44523</v>
      </c>
      <c r="C398" s="1" t="n">
        <v>45852</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68141-2021</t>
        </is>
      </c>
      <c r="B399" s="1" t="n">
        <v>44526</v>
      </c>
      <c r="C399" s="1" t="n">
        <v>45852</v>
      </c>
      <c r="D399" t="inlineStr">
        <is>
          <t>DALARNAS LÄN</t>
        </is>
      </c>
      <c r="E399" t="inlineStr">
        <is>
          <t>MALUNG-SÄLEN</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68430-2021</t>
        </is>
      </c>
      <c r="B400" s="1" t="n">
        <v>44529</v>
      </c>
      <c r="C400" s="1" t="n">
        <v>45852</v>
      </c>
      <c r="D400" t="inlineStr">
        <is>
          <t>DALARNAS LÄN</t>
        </is>
      </c>
      <c r="E400" t="inlineStr">
        <is>
          <t>MALUNG-SÄLEN</t>
        </is>
      </c>
      <c r="G400" t="n">
        <v>4.9</v>
      </c>
      <c r="H400" t="n">
        <v>0</v>
      </c>
      <c r="I400" t="n">
        <v>0</v>
      </c>
      <c r="J400" t="n">
        <v>0</v>
      </c>
      <c r="K400" t="n">
        <v>0</v>
      </c>
      <c r="L400" t="n">
        <v>0</v>
      </c>
      <c r="M400" t="n">
        <v>0</v>
      </c>
      <c r="N400" t="n">
        <v>0</v>
      </c>
      <c r="O400" t="n">
        <v>0</v>
      </c>
      <c r="P400" t="n">
        <v>0</v>
      </c>
      <c r="Q400" t="n">
        <v>0</v>
      </c>
      <c r="R400" s="2" t="inlineStr"/>
    </row>
    <row r="401" ht="15" customHeight="1">
      <c r="A401" t="inlineStr">
        <is>
          <t>A 69381-2021</t>
        </is>
      </c>
      <c r="B401" s="1" t="n">
        <v>44531</v>
      </c>
      <c r="C401" s="1" t="n">
        <v>45852</v>
      </c>
      <c r="D401" t="inlineStr">
        <is>
          <t>DALARNAS LÄN</t>
        </is>
      </c>
      <c r="E401" t="inlineStr">
        <is>
          <t>MALUNG-SÄLEN</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70052-2021</t>
        </is>
      </c>
      <c r="B402" s="1" t="n">
        <v>44533</v>
      </c>
      <c r="C402" s="1" t="n">
        <v>45852</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70647-2021</t>
        </is>
      </c>
      <c r="B403" s="1" t="n">
        <v>44537</v>
      </c>
      <c r="C403" s="1" t="n">
        <v>45852</v>
      </c>
      <c r="D403" t="inlineStr">
        <is>
          <t>DALARNAS LÄN</t>
        </is>
      </c>
      <c r="E403" t="inlineStr">
        <is>
          <t>MALUNG-SÄLEN</t>
        </is>
      </c>
      <c r="G403" t="n">
        <v>8.1</v>
      </c>
      <c r="H403" t="n">
        <v>0</v>
      </c>
      <c r="I403" t="n">
        <v>0</v>
      </c>
      <c r="J403" t="n">
        <v>0</v>
      </c>
      <c r="K403" t="n">
        <v>0</v>
      </c>
      <c r="L403" t="n">
        <v>0</v>
      </c>
      <c r="M403" t="n">
        <v>0</v>
      </c>
      <c r="N403" t="n">
        <v>0</v>
      </c>
      <c r="O403" t="n">
        <v>0</v>
      </c>
      <c r="P403" t="n">
        <v>0</v>
      </c>
      <c r="Q403" t="n">
        <v>0</v>
      </c>
      <c r="R403" s="2" t="inlineStr"/>
    </row>
    <row r="404" ht="15" customHeight="1">
      <c r="A404" t="inlineStr">
        <is>
          <t>A 71859-2021</t>
        </is>
      </c>
      <c r="B404" s="1" t="n">
        <v>44540</v>
      </c>
      <c r="C404" s="1" t="n">
        <v>45852</v>
      </c>
      <c r="D404" t="inlineStr">
        <is>
          <t>DALARNAS LÄN</t>
        </is>
      </c>
      <c r="E404" t="inlineStr">
        <is>
          <t>MALUNG-SÄLEN</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72039-2021</t>
        </is>
      </c>
      <c r="B405" s="1" t="n">
        <v>44540</v>
      </c>
      <c r="C405" s="1" t="n">
        <v>45852</v>
      </c>
      <c r="D405" t="inlineStr">
        <is>
          <t>DALARNAS LÄN</t>
        </is>
      </c>
      <c r="E405" t="inlineStr">
        <is>
          <t>MALUNG-SÄLEN</t>
        </is>
      </c>
      <c r="F405" t="inlineStr">
        <is>
          <t>Allmännings- och besparingsskogar</t>
        </is>
      </c>
      <c r="G405" t="n">
        <v>10.2</v>
      </c>
      <c r="H405" t="n">
        <v>0</v>
      </c>
      <c r="I405" t="n">
        <v>0</v>
      </c>
      <c r="J405" t="n">
        <v>0</v>
      </c>
      <c r="K405" t="n">
        <v>0</v>
      </c>
      <c r="L405" t="n">
        <v>0</v>
      </c>
      <c r="M405" t="n">
        <v>0</v>
      </c>
      <c r="N405" t="n">
        <v>0</v>
      </c>
      <c r="O405" t="n">
        <v>0</v>
      </c>
      <c r="P405" t="n">
        <v>0</v>
      </c>
      <c r="Q405" t="n">
        <v>0</v>
      </c>
      <c r="R405" s="2" t="inlineStr"/>
    </row>
    <row r="406" ht="15" customHeight="1">
      <c r="A406" t="inlineStr">
        <is>
          <t>A 72154-2021</t>
        </is>
      </c>
      <c r="B406" s="1" t="n">
        <v>44544</v>
      </c>
      <c r="C406" s="1" t="n">
        <v>45852</v>
      </c>
      <c r="D406" t="inlineStr">
        <is>
          <t>DALARNAS LÄN</t>
        </is>
      </c>
      <c r="E406" t="inlineStr">
        <is>
          <t>MALUNG-SÄLEN</t>
        </is>
      </c>
      <c r="G406" t="n">
        <v>0.3</v>
      </c>
      <c r="H406" t="n">
        <v>0</v>
      </c>
      <c r="I406" t="n">
        <v>0</v>
      </c>
      <c r="J406" t="n">
        <v>0</v>
      </c>
      <c r="K406" t="n">
        <v>0</v>
      </c>
      <c r="L406" t="n">
        <v>0</v>
      </c>
      <c r="M406" t="n">
        <v>0</v>
      </c>
      <c r="N406" t="n">
        <v>0</v>
      </c>
      <c r="O406" t="n">
        <v>0</v>
      </c>
      <c r="P406" t="n">
        <v>0</v>
      </c>
      <c r="Q406" t="n">
        <v>0</v>
      </c>
      <c r="R406" s="2" t="inlineStr"/>
    </row>
    <row r="407" ht="15" customHeight="1">
      <c r="A407" t="inlineStr">
        <is>
          <t>A 72643-2021</t>
        </is>
      </c>
      <c r="B407" s="1" t="n">
        <v>44546</v>
      </c>
      <c r="C407" s="1" t="n">
        <v>45852</v>
      </c>
      <c r="D407" t="inlineStr">
        <is>
          <t>DALARNAS LÄN</t>
        </is>
      </c>
      <c r="E407" t="inlineStr">
        <is>
          <t>MALUNG-SÄLEN</t>
        </is>
      </c>
      <c r="G407" t="n">
        <v>5.6</v>
      </c>
      <c r="H407" t="n">
        <v>0</v>
      </c>
      <c r="I407" t="n">
        <v>0</v>
      </c>
      <c r="J407" t="n">
        <v>0</v>
      </c>
      <c r="K407" t="n">
        <v>0</v>
      </c>
      <c r="L407" t="n">
        <v>0</v>
      </c>
      <c r="M407" t="n">
        <v>0</v>
      </c>
      <c r="N407" t="n">
        <v>0</v>
      </c>
      <c r="O407" t="n">
        <v>0</v>
      </c>
      <c r="P407" t="n">
        <v>0</v>
      </c>
      <c r="Q407" t="n">
        <v>0</v>
      </c>
      <c r="R407" s="2" t="inlineStr"/>
    </row>
    <row r="408" ht="15" customHeight="1">
      <c r="A408" t="inlineStr">
        <is>
          <t>A 72828-2021</t>
        </is>
      </c>
      <c r="B408" s="1" t="n">
        <v>44547</v>
      </c>
      <c r="C408" s="1" t="n">
        <v>45852</v>
      </c>
      <c r="D408" t="inlineStr">
        <is>
          <t>DALARNAS LÄN</t>
        </is>
      </c>
      <c r="E408" t="inlineStr">
        <is>
          <t>MALUNG-SÄLEN</t>
        </is>
      </c>
      <c r="G408" t="n">
        <v>12.3</v>
      </c>
      <c r="H408" t="n">
        <v>0</v>
      </c>
      <c r="I408" t="n">
        <v>0</v>
      </c>
      <c r="J408" t="n">
        <v>0</v>
      </c>
      <c r="K408" t="n">
        <v>0</v>
      </c>
      <c r="L408" t="n">
        <v>0</v>
      </c>
      <c r="M408" t="n">
        <v>0</v>
      </c>
      <c r="N408" t="n">
        <v>0</v>
      </c>
      <c r="O408" t="n">
        <v>0</v>
      </c>
      <c r="P408" t="n">
        <v>0</v>
      </c>
      <c r="Q408" t="n">
        <v>0</v>
      </c>
      <c r="R408" s="2" t="inlineStr"/>
    </row>
    <row r="409" ht="15" customHeight="1">
      <c r="A409" t="inlineStr">
        <is>
          <t>A 73175-2021</t>
        </is>
      </c>
      <c r="B409" s="1" t="n">
        <v>44550</v>
      </c>
      <c r="C409" s="1" t="n">
        <v>45852</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73681-2021</t>
        </is>
      </c>
      <c r="B410" s="1" t="n">
        <v>44552</v>
      </c>
      <c r="C410" s="1" t="n">
        <v>45852</v>
      </c>
      <c r="D410" t="inlineStr">
        <is>
          <t>DALARNAS LÄN</t>
        </is>
      </c>
      <c r="E410" t="inlineStr">
        <is>
          <t>MALUNG-SÄLEN</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74092-2021</t>
        </is>
      </c>
      <c r="B411" s="1" t="n">
        <v>44557</v>
      </c>
      <c r="C411" s="1" t="n">
        <v>45852</v>
      </c>
      <c r="D411" t="inlineStr">
        <is>
          <t>DALARNAS LÄN</t>
        </is>
      </c>
      <c r="E411" t="inlineStr">
        <is>
          <t>MALUNG-SÄLEN</t>
        </is>
      </c>
      <c r="G411" t="n">
        <v>0.5</v>
      </c>
      <c r="H411" t="n">
        <v>0</v>
      </c>
      <c r="I411" t="n">
        <v>0</v>
      </c>
      <c r="J411" t="n">
        <v>0</v>
      </c>
      <c r="K411" t="n">
        <v>0</v>
      </c>
      <c r="L411" t="n">
        <v>0</v>
      </c>
      <c r="M411" t="n">
        <v>0</v>
      </c>
      <c r="N411" t="n">
        <v>0</v>
      </c>
      <c r="O411" t="n">
        <v>0</v>
      </c>
      <c r="P411" t="n">
        <v>0</v>
      </c>
      <c r="Q411" t="n">
        <v>0</v>
      </c>
      <c r="R411" s="2" t="inlineStr"/>
    </row>
    <row r="412" ht="15" customHeight="1">
      <c r="A412" t="inlineStr">
        <is>
          <t>A 3110-2022</t>
        </is>
      </c>
      <c r="B412" s="1" t="n">
        <v>44582</v>
      </c>
      <c r="C412" s="1" t="n">
        <v>45852</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4070-2022</t>
        </is>
      </c>
      <c r="B413" s="1" t="n">
        <v>44588</v>
      </c>
      <c r="C413" s="1" t="n">
        <v>45852</v>
      </c>
      <c r="D413" t="inlineStr">
        <is>
          <t>DALARNAS LÄN</t>
        </is>
      </c>
      <c r="E413" t="inlineStr">
        <is>
          <t>MALUNG-SÄLEN</t>
        </is>
      </c>
      <c r="G413" t="n">
        <v>4.3</v>
      </c>
      <c r="H413" t="n">
        <v>0</v>
      </c>
      <c r="I413" t="n">
        <v>0</v>
      </c>
      <c r="J413" t="n">
        <v>0</v>
      </c>
      <c r="K413" t="n">
        <v>0</v>
      </c>
      <c r="L413" t="n">
        <v>0</v>
      </c>
      <c r="M413" t="n">
        <v>0</v>
      </c>
      <c r="N413" t="n">
        <v>0</v>
      </c>
      <c r="O413" t="n">
        <v>0</v>
      </c>
      <c r="P413" t="n">
        <v>0</v>
      </c>
      <c r="Q413" t="n">
        <v>0</v>
      </c>
      <c r="R413" s="2" t="inlineStr"/>
    </row>
    <row r="414" ht="15" customHeight="1">
      <c r="A414" t="inlineStr">
        <is>
          <t>A 4420-2022</t>
        </is>
      </c>
      <c r="B414" s="1" t="n">
        <v>44589</v>
      </c>
      <c r="C414" s="1" t="n">
        <v>45852</v>
      </c>
      <c r="D414" t="inlineStr">
        <is>
          <t>DALARNAS LÄN</t>
        </is>
      </c>
      <c r="E414" t="inlineStr">
        <is>
          <t>MALUNG-SÄLEN</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6106-2022</t>
        </is>
      </c>
      <c r="B415" s="1" t="n">
        <v>44599</v>
      </c>
      <c r="C415" s="1" t="n">
        <v>45852</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6362-2022</t>
        </is>
      </c>
      <c r="B416" s="1" t="n">
        <v>44600</v>
      </c>
      <c r="C416" s="1" t="n">
        <v>45852</v>
      </c>
      <c r="D416" t="inlineStr">
        <is>
          <t>DALARNAS LÄN</t>
        </is>
      </c>
      <c r="E416" t="inlineStr">
        <is>
          <t>MALUNG-SÄLEN</t>
        </is>
      </c>
      <c r="G416" t="n">
        <v>2.5</v>
      </c>
      <c r="H416" t="n">
        <v>0</v>
      </c>
      <c r="I416" t="n">
        <v>0</v>
      </c>
      <c r="J416" t="n">
        <v>0</v>
      </c>
      <c r="K416" t="n">
        <v>0</v>
      </c>
      <c r="L416" t="n">
        <v>0</v>
      </c>
      <c r="M416" t="n">
        <v>0</v>
      </c>
      <c r="N416" t="n">
        <v>0</v>
      </c>
      <c r="O416" t="n">
        <v>0</v>
      </c>
      <c r="P416" t="n">
        <v>0</v>
      </c>
      <c r="Q416" t="n">
        <v>0</v>
      </c>
      <c r="R416" s="2" t="inlineStr"/>
    </row>
    <row r="417" ht="15" customHeight="1">
      <c r="A417" t="inlineStr">
        <is>
          <t>A 6712-2022</t>
        </is>
      </c>
      <c r="B417" s="1" t="n">
        <v>44602</v>
      </c>
      <c r="C417" s="1" t="n">
        <v>45852</v>
      </c>
      <c r="D417" t="inlineStr">
        <is>
          <t>DALARNAS LÄN</t>
        </is>
      </c>
      <c r="E417" t="inlineStr">
        <is>
          <t>MALUNG-SÄLEN</t>
        </is>
      </c>
      <c r="G417" t="n">
        <v>1.1</v>
      </c>
      <c r="H417" t="n">
        <v>0</v>
      </c>
      <c r="I417" t="n">
        <v>0</v>
      </c>
      <c r="J417" t="n">
        <v>0</v>
      </c>
      <c r="K417" t="n">
        <v>0</v>
      </c>
      <c r="L417" t="n">
        <v>0</v>
      </c>
      <c r="M417" t="n">
        <v>0</v>
      </c>
      <c r="N417" t="n">
        <v>0</v>
      </c>
      <c r="O417" t="n">
        <v>0</v>
      </c>
      <c r="P417" t="n">
        <v>0</v>
      </c>
      <c r="Q417" t="n">
        <v>0</v>
      </c>
      <c r="R417" s="2" t="inlineStr"/>
    </row>
    <row r="418" ht="15" customHeight="1">
      <c r="A418" t="inlineStr">
        <is>
          <t>A 6945-2022</t>
        </is>
      </c>
      <c r="B418" s="1" t="n">
        <v>44603</v>
      </c>
      <c r="C418" s="1" t="n">
        <v>45852</v>
      </c>
      <c r="D418" t="inlineStr">
        <is>
          <t>DALARNAS LÄN</t>
        </is>
      </c>
      <c r="E418" t="inlineStr">
        <is>
          <t>MALUNG-SÄLEN</t>
        </is>
      </c>
      <c r="G418" t="n">
        <v>2.9</v>
      </c>
      <c r="H418" t="n">
        <v>0</v>
      </c>
      <c r="I418" t="n">
        <v>0</v>
      </c>
      <c r="J418" t="n">
        <v>0</v>
      </c>
      <c r="K418" t="n">
        <v>0</v>
      </c>
      <c r="L418" t="n">
        <v>0</v>
      </c>
      <c r="M418" t="n">
        <v>0</v>
      </c>
      <c r="N418" t="n">
        <v>0</v>
      </c>
      <c r="O418" t="n">
        <v>0</v>
      </c>
      <c r="P418" t="n">
        <v>0</v>
      </c>
      <c r="Q418" t="n">
        <v>0</v>
      </c>
      <c r="R418" s="2" t="inlineStr"/>
    </row>
    <row r="419" ht="15" customHeight="1">
      <c r="A419" t="inlineStr">
        <is>
          <t>A 7081-2022</t>
        </is>
      </c>
      <c r="B419" s="1" t="n">
        <v>44603</v>
      </c>
      <c r="C419" s="1" t="n">
        <v>45852</v>
      </c>
      <c r="D419" t="inlineStr">
        <is>
          <t>DALARNAS LÄN</t>
        </is>
      </c>
      <c r="E419" t="inlineStr">
        <is>
          <t>MALUNG-SÄLEN</t>
        </is>
      </c>
      <c r="G419" t="n">
        <v>0.7</v>
      </c>
      <c r="H419" t="n">
        <v>0</v>
      </c>
      <c r="I419" t="n">
        <v>0</v>
      </c>
      <c r="J419" t="n">
        <v>0</v>
      </c>
      <c r="K419" t="n">
        <v>0</v>
      </c>
      <c r="L419" t="n">
        <v>0</v>
      </c>
      <c r="M419" t="n">
        <v>0</v>
      </c>
      <c r="N419" t="n">
        <v>0</v>
      </c>
      <c r="O419" t="n">
        <v>0</v>
      </c>
      <c r="P419" t="n">
        <v>0</v>
      </c>
      <c r="Q419" t="n">
        <v>0</v>
      </c>
      <c r="R419" s="2" t="inlineStr"/>
    </row>
    <row r="420" ht="15" customHeight="1">
      <c r="A420" t="inlineStr">
        <is>
          <t>A 8474-2022</t>
        </is>
      </c>
      <c r="B420" s="1" t="n">
        <v>44613</v>
      </c>
      <c r="C420" s="1" t="n">
        <v>45852</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9299-2022</t>
        </is>
      </c>
      <c r="B421" s="1" t="n">
        <v>44616</v>
      </c>
      <c r="C421" s="1" t="n">
        <v>45852</v>
      </c>
      <c r="D421" t="inlineStr">
        <is>
          <t>DALARNAS LÄN</t>
        </is>
      </c>
      <c r="E421" t="inlineStr">
        <is>
          <t>MALUNG-SÄLEN</t>
        </is>
      </c>
      <c r="G421" t="n">
        <v>4.7</v>
      </c>
      <c r="H421" t="n">
        <v>0</v>
      </c>
      <c r="I421" t="n">
        <v>0</v>
      </c>
      <c r="J421" t="n">
        <v>0</v>
      </c>
      <c r="K421" t="n">
        <v>0</v>
      </c>
      <c r="L421" t="n">
        <v>0</v>
      </c>
      <c r="M421" t="n">
        <v>0</v>
      </c>
      <c r="N421" t="n">
        <v>0</v>
      </c>
      <c r="O421" t="n">
        <v>0</v>
      </c>
      <c r="P421" t="n">
        <v>0</v>
      </c>
      <c r="Q421" t="n">
        <v>0</v>
      </c>
      <c r="R421" s="2" t="inlineStr"/>
    </row>
    <row r="422" ht="15" customHeight="1">
      <c r="A422" t="inlineStr">
        <is>
          <t>A 9304-2022</t>
        </is>
      </c>
      <c r="B422" s="1" t="n">
        <v>44616</v>
      </c>
      <c r="C422" s="1" t="n">
        <v>45852</v>
      </c>
      <c r="D422" t="inlineStr">
        <is>
          <t>DALARNAS LÄN</t>
        </is>
      </c>
      <c r="E422" t="inlineStr">
        <is>
          <t>MALUNG-SÄLEN</t>
        </is>
      </c>
      <c r="G422" t="n">
        <v>2.6</v>
      </c>
      <c r="H422" t="n">
        <v>0</v>
      </c>
      <c r="I422" t="n">
        <v>0</v>
      </c>
      <c r="J422" t="n">
        <v>0</v>
      </c>
      <c r="K422" t="n">
        <v>0</v>
      </c>
      <c r="L422" t="n">
        <v>0</v>
      </c>
      <c r="M422" t="n">
        <v>0</v>
      </c>
      <c r="N422" t="n">
        <v>0</v>
      </c>
      <c r="O422" t="n">
        <v>0</v>
      </c>
      <c r="P422" t="n">
        <v>0</v>
      </c>
      <c r="Q422" t="n">
        <v>0</v>
      </c>
      <c r="R422" s="2" t="inlineStr"/>
    </row>
    <row r="423" ht="15" customHeight="1">
      <c r="A423" t="inlineStr">
        <is>
          <t>A 10386-2022</t>
        </is>
      </c>
      <c r="B423" s="1" t="n">
        <v>44623</v>
      </c>
      <c r="C423" s="1" t="n">
        <v>45852</v>
      </c>
      <c r="D423" t="inlineStr">
        <is>
          <t>DALARNAS LÄN</t>
        </is>
      </c>
      <c r="E423" t="inlineStr">
        <is>
          <t>MALUNG-SÄLEN</t>
        </is>
      </c>
      <c r="G423" t="n">
        <v>3.5</v>
      </c>
      <c r="H423" t="n">
        <v>0</v>
      </c>
      <c r="I423" t="n">
        <v>0</v>
      </c>
      <c r="J423" t="n">
        <v>0</v>
      </c>
      <c r="K423" t="n">
        <v>0</v>
      </c>
      <c r="L423" t="n">
        <v>0</v>
      </c>
      <c r="M423" t="n">
        <v>0</v>
      </c>
      <c r="N423" t="n">
        <v>0</v>
      </c>
      <c r="O423" t="n">
        <v>0</v>
      </c>
      <c r="P423" t="n">
        <v>0</v>
      </c>
      <c r="Q423" t="n">
        <v>0</v>
      </c>
      <c r="R423" s="2" t="inlineStr"/>
    </row>
    <row r="424" ht="15" customHeight="1">
      <c r="A424" t="inlineStr">
        <is>
          <t>A 10457-2022</t>
        </is>
      </c>
      <c r="B424" s="1" t="n">
        <v>44623</v>
      </c>
      <c r="C424" s="1" t="n">
        <v>45852</v>
      </c>
      <c r="D424" t="inlineStr">
        <is>
          <t>DALARNAS LÄN</t>
        </is>
      </c>
      <c r="E424" t="inlineStr">
        <is>
          <t>MALUNG-SÄLEN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11542-2022</t>
        </is>
      </c>
      <c r="B425" s="1" t="n">
        <v>44631</v>
      </c>
      <c r="C425" s="1" t="n">
        <v>45852</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12345-2022</t>
        </is>
      </c>
      <c r="B426" s="1" t="n">
        <v>44637</v>
      </c>
      <c r="C426" s="1" t="n">
        <v>45852</v>
      </c>
      <c r="D426" t="inlineStr">
        <is>
          <t>DALARNAS LÄN</t>
        </is>
      </c>
      <c r="E426" t="inlineStr">
        <is>
          <t>MALUNG-SÄLEN</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12842-2022</t>
        </is>
      </c>
      <c r="B427" s="1" t="n">
        <v>44641</v>
      </c>
      <c r="C427" s="1" t="n">
        <v>45852</v>
      </c>
      <c r="D427" t="inlineStr">
        <is>
          <t>DALARNAS LÄN</t>
        </is>
      </c>
      <c r="E427" t="inlineStr">
        <is>
          <t>MALUNG-SÄLEN</t>
        </is>
      </c>
      <c r="F427" t="inlineStr">
        <is>
          <t>Allmännings- och besparingsskogar</t>
        </is>
      </c>
      <c r="G427" t="n">
        <v>35.1</v>
      </c>
      <c r="H427" t="n">
        <v>0</v>
      </c>
      <c r="I427" t="n">
        <v>0</v>
      </c>
      <c r="J427" t="n">
        <v>0</v>
      </c>
      <c r="K427" t="n">
        <v>0</v>
      </c>
      <c r="L427" t="n">
        <v>0</v>
      </c>
      <c r="M427" t="n">
        <v>0</v>
      </c>
      <c r="N427" t="n">
        <v>0</v>
      </c>
      <c r="O427" t="n">
        <v>0</v>
      </c>
      <c r="P427" t="n">
        <v>0</v>
      </c>
      <c r="Q427" t="n">
        <v>0</v>
      </c>
      <c r="R427" s="2" t="inlineStr"/>
    </row>
    <row r="428" ht="15" customHeight="1">
      <c r="A428" t="inlineStr">
        <is>
          <t>A 12966-2022</t>
        </is>
      </c>
      <c r="B428" s="1" t="n">
        <v>44643</v>
      </c>
      <c r="C428" s="1" t="n">
        <v>45852</v>
      </c>
      <c r="D428" t="inlineStr">
        <is>
          <t>DALARNAS LÄN</t>
        </is>
      </c>
      <c r="E428" t="inlineStr">
        <is>
          <t>MALUNG-SÄLEN</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13230-2022</t>
        </is>
      </c>
      <c r="B429" s="1" t="n">
        <v>44644</v>
      </c>
      <c r="C429" s="1" t="n">
        <v>45852</v>
      </c>
      <c r="D429" t="inlineStr">
        <is>
          <t>DALARNAS LÄN</t>
        </is>
      </c>
      <c r="E429" t="inlineStr">
        <is>
          <t>MALUNG-SÄLEN</t>
        </is>
      </c>
      <c r="G429" t="n">
        <v>22.5</v>
      </c>
      <c r="H429" t="n">
        <v>0</v>
      </c>
      <c r="I429" t="n">
        <v>0</v>
      </c>
      <c r="J429" t="n">
        <v>0</v>
      </c>
      <c r="K429" t="n">
        <v>0</v>
      </c>
      <c r="L429" t="n">
        <v>0</v>
      </c>
      <c r="M429" t="n">
        <v>0</v>
      </c>
      <c r="N429" t="n">
        <v>0</v>
      </c>
      <c r="O429" t="n">
        <v>0</v>
      </c>
      <c r="P429" t="n">
        <v>0</v>
      </c>
      <c r="Q429" t="n">
        <v>0</v>
      </c>
      <c r="R429" s="2" t="inlineStr"/>
    </row>
    <row r="430" ht="15" customHeight="1">
      <c r="A430" t="inlineStr">
        <is>
          <t>A 13247-2022</t>
        </is>
      </c>
      <c r="B430" s="1" t="n">
        <v>44644</v>
      </c>
      <c r="C430" s="1" t="n">
        <v>45852</v>
      </c>
      <c r="D430" t="inlineStr">
        <is>
          <t>DALARNAS LÄN</t>
        </is>
      </c>
      <c r="E430" t="inlineStr">
        <is>
          <t>MALUNG-SÄLEN</t>
        </is>
      </c>
      <c r="G430" t="n">
        <v>10</v>
      </c>
      <c r="H430" t="n">
        <v>0</v>
      </c>
      <c r="I430" t="n">
        <v>0</v>
      </c>
      <c r="J430" t="n">
        <v>0</v>
      </c>
      <c r="K430" t="n">
        <v>0</v>
      </c>
      <c r="L430" t="n">
        <v>0</v>
      </c>
      <c r="M430" t="n">
        <v>0</v>
      </c>
      <c r="N430" t="n">
        <v>0</v>
      </c>
      <c r="O430" t="n">
        <v>0</v>
      </c>
      <c r="P430" t="n">
        <v>0</v>
      </c>
      <c r="Q430" t="n">
        <v>0</v>
      </c>
      <c r="R430" s="2" t="inlineStr"/>
    </row>
    <row r="431" ht="15" customHeight="1">
      <c r="A431" t="inlineStr">
        <is>
          <t>A 16380-2022</t>
        </is>
      </c>
      <c r="B431" s="1" t="n">
        <v>44671</v>
      </c>
      <c r="C431" s="1" t="n">
        <v>45852</v>
      </c>
      <c r="D431" t="inlineStr">
        <is>
          <t>DALARNAS LÄN</t>
        </is>
      </c>
      <c r="E431" t="inlineStr">
        <is>
          <t>MALUNG-SÄLEN</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17002-2022</t>
        </is>
      </c>
      <c r="B432" s="1" t="n">
        <v>44676</v>
      </c>
      <c r="C432" s="1" t="n">
        <v>45852</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17161-2022</t>
        </is>
      </c>
      <c r="B433" s="1" t="n">
        <v>44677</v>
      </c>
      <c r="C433" s="1" t="n">
        <v>45852</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17353-2022</t>
        </is>
      </c>
      <c r="B434" s="1" t="n">
        <v>44678</v>
      </c>
      <c r="C434" s="1" t="n">
        <v>45852</v>
      </c>
      <c r="D434" t="inlineStr">
        <is>
          <t>DALARNAS LÄN</t>
        </is>
      </c>
      <c r="E434" t="inlineStr">
        <is>
          <t>MALUNG-SÄLEN</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18439-2022</t>
        </is>
      </c>
      <c r="B435" s="1" t="n">
        <v>44686</v>
      </c>
      <c r="C435" s="1" t="n">
        <v>45852</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18591-2022</t>
        </is>
      </c>
      <c r="B436" s="1" t="n">
        <v>44687</v>
      </c>
      <c r="C436" s="1" t="n">
        <v>45852</v>
      </c>
      <c r="D436" t="inlineStr">
        <is>
          <t>DALARNAS LÄN</t>
        </is>
      </c>
      <c r="E436" t="inlineStr">
        <is>
          <t>MALUNG-SÄLEN</t>
        </is>
      </c>
      <c r="F436" t="inlineStr">
        <is>
          <t>Bergvik skog öst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19353-2022</t>
        </is>
      </c>
      <c r="B437" s="1" t="n">
        <v>44692</v>
      </c>
      <c r="C437" s="1" t="n">
        <v>45852</v>
      </c>
      <c r="D437" t="inlineStr">
        <is>
          <t>DALARNAS LÄN</t>
        </is>
      </c>
      <c r="E437" t="inlineStr">
        <is>
          <t>MALUNG-SÄLEN</t>
        </is>
      </c>
      <c r="G437" t="n">
        <v>1.7</v>
      </c>
      <c r="H437" t="n">
        <v>0</v>
      </c>
      <c r="I437" t="n">
        <v>0</v>
      </c>
      <c r="J437" t="n">
        <v>0</v>
      </c>
      <c r="K437" t="n">
        <v>0</v>
      </c>
      <c r="L437" t="n">
        <v>0</v>
      </c>
      <c r="M437" t="n">
        <v>0</v>
      </c>
      <c r="N437" t="n">
        <v>0</v>
      </c>
      <c r="O437" t="n">
        <v>0</v>
      </c>
      <c r="P437" t="n">
        <v>0</v>
      </c>
      <c r="Q437" t="n">
        <v>0</v>
      </c>
      <c r="R437" s="2" t="inlineStr"/>
    </row>
    <row r="438" ht="15" customHeight="1">
      <c r="A438" t="inlineStr">
        <is>
          <t>A 19359-2022</t>
        </is>
      </c>
      <c r="B438" s="1" t="n">
        <v>44692</v>
      </c>
      <c r="C438" s="1" t="n">
        <v>45852</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19841-2022</t>
        </is>
      </c>
      <c r="B439" s="1" t="n">
        <v>44696</v>
      </c>
      <c r="C439" s="1" t="n">
        <v>45852</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19937-2022</t>
        </is>
      </c>
      <c r="B440" s="1" t="n">
        <v>44697</v>
      </c>
      <c r="C440" s="1" t="n">
        <v>45852</v>
      </c>
      <c r="D440" t="inlineStr">
        <is>
          <t>DALARNAS LÄN</t>
        </is>
      </c>
      <c r="E440" t="inlineStr">
        <is>
          <t>MALUNG-SÄLEN</t>
        </is>
      </c>
      <c r="G440" t="n">
        <v>12.7</v>
      </c>
      <c r="H440" t="n">
        <v>0</v>
      </c>
      <c r="I440" t="n">
        <v>0</v>
      </c>
      <c r="J440" t="n">
        <v>0</v>
      </c>
      <c r="K440" t="n">
        <v>0</v>
      </c>
      <c r="L440" t="n">
        <v>0</v>
      </c>
      <c r="M440" t="n">
        <v>0</v>
      </c>
      <c r="N440" t="n">
        <v>0</v>
      </c>
      <c r="O440" t="n">
        <v>0</v>
      </c>
      <c r="P440" t="n">
        <v>0</v>
      </c>
      <c r="Q440" t="n">
        <v>0</v>
      </c>
      <c r="R440" s="2" t="inlineStr"/>
    </row>
    <row r="441" ht="15" customHeight="1">
      <c r="A441" t="inlineStr">
        <is>
          <t>A 20804-2022</t>
        </is>
      </c>
      <c r="B441" s="1" t="n">
        <v>44701</v>
      </c>
      <c r="C441" s="1" t="n">
        <v>45852</v>
      </c>
      <c r="D441" t="inlineStr">
        <is>
          <t>DALARNAS LÄN</t>
        </is>
      </c>
      <c r="E441" t="inlineStr">
        <is>
          <t>MALUNG-SÄLEN</t>
        </is>
      </c>
      <c r="G441" t="n">
        <v>4.3</v>
      </c>
      <c r="H441" t="n">
        <v>0</v>
      </c>
      <c r="I441" t="n">
        <v>0</v>
      </c>
      <c r="J441" t="n">
        <v>0</v>
      </c>
      <c r="K441" t="n">
        <v>0</v>
      </c>
      <c r="L441" t="n">
        <v>0</v>
      </c>
      <c r="M441" t="n">
        <v>0</v>
      </c>
      <c r="N441" t="n">
        <v>0</v>
      </c>
      <c r="O441" t="n">
        <v>0</v>
      </c>
      <c r="P441" t="n">
        <v>0</v>
      </c>
      <c r="Q441" t="n">
        <v>0</v>
      </c>
      <c r="R441" s="2" t="inlineStr"/>
    </row>
    <row r="442" ht="15" customHeight="1">
      <c r="A442" t="inlineStr">
        <is>
          <t>A 21081-2022</t>
        </is>
      </c>
      <c r="B442" s="1" t="n">
        <v>44704</v>
      </c>
      <c r="C442" s="1" t="n">
        <v>45852</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21555-2022</t>
        </is>
      </c>
      <c r="B443" s="1" t="n">
        <v>44706</v>
      </c>
      <c r="C443" s="1" t="n">
        <v>45852</v>
      </c>
      <c r="D443" t="inlineStr">
        <is>
          <t>DALARNAS LÄN</t>
        </is>
      </c>
      <c r="E443" t="inlineStr">
        <is>
          <t>MALUNG-SÄLEN</t>
        </is>
      </c>
      <c r="G443" t="n">
        <v>1.6</v>
      </c>
      <c r="H443" t="n">
        <v>0</v>
      </c>
      <c r="I443" t="n">
        <v>0</v>
      </c>
      <c r="J443" t="n">
        <v>0</v>
      </c>
      <c r="K443" t="n">
        <v>0</v>
      </c>
      <c r="L443" t="n">
        <v>0</v>
      </c>
      <c r="M443" t="n">
        <v>0</v>
      </c>
      <c r="N443" t="n">
        <v>0</v>
      </c>
      <c r="O443" t="n">
        <v>0</v>
      </c>
      <c r="P443" t="n">
        <v>0</v>
      </c>
      <c r="Q443" t="n">
        <v>0</v>
      </c>
      <c r="R443" s="2" t="inlineStr"/>
    </row>
    <row r="444" ht="15" customHeight="1">
      <c r="A444" t="inlineStr">
        <is>
          <t>A 21880-2022</t>
        </is>
      </c>
      <c r="B444" s="1" t="n">
        <v>44711</v>
      </c>
      <c r="C444" s="1" t="n">
        <v>45852</v>
      </c>
      <c r="D444" t="inlineStr">
        <is>
          <t>DALARNAS LÄN</t>
        </is>
      </c>
      <c r="E444" t="inlineStr">
        <is>
          <t>MALUNG-SÄLEN</t>
        </is>
      </c>
      <c r="G444" t="n">
        <v>7.1</v>
      </c>
      <c r="H444" t="n">
        <v>0</v>
      </c>
      <c r="I444" t="n">
        <v>0</v>
      </c>
      <c r="J444" t="n">
        <v>0</v>
      </c>
      <c r="K444" t="n">
        <v>0</v>
      </c>
      <c r="L444" t="n">
        <v>0</v>
      </c>
      <c r="M444" t="n">
        <v>0</v>
      </c>
      <c r="N444" t="n">
        <v>0</v>
      </c>
      <c r="O444" t="n">
        <v>0</v>
      </c>
      <c r="P444" t="n">
        <v>0</v>
      </c>
      <c r="Q444" t="n">
        <v>0</v>
      </c>
      <c r="R444" s="2" t="inlineStr"/>
    </row>
    <row r="445" ht="15" customHeight="1">
      <c r="A445" t="inlineStr">
        <is>
          <t>A 22310-2022</t>
        </is>
      </c>
      <c r="B445" s="1" t="n">
        <v>44712</v>
      </c>
      <c r="C445" s="1" t="n">
        <v>45852</v>
      </c>
      <c r="D445" t="inlineStr">
        <is>
          <t>DALARNAS LÄN</t>
        </is>
      </c>
      <c r="E445" t="inlineStr">
        <is>
          <t>MALUNG-SÄLEN</t>
        </is>
      </c>
      <c r="F445" t="inlineStr">
        <is>
          <t>Kyrkan</t>
        </is>
      </c>
      <c r="G445" t="n">
        <v>1.1</v>
      </c>
      <c r="H445" t="n">
        <v>0</v>
      </c>
      <c r="I445" t="n">
        <v>0</v>
      </c>
      <c r="J445" t="n">
        <v>0</v>
      </c>
      <c r="K445" t="n">
        <v>0</v>
      </c>
      <c r="L445" t="n">
        <v>0</v>
      </c>
      <c r="M445" t="n">
        <v>0</v>
      </c>
      <c r="N445" t="n">
        <v>0</v>
      </c>
      <c r="O445" t="n">
        <v>0</v>
      </c>
      <c r="P445" t="n">
        <v>0</v>
      </c>
      <c r="Q445" t="n">
        <v>0</v>
      </c>
      <c r="R445" s="2" t="inlineStr"/>
    </row>
    <row r="446" ht="15" customHeight="1">
      <c r="A446" t="inlineStr">
        <is>
          <t>A 23542-2022</t>
        </is>
      </c>
      <c r="B446" s="1" t="n">
        <v>44721</v>
      </c>
      <c r="C446" s="1" t="n">
        <v>45852</v>
      </c>
      <c r="D446" t="inlineStr">
        <is>
          <t>DALARNAS LÄN</t>
        </is>
      </c>
      <c r="E446" t="inlineStr">
        <is>
          <t>MALUNG-SÄLEN</t>
        </is>
      </c>
      <c r="G446" t="n">
        <v>0.5</v>
      </c>
      <c r="H446" t="n">
        <v>0</v>
      </c>
      <c r="I446" t="n">
        <v>0</v>
      </c>
      <c r="J446" t="n">
        <v>0</v>
      </c>
      <c r="K446" t="n">
        <v>0</v>
      </c>
      <c r="L446" t="n">
        <v>0</v>
      </c>
      <c r="M446" t="n">
        <v>0</v>
      </c>
      <c r="N446" t="n">
        <v>0</v>
      </c>
      <c r="O446" t="n">
        <v>0</v>
      </c>
      <c r="P446" t="n">
        <v>0</v>
      </c>
      <c r="Q446" t="n">
        <v>0</v>
      </c>
      <c r="R446" s="2" t="inlineStr"/>
    </row>
    <row r="447" ht="15" customHeight="1">
      <c r="A447" t="inlineStr">
        <is>
          <t>A 23617-2022</t>
        </is>
      </c>
      <c r="B447" s="1" t="n">
        <v>44721</v>
      </c>
      <c r="C447" s="1" t="n">
        <v>45852</v>
      </c>
      <c r="D447" t="inlineStr">
        <is>
          <t>DALARNAS LÄN</t>
        </is>
      </c>
      <c r="E447" t="inlineStr">
        <is>
          <t>MALUNG-SÄLEN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23606-2022</t>
        </is>
      </c>
      <c r="B448" s="1" t="n">
        <v>44721</v>
      </c>
      <c r="C448" s="1" t="n">
        <v>45852</v>
      </c>
      <c r="D448" t="inlineStr">
        <is>
          <t>DALARNAS LÄN</t>
        </is>
      </c>
      <c r="E448" t="inlineStr">
        <is>
          <t>MALUNG-SÄLEN</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23651-2022</t>
        </is>
      </c>
      <c r="B449" s="1" t="n">
        <v>44721</v>
      </c>
      <c r="C449" s="1" t="n">
        <v>45852</v>
      </c>
      <c r="D449" t="inlineStr">
        <is>
          <t>DALARNAS LÄN</t>
        </is>
      </c>
      <c r="E449" t="inlineStr">
        <is>
          <t>MALUNG-SÄLEN</t>
        </is>
      </c>
      <c r="F449" t="inlineStr">
        <is>
          <t>Bergvik skog väst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24164-2022</t>
        </is>
      </c>
      <c r="B450" s="1" t="n">
        <v>44725</v>
      </c>
      <c r="C450" s="1" t="n">
        <v>45852</v>
      </c>
      <c r="D450" t="inlineStr">
        <is>
          <t>DALARNAS LÄN</t>
        </is>
      </c>
      <c r="E450" t="inlineStr">
        <is>
          <t>MALUNG-SÄLEN</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24168-2022</t>
        </is>
      </c>
      <c r="B451" s="1" t="n">
        <v>44725</v>
      </c>
      <c r="C451" s="1" t="n">
        <v>45852</v>
      </c>
      <c r="D451" t="inlineStr">
        <is>
          <t>DALARNAS LÄN</t>
        </is>
      </c>
      <c r="E451" t="inlineStr">
        <is>
          <t>MALUNG-SÄLEN</t>
        </is>
      </c>
      <c r="F451" t="inlineStr">
        <is>
          <t>Bergvik skog öst AB</t>
        </is>
      </c>
      <c r="G451" t="n">
        <v>8.9</v>
      </c>
      <c r="H451" t="n">
        <v>0</v>
      </c>
      <c r="I451" t="n">
        <v>0</v>
      </c>
      <c r="J451" t="n">
        <v>0</v>
      </c>
      <c r="K451" t="n">
        <v>0</v>
      </c>
      <c r="L451" t="n">
        <v>0</v>
      </c>
      <c r="M451" t="n">
        <v>0</v>
      </c>
      <c r="N451" t="n">
        <v>0</v>
      </c>
      <c r="O451" t="n">
        <v>0</v>
      </c>
      <c r="P451" t="n">
        <v>0</v>
      </c>
      <c r="Q451" t="n">
        <v>0</v>
      </c>
      <c r="R451" s="2" t="inlineStr"/>
    </row>
    <row r="452" ht="15" customHeight="1">
      <c r="A452" t="inlineStr">
        <is>
          <t>A 24104-2022</t>
        </is>
      </c>
      <c r="B452" s="1" t="n">
        <v>44725</v>
      </c>
      <c r="C452" s="1" t="n">
        <v>45852</v>
      </c>
      <c r="D452" t="inlineStr">
        <is>
          <t>DALARNAS LÄN</t>
        </is>
      </c>
      <c r="E452" t="inlineStr">
        <is>
          <t>MALUNG-SÄLEN</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24140-2022</t>
        </is>
      </c>
      <c r="B453" s="1" t="n">
        <v>44725</v>
      </c>
      <c r="C453" s="1" t="n">
        <v>45852</v>
      </c>
      <c r="D453" t="inlineStr">
        <is>
          <t>DALARNAS LÄN</t>
        </is>
      </c>
      <c r="E453" t="inlineStr">
        <is>
          <t>MALUNG-SÄLEN</t>
        </is>
      </c>
      <c r="F453" t="inlineStr">
        <is>
          <t>Kommuner</t>
        </is>
      </c>
      <c r="G453" t="n">
        <v>10.2</v>
      </c>
      <c r="H453" t="n">
        <v>0</v>
      </c>
      <c r="I453" t="n">
        <v>0</v>
      </c>
      <c r="J453" t="n">
        <v>0</v>
      </c>
      <c r="K453" t="n">
        <v>0</v>
      </c>
      <c r="L453" t="n">
        <v>0</v>
      </c>
      <c r="M453" t="n">
        <v>0</v>
      </c>
      <c r="N453" t="n">
        <v>0</v>
      </c>
      <c r="O453" t="n">
        <v>0</v>
      </c>
      <c r="P453" t="n">
        <v>0</v>
      </c>
      <c r="Q453" t="n">
        <v>0</v>
      </c>
      <c r="R453" s="2" t="inlineStr"/>
    </row>
    <row r="454" ht="15" customHeight="1">
      <c r="A454" t="inlineStr">
        <is>
          <t>A 24103-2022</t>
        </is>
      </c>
      <c r="B454" s="1" t="n">
        <v>44725</v>
      </c>
      <c r="C454" s="1" t="n">
        <v>45852</v>
      </c>
      <c r="D454" t="inlineStr">
        <is>
          <t>DALARNAS LÄN</t>
        </is>
      </c>
      <c r="E454" t="inlineStr">
        <is>
          <t>MALUNG-SÄLEN</t>
        </is>
      </c>
      <c r="F454" t="inlineStr">
        <is>
          <t>Kommuner</t>
        </is>
      </c>
      <c r="G454" t="n">
        <v>3.8</v>
      </c>
      <c r="H454" t="n">
        <v>0</v>
      </c>
      <c r="I454" t="n">
        <v>0</v>
      </c>
      <c r="J454" t="n">
        <v>0</v>
      </c>
      <c r="K454" t="n">
        <v>0</v>
      </c>
      <c r="L454" t="n">
        <v>0</v>
      </c>
      <c r="M454" t="n">
        <v>0</v>
      </c>
      <c r="N454" t="n">
        <v>0</v>
      </c>
      <c r="O454" t="n">
        <v>0</v>
      </c>
      <c r="P454" t="n">
        <v>0</v>
      </c>
      <c r="Q454" t="n">
        <v>0</v>
      </c>
      <c r="R454" s="2" t="inlineStr"/>
    </row>
    <row r="455" ht="15" customHeight="1">
      <c r="A455" t="inlineStr">
        <is>
          <t>A 24165-2022</t>
        </is>
      </c>
      <c r="B455" s="1" t="n">
        <v>44725</v>
      </c>
      <c r="C455" s="1" t="n">
        <v>45852</v>
      </c>
      <c r="D455" t="inlineStr">
        <is>
          <t>DALARNAS LÄN</t>
        </is>
      </c>
      <c r="E455" t="inlineStr">
        <is>
          <t>MALUNG-SÄLEN</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24174-2022</t>
        </is>
      </c>
      <c r="B456" s="1" t="n">
        <v>44725</v>
      </c>
      <c r="C456" s="1" t="n">
        <v>45852</v>
      </c>
      <c r="D456" t="inlineStr">
        <is>
          <t>DALARNAS LÄN</t>
        </is>
      </c>
      <c r="E456" t="inlineStr">
        <is>
          <t>MALUNG-SÄLEN</t>
        </is>
      </c>
      <c r="F456" t="inlineStr">
        <is>
          <t>Kommuner</t>
        </is>
      </c>
      <c r="G456" t="n">
        <v>4.5</v>
      </c>
      <c r="H456" t="n">
        <v>0</v>
      </c>
      <c r="I456" t="n">
        <v>0</v>
      </c>
      <c r="J456" t="n">
        <v>0</v>
      </c>
      <c r="K456" t="n">
        <v>0</v>
      </c>
      <c r="L456" t="n">
        <v>0</v>
      </c>
      <c r="M456" t="n">
        <v>0</v>
      </c>
      <c r="N456" t="n">
        <v>0</v>
      </c>
      <c r="O456" t="n">
        <v>0</v>
      </c>
      <c r="P456" t="n">
        <v>0</v>
      </c>
      <c r="Q456" t="n">
        <v>0</v>
      </c>
      <c r="R456" s="2" t="inlineStr"/>
    </row>
    <row r="457" ht="15" customHeight="1">
      <c r="A457" t="inlineStr">
        <is>
          <t>A 24107-2022</t>
        </is>
      </c>
      <c r="B457" s="1" t="n">
        <v>44725</v>
      </c>
      <c r="C457" s="1" t="n">
        <v>45852</v>
      </c>
      <c r="D457" t="inlineStr">
        <is>
          <t>DALARNAS LÄN</t>
        </is>
      </c>
      <c r="E457" t="inlineStr">
        <is>
          <t>MALUNG-SÄLEN</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24364-2022</t>
        </is>
      </c>
      <c r="B458" s="1" t="n">
        <v>44726</v>
      </c>
      <c r="C458" s="1" t="n">
        <v>45852</v>
      </c>
      <c r="D458" t="inlineStr">
        <is>
          <t>DALARNAS LÄN</t>
        </is>
      </c>
      <c r="E458" t="inlineStr">
        <is>
          <t>MALUNG-SÄLEN</t>
        </is>
      </c>
      <c r="G458" t="n">
        <v>2.4</v>
      </c>
      <c r="H458" t="n">
        <v>0</v>
      </c>
      <c r="I458" t="n">
        <v>0</v>
      </c>
      <c r="J458" t="n">
        <v>0</v>
      </c>
      <c r="K458" t="n">
        <v>0</v>
      </c>
      <c r="L458" t="n">
        <v>0</v>
      </c>
      <c r="M458" t="n">
        <v>0</v>
      </c>
      <c r="N458" t="n">
        <v>0</v>
      </c>
      <c r="O458" t="n">
        <v>0</v>
      </c>
      <c r="P458" t="n">
        <v>0</v>
      </c>
      <c r="Q458" t="n">
        <v>0</v>
      </c>
      <c r="R458" s="2" t="inlineStr"/>
    </row>
    <row r="459" ht="15" customHeight="1">
      <c r="A459" t="inlineStr">
        <is>
          <t>A 25772-2022</t>
        </is>
      </c>
      <c r="B459" s="1" t="n">
        <v>44733</v>
      </c>
      <c r="C459" s="1" t="n">
        <v>45852</v>
      </c>
      <c r="D459" t="inlineStr">
        <is>
          <t>DALARNAS LÄN</t>
        </is>
      </c>
      <c r="E459" t="inlineStr">
        <is>
          <t>MALUNG-SÄLEN</t>
        </is>
      </c>
      <c r="G459" t="n">
        <v>5.3</v>
      </c>
      <c r="H459" t="n">
        <v>0</v>
      </c>
      <c r="I459" t="n">
        <v>0</v>
      </c>
      <c r="J459" t="n">
        <v>0</v>
      </c>
      <c r="K459" t="n">
        <v>0</v>
      </c>
      <c r="L459" t="n">
        <v>0</v>
      </c>
      <c r="M459" t="n">
        <v>0</v>
      </c>
      <c r="N459" t="n">
        <v>0</v>
      </c>
      <c r="O459" t="n">
        <v>0</v>
      </c>
      <c r="P459" t="n">
        <v>0</v>
      </c>
      <c r="Q459" t="n">
        <v>0</v>
      </c>
      <c r="R459" s="2" t="inlineStr"/>
    </row>
    <row r="460" ht="15" customHeight="1">
      <c r="A460" t="inlineStr">
        <is>
          <t>A 25782-2022</t>
        </is>
      </c>
      <c r="B460" s="1" t="n">
        <v>44733</v>
      </c>
      <c r="C460" s="1" t="n">
        <v>45852</v>
      </c>
      <c r="D460" t="inlineStr">
        <is>
          <t>DALARNAS LÄN</t>
        </is>
      </c>
      <c r="E460" t="inlineStr">
        <is>
          <t>MALUNG-SÄLEN</t>
        </is>
      </c>
      <c r="G460" t="n">
        <v>6.1</v>
      </c>
      <c r="H460" t="n">
        <v>0</v>
      </c>
      <c r="I460" t="n">
        <v>0</v>
      </c>
      <c r="J460" t="n">
        <v>0</v>
      </c>
      <c r="K460" t="n">
        <v>0</v>
      </c>
      <c r="L460" t="n">
        <v>0</v>
      </c>
      <c r="M460" t="n">
        <v>0</v>
      </c>
      <c r="N460" t="n">
        <v>0</v>
      </c>
      <c r="O460" t="n">
        <v>0</v>
      </c>
      <c r="P460" t="n">
        <v>0</v>
      </c>
      <c r="Q460" t="n">
        <v>0</v>
      </c>
      <c r="R460" s="2" t="inlineStr"/>
    </row>
    <row r="461" ht="15" customHeight="1">
      <c r="A461" t="inlineStr">
        <is>
          <t>A 25872-2022</t>
        </is>
      </c>
      <c r="B461" s="1" t="n">
        <v>44733</v>
      </c>
      <c r="C461" s="1" t="n">
        <v>45852</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26010-2022</t>
        </is>
      </c>
      <c r="B462" s="1" t="n">
        <v>44734</v>
      </c>
      <c r="C462" s="1" t="n">
        <v>45852</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26672-2022</t>
        </is>
      </c>
      <c r="B463" s="1" t="n">
        <v>44739</v>
      </c>
      <c r="C463" s="1" t="n">
        <v>45852</v>
      </c>
      <c r="D463" t="inlineStr">
        <is>
          <t>DALARNAS LÄN</t>
        </is>
      </c>
      <c r="E463" t="inlineStr">
        <is>
          <t>MALUNG-SÄLEN</t>
        </is>
      </c>
      <c r="G463" t="n">
        <v>1.5</v>
      </c>
      <c r="H463" t="n">
        <v>0</v>
      </c>
      <c r="I463" t="n">
        <v>0</v>
      </c>
      <c r="J463" t="n">
        <v>0</v>
      </c>
      <c r="K463" t="n">
        <v>0</v>
      </c>
      <c r="L463" t="n">
        <v>0</v>
      </c>
      <c r="M463" t="n">
        <v>0</v>
      </c>
      <c r="N463" t="n">
        <v>0</v>
      </c>
      <c r="O463" t="n">
        <v>0</v>
      </c>
      <c r="P463" t="n">
        <v>0</v>
      </c>
      <c r="Q463" t="n">
        <v>0</v>
      </c>
      <c r="R463" s="2" t="inlineStr"/>
    </row>
    <row r="464" ht="15" customHeight="1">
      <c r="A464" t="inlineStr">
        <is>
          <t>A 26667-2022</t>
        </is>
      </c>
      <c r="B464" s="1" t="n">
        <v>44739</v>
      </c>
      <c r="C464" s="1" t="n">
        <v>45852</v>
      </c>
      <c r="D464" t="inlineStr">
        <is>
          <t>DALARNAS LÄN</t>
        </is>
      </c>
      <c r="E464" t="inlineStr">
        <is>
          <t>MALUNG-SÄLEN</t>
        </is>
      </c>
      <c r="G464" t="n">
        <v>4.2</v>
      </c>
      <c r="H464" t="n">
        <v>0</v>
      </c>
      <c r="I464" t="n">
        <v>0</v>
      </c>
      <c r="J464" t="n">
        <v>0</v>
      </c>
      <c r="K464" t="n">
        <v>0</v>
      </c>
      <c r="L464" t="n">
        <v>0</v>
      </c>
      <c r="M464" t="n">
        <v>0</v>
      </c>
      <c r="N464" t="n">
        <v>0</v>
      </c>
      <c r="O464" t="n">
        <v>0</v>
      </c>
      <c r="P464" t="n">
        <v>0</v>
      </c>
      <c r="Q464" t="n">
        <v>0</v>
      </c>
      <c r="R464" s="2" t="inlineStr"/>
    </row>
    <row r="465" ht="15" customHeight="1">
      <c r="A465" t="inlineStr">
        <is>
          <t>A 27172-2022</t>
        </is>
      </c>
      <c r="B465" s="1" t="n">
        <v>44741</v>
      </c>
      <c r="C465" s="1" t="n">
        <v>45852</v>
      </c>
      <c r="D465" t="inlineStr">
        <is>
          <t>DALARNAS LÄN</t>
        </is>
      </c>
      <c r="E465" t="inlineStr">
        <is>
          <t>MALUNG-SÄLEN</t>
        </is>
      </c>
      <c r="G465" t="n">
        <v>2.5</v>
      </c>
      <c r="H465" t="n">
        <v>0</v>
      </c>
      <c r="I465" t="n">
        <v>0</v>
      </c>
      <c r="J465" t="n">
        <v>0</v>
      </c>
      <c r="K465" t="n">
        <v>0</v>
      </c>
      <c r="L465" t="n">
        <v>0</v>
      </c>
      <c r="M465" t="n">
        <v>0</v>
      </c>
      <c r="N465" t="n">
        <v>0</v>
      </c>
      <c r="O465" t="n">
        <v>0</v>
      </c>
      <c r="P465" t="n">
        <v>0</v>
      </c>
      <c r="Q465" t="n">
        <v>0</v>
      </c>
      <c r="R465" s="2" t="inlineStr"/>
    </row>
    <row r="466" ht="15" customHeight="1">
      <c r="A466" t="inlineStr">
        <is>
          <t>A 27139-2022</t>
        </is>
      </c>
      <c r="B466" s="1" t="n">
        <v>44741</v>
      </c>
      <c r="C466" s="1" t="n">
        <v>45852</v>
      </c>
      <c r="D466" t="inlineStr">
        <is>
          <t>DALARNAS LÄN</t>
        </is>
      </c>
      <c r="E466" t="inlineStr">
        <is>
          <t>MALUNG-SÄLEN</t>
        </is>
      </c>
      <c r="F466" t="inlineStr">
        <is>
          <t>Kommuner</t>
        </is>
      </c>
      <c r="G466" t="n">
        <v>4.9</v>
      </c>
      <c r="H466" t="n">
        <v>0</v>
      </c>
      <c r="I466" t="n">
        <v>0</v>
      </c>
      <c r="J466" t="n">
        <v>0</v>
      </c>
      <c r="K466" t="n">
        <v>0</v>
      </c>
      <c r="L466" t="n">
        <v>0</v>
      </c>
      <c r="M466" t="n">
        <v>0</v>
      </c>
      <c r="N466" t="n">
        <v>0</v>
      </c>
      <c r="O466" t="n">
        <v>0</v>
      </c>
      <c r="P466" t="n">
        <v>0</v>
      </c>
      <c r="Q466" t="n">
        <v>0</v>
      </c>
      <c r="R466" s="2" t="inlineStr"/>
    </row>
    <row r="467" ht="15" customHeight="1">
      <c r="A467" t="inlineStr">
        <is>
          <t>A 27143-2022</t>
        </is>
      </c>
      <c r="B467" s="1" t="n">
        <v>44741</v>
      </c>
      <c r="C467" s="1" t="n">
        <v>45852</v>
      </c>
      <c r="D467" t="inlineStr">
        <is>
          <t>DALARNAS LÄN</t>
        </is>
      </c>
      <c r="E467" t="inlineStr">
        <is>
          <t>MALUNG-SÄLEN</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27841-2022</t>
        </is>
      </c>
      <c r="B468" s="1" t="n">
        <v>44743</v>
      </c>
      <c r="C468" s="1" t="n">
        <v>45852</v>
      </c>
      <c r="D468" t="inlineStr">
        <is>
          <t>DALARNAS LÄN</t>
        </is>
      </c>
      <c r="E468" t="inlineStr">
        <is>
          <t>MALUNG-SÄLEN</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27846-2022</t>
        </is>
      </c>
      <c r="B469" s="1" t="n">
        <v>44743</v>
      </c>
      <c r="C469" s="1" t="n">
        <v>45852</v>
      </c>
      <c r="D469" t="inlineStr">
        <is>
          <t>DALARNAS LÄN</t>
        </is>
      </c>
      <c r="E469" t="inlineStr">
        <is>
          <t>MALUNG-SÄLEN</t>
        </is>
      </c>
      <c r="F469" t="inlineStr">
        <is>
          <t>Kommuner</t>
        </is>
      </c>
      <c r="G469" t="n">
        <v>0.3</v>
      </c>
      <c r="H469" t="n">
        <v>0</v>
      </c>
      <c r="I469" t="n">
        <v>0</v>
      </c>
      <c r="J469" t="n">
        <v>0</v>
      </c>
      <c r="K469" t="n">
        <v>0</v>
      </c>
      <c r="L469" t="n">
        <v>0</v>
      </c>
      <c r="M469" t="n">
        <v>0</v>
      </c>
      <c r="N469" t="n">
        <v>0</v>
      </c>
      <c r="O469" t="n">
        <v>0</v>
      </c>
      <c r="P469" t="n">
        <v>0</v>
      </c>
      <c r="Q469" t="n">
        <v>0</v>
      </c>
      <c r="R469" s="2" t="inlineStr"/>
    </row>
    <row r="470" ht="15" customHeight="1">
      <c r="A470" t="inlineStr">
        <is>
          <t>A 27839-2022</t>
        </is>
      </c>
      <c r="B470" s="1" t="n">
        <v>44743</v>
      </c>
      <c r="C470" s="1" t="n">
        <v>45852</v>
      </c>
      <c r="D470" t="inlineStr">
        <is>
          <t>DALARNAS LÄN</t>
        </is>
      </c>
      <c r="E470" t="inlineStr">
        <is>
          <t>MALUNG-SÄLEN</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27849-2022</t>
        </is>
      </c>
      <c r="B471" s="1" t="n">
        <v>44743</v>
      </c>
      <c r="C471" s="1" t="n">
        <v>45852</v>
      </c>
      <c r="D471" t="inlineStr">
        <is>
          <t>DALARNAS LÄN</t>
        </is>
      </c>
      <c r="E471" t="inlineStr">
        <is>
          <t>MALUNG-SÄLEN</t>
        </is>
      </c>
      <c r="F471" t="inlineStr">
        <is>
          <t>Kommuner</t>
        </is>
      </c>
      <c r="G471" t="n">
        <v>0.4</v>
      </c>
      <c r="H471" t="n">
        <v>0</v>
      </c>
      <c r="I471" t="n">
        <v>0</v>
      </c>
      <c r="J471" t="n">
        <v>0</v>
      </c>
      <c r="K471" t="n">
        <v>0</v>
      </c>
      <c r="L471" t="n">
        <v>0</v>
      </c>
      <c r="M471" t="n">
        <v>0</v>
      </c>
      <c r="N471" t="n">
        <v>0</v>
      </c>
      <c r="O471" t="n">
        <v>0</v>
      </c>
      <c r="P471" t="n">
        <v>0</v>
      </c>
      <c r="Q471" t="n">
        <v>0</v>
      </c>
      <c r="R471" s="2" t="inlineStr"/>
    </row>
    <row r="472" ht="15" customHeight="1">
      <c r="A472" t="inlineStr">
        <is>
          <t>A 28921-2022</t>
        </is>
      </c>
      <c r="B472" s="1" t="n">
        <v>44749</v>
      </c>
      <c r="C472" s="1" t="n">
        <v>45852</v>
      </c>
      <c r="D472" t="inlineStr">
        <is>
          <t>DALARNAS LÄN</t>
        </is>
      </c>
      <c r="E472" t="inlineStr">
        <is>
          <t>MALUNG-SÄLEN</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28895-2022</t>
        </is>
      </c>
      <c r="B473" s="1" t="n">
        <v>44749</v>
      </c>
      <c r="C473" s="1" t="n">
        <v>45852</v>
      </c>
      <c r="D473" t="inlineStr">
        <is>
          <t>DALARNAS LÄN</t>
        </is>
      </c>
      <c r="E473" t="inlineStr">
        <is>
          <t>MALUNG-SÄLEN</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29110-2022</t>
        </is>
      </c>
      <c r="B474" s="1" t="n">
        <v>44750</v>
      </c>
      <c r="C474" s="1" t="n">
        <v>45852</v>
      </c>
      <c r="D474" t="inlineStr">
        <is>
          <t>DALARNAS LÄN</t>
        </is>
      </c>
      <c r="E474" t="inlineStr">
        <is>
          <t>MALUNG-SÄLEN</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29597-2022</t>
        </is>
      </c>
      <c r="B475" s="1" t="n">
        <v>44754</v>
      </c>
      <c r="C475" s="1" t="n">
        <v>45852</v>
      </c>
      <c r="D475" t="inlineStr">
        <is>
          <t>DALARNAS LÄN</t>
        </is>
      </c>
      <c r="E475" t="inlineStr">
        <is>
          <t>MALUNG-SÄLEN</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29861-2022</t>
        </is>
      </c>
      <c r="B476" s="1" t="n">
        <v>44756</v>
      </c>
      <c r="C476" s="1" t="n">
        <v>45852</v>
      </c>
      <c r="D476" t="inlineStr">
        <is>
          <t>DALARNAS LÄN</t>
        </is>
      </c>
      <c r="E476" t="inlineStr">
        <is>
          <t>MALUNG-SÄLEN</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29998-2022</t>
        </is>
      </c>
      <c r="B477" s="1" t="n">
        <v>44756</v>
      </c>
      <c r="C477" s="1" t="n">
        <v>45852</v>
      </c>
      <c r="D477" t="inlineStr">
        <is>
          <t>DALARNAS LÄN</t>
        </is>
      </c>
      <c r="E477" t="inlineStr">
        <is>
          <t>MALUNG-SÄLEN</t>
        </is>
      </c>
      <c r="G477" t="n">
        <v>1.8</v>
      </c>
      <c r="H477" t="n">
        <v>0</v>
      </c>
      <c r="I477" t="n">
        <v>0</v>
      </c>
      <c r="J477" t="n">
        <v>0</v>
      </c>
      <c r="K477" t="n">
        <v>0</v>
      </c>
      <c r="L477" t="n">
        <v>0</v>
      </c>
      <c r="M477" t="n">
        <v>0</v>
      </c>
      <c r="N477" t="n">
        <v>0</v>
      </c>
      <c r="O477" t="n">
        <v>0</v>
      </c>
      <c r="P477" t="n">
        <v>0</v>
      </c>
      <c r="Q477" t="n">
        <v>0</v>
      </c>
      <c r="R477" s="2" t="inlineStr"/>
    </row>
    <row r="478" ht="15" customHeight="1">
      <c r="A478" t="inlineStr">
        <is>
          <t>A 32486-2022</t>
        </is>
      </c>
      <c r="B478" s="1" t="n">
        <v>44782</v>
      </c>
      <c r="C478" s="1" t="n">
        <v>45852</v>
      </c>
      <c r="D478" t="inlineStr">
        <is>
          <t>DALARNAS LÄN</t>
        </is>
      </c>
      <c r="E478" t="inlineStr">
        <is>
          <t>MALUNG-SÄLEN</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33618-2022</t>
        </is>
      </c>
      <c r="B479" s="1" t="n">
        <v>44789</v>
      </c>
      <c r="C479" s="1" t="n">
        <v>45852</v>
      </c>
      <c r="D479" t="inlineStr">
        <is>
          <t>DALARNAS LÄN</t>
        </is>
      </c>
      <c r="E479" t="inlineStr">
        <is>
          <t>MALUNG-SÄLEN</t>
        </is>
      </c>
      <c r="G479" t="n">
        <v>1.6</v>
      </c>
      <c r="H479" t="n">
        <v>0</v>
      </c>
      <c r="I479" t="n">
        <v>0</v>
      </c>
      <c r="J479" t="n">
        <v>0</v>
      </c>
      <c r="K479" t="n">
        <v>0</v>
      </c>
      <c r="L479" t="n">
        <v>0</v>
      </c>
      <c r="M479" t="n">
        <v>0</v>
      </c>
      <c r="N479" t="n">
        <v>0</v>
      </c>
      <c r="O479" t="n">
        <v>0</v>
      </c>
      <c r="P479" t="n">
        <v>0</v>
      </c>
      <c r="Q479" t="n">
        <v>0</v>
      </c>
      <c r="R479" s="2" t="inlineStr"/>
    </row>
    <row r="480" ht="15" customHeight="1">
      <c r="A480" t="inlineStr">
        <is>
          <t>A 33652-2022</t>
        </is>
      </c>
      <c r="B480" s="1" t="n">
        <v>44789</v>
      </c>
      <c r="C480" s="1" t="n">
        <v>45852</v>
      </c>
      <c r="D480" t="inlineStr">
        <is>
          <t>DALARNAS LÄN</t>
        </is>
      </c>
      <c r="E480" t="inlineStr">
        <is>
          <t>MALUNG-SÄLEN</t>
        </is>
      </c>
      <c r="G480" t="n">
        <v>7.3</v>
      </c>
      <c r="H480" t="n">
        <v>0</v>
      </c>
      <c r="I480" t="n">
        <v>0</v>
      </c>
      <c r="J480" t="n">
        <v>0</v>
      </c>
      <c r="K480" t="n">
        <v>0</v>
      </c>
      <c r="L480" t="n">
        <v>0</v>
      </c>
      <c r="M480" t="n">
        <v>0</v>
      </c>
      <c r="N480" t="n">
        <v>0</v>
      </c>
      <c r="O480" t="n">
        <v>0</v>
      </c>
      <c r="P480" t="n">
        <v>0</v>
      </c>
      <c r="Q480" t="n">
        <v>0</v>
      </c>
      <c r="R480" s="2" t="inlineStr"/>
    </row>
    <row r="481" ht="15" customHeight="1">
      <c r="A481" t="inlineStr">
        <is>
          <t>A 34077-2022</t>
        </is>
      </c>
      <c r="B481" s="1" t="n">
        <v>44791</v>
      </c>
      <c r="C481" s="1" t="n">
        <v>45852</v>
      </c>
      <c r="D481" t="inlineStr">
        <is>
          <t>DALARNAS LÄN</t>
        </is>
      </c>
      <c r="E481" t="inlineStr">
        <is>
          <t>MALUNG-SÄLEN</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34603-2022</t>
        </is>
      </c>
      <c r="B482" s="1" t="n">
        <v>44795</v>
      </c>
      <c r="C482" s="1" t="n">
        <v>45852</v>
      </c>
      <c r="D482" t="inlineStr">
        <is>
          <t>DALARNAS LÄN</t>
        </is>
      </c>
      <c r="E482" t="inlineStr">
        <is>
          <t>MALUNG-SÄLEN</t>
        </is>
      </c>
      <c r="G482" t="n">
        <v>5.4</v>
      </c>
      <c r="H482" t="n">
        <v>0</v>
      </c>
      <c r="I482" t="n">
        <v>0</v>
      </c>
      <c r="J482" t="n">
        <v>0</v>
      </c>
      <c r="K482" t="n">
        <v>0</v>
      </c>
      <c r="L482" t="n">
        <v>0</v>
      </c>
      <c r="M482" t="n">
        <v>0</v>
      </c>
      <c r="N482" t="n">
        <v>0</v>
      </c>
      <c r="O482" t="n">
        <v>0</v>
      </c>
      <c r="P482" t="n">
        <v>0</v>
      </c>
      <c r="Q482" t="n">
        <v>0</v>
      </c>
      <c r="R482" s="2" t="inlineStr"/>
    </row>
    <row r="483" ht="15" customHeight="1">
      <c r="A483" t="inlineStr">
        <is>
          <t>A 34610-2022</t>
        </is>
      </c>
      <c r="B483" s="1" t="n">
        <v>44795</v>
      </c>
      <c r="C483" s="1" t="n">
        <v>45852</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34913-2022</t>
        </is>
      </c>
      <c r="B484" s="1" t="n">
        <v>44796</v>
      </c>
      <c r="C484" s="1" t="n">
        <v>45852</v>
      </c>
      <c r="D484" t="inlineStr">
        <is>
          <t>DALARNAS LÄN</t>
        </is>
      </c>
      <c r="E484" t="inlineStr">
        <is>
          <t>MALUNG-SÄLEN</t>
        </is>
      </c>
      <c r="F484" t="inlineStr">
        <is>
          <t>Bergvik skog öst AB</t>
        </is>
      </c>
      <c r="G484" t="n">
        <v>3.3</v>
      </c>
      <c r="H484" t="n">
        <v>0</v>
      </c>
      <c r="I484" t="n">
        <v>0</v>
      </c>
      <c r="J484" t="n">
        <v>0</v>
      </c>
      <c r="K484" t="n">
        <v>0</v>
      </c>
      <c r="L484" t="n">
        <v>0</v>
      </c>
      <c r="M484" t="n">
        <v>0</v>
      </c>
      <c r="N484" t="n">
        <v>0</v>
      </c>
      <c r="O484" t="n">
        <v>0</v>
      </c>
      <c r="P484" t="n">
        <v>0</v>
      </c>
      <c r="Q484" t="n">
        <v>0</v>
      </c>
      <c r="R484" s="2" t="inlineStr"/>
    </row>
    <row r="485" ht="15" customHeight="1">
      <c r="A485" t="inlineStr">
        <is>
          <t>A 35181-2022</t>
        </is>
      </c>
      <c r="B485" s="1" t="n">
        <v>44797</v>
      </c>
      <c r="C485" s="1" t="n">
        <v>45852</v>
      </c>
      <c r="D485" t="inlineStr">
        <is>
          <t>DALARNAS LÄN</t>
        </is>
      </c>
      <c r="E485" t="inlineStr">
        <is>
          <t>MALUNG-SÄLEN</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36014-2022</t>
        </is>
      </c>
      <c r="B486" s="1" t="n">
        <v>44802</v>
      </c>
      <c r="C486" s="1" t="n">
        <v>45852</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36029-2022</t>
        </is>
      </c>
      <c r="B487" s="1" t="n">
        <v>44802</v>
      </c>
      <c r="C487" s="1" t="n">
        <v>45852</v>
      </c>
      <c r="D487" t="inlineStr">
        <is>
          <t>DALARNAS LÄN</t>
        </is>
      </c>
      <c r="E487" t="inlineStr">
        <is>
          <t>MALUNG-SÄLEN</t>
        </is>
      </c>
      <c r="G487" t="n">
        <v>2.3</v>
      </c>
      <c r="H487" t="n">
        <v>0</v>
      </c>
      <c r="I487" t="n">
        <v>0</v>
      </c>
      <c r="J487" t="n">
        <v>0</v>
      </c>
      <c r="K487" t="n">
        <v>0</v>
      </c>
      <c r="L487" t="n">
        <v>0</v>
      </c>
      <c r="M487" t="n">
        <v>0</v>
      </c>
      <c r="N487" t="n">
        <v>0</v>
      </c>
      <c r="O487" t="n">
        <v>0</v>
      </c>
      <c r="P487" t="n">
        <v>0</v>
      </c>
      <c r="Q487" t="n">
        <v>0</v>
      </c>
      <c r="R487" s="2" t="inlineStr"/>
    </row>
    <row r="488" ht="15" customHeight="1">
      <c r="A488" t="inlineStr">
        <is>
          <t>A 36494-2022</t>
        </is>
      </c>
      <c r="B488" s="1" t="n">
        <v>44804</v>
      </c>
      <c r="C488" s="1" t="n">
        <v>45852</v>
      </c>
      <c r="D488" t="inlineStr">
        <is>
          <t>DALARNAS LÄN</t>
        </is>
      </c>
      <c r="E488" t="inlineStr">
        <is>
          <t>MALUNG-SÄLEN</t>
        </is>
      </c>
      <c r="G488" t="n">
        <v>3.7</v>
      </c>
      <c r="H488" t="n">
        <v>0</v>
      </c>
      <c r="I488" t="n">
        <v>0</v>
      </c>
      <c r="J488" t="n">
        <v>0</v>
      </c>
      <c r="K488" t="n">
        <v>0</v>
      </c>
      <c r="L488" t="n">
        <v>0</v>
      </c>
      <c r="M488" t="n">
        <v>0</v>
      </c>
      <c r="N488" t="n">
        <v>0</v>
      </c>
      <c r="O488" t="n">
        <v>0</v>
      </c>
      <c r="P488" t="n">
        <v>0</v>
      </c>
      <c r="Q488" t="n">
        <v>0</v>
      </c>
      <c r="R488" s="2" t="inlineStr"/>
    </row>
    <row r="489" ht="15" customHeight="1">
      <c r="A489" t="inlineStr">
        <is>
          <t>A 37002-2022</t>
        </is>
      </c>
      <c r="B489" s="1" t="n">
        <v>44806</v>
      </c>
      <c r="C489" s="1" t="n">
        <v>45852</v>
      </c>
      <c r="D489" t="inlineStr">
        <is>
          <t>DALARNAS LÄN</t>
        </is>
      </c>
      <c r="E489" t="inlineStr">
        <is>
          <t>MALUNG-SÄLEN</t>
        </is>
      </c>
      <c r="G489" t="n">
        <v>0.8</v>
      </c>
      <c r="H489" t="n">
        <v>0</v>
      </c>
      <c r="I489" t="n">
        <v>0</v>
      </c>
      <c r="J489" t="n">
        <v>0</v>
      </c>
      <c r="K489" t="n">
        <v>0</v>
      </c>
      <c r="L489" t="n">
        <v>0</v>
      </c>
      <c r="M489" t="n">
        <v>0</v>
      </c>
      <c r="N489" t="n">
        <v>0</v>
      </c>
      <c r="O489" t="n">
        <v>0</v>
      </c>
      <c r="P489" t="n">
        <v>0</v>
      </c>
      <c r="Q489" t="n">
        <v>0</v>
      </c>
      <c r="R489" s="2" t="inlineStr"/>
    </row>
    <row r="490" ht="15" customHeight="1">
      <c r="A490" t="inlineStr">
        <is>
          <t>A 37392-2022</t>
        </is>
      </c>
      <c r="B490" s="1" t="n">
        <v>44809</v>
      </c>
      <c r="C490" s="1" t="n">
        <v>45852</v>
      </c>
      <c r="D490" t="inlineStr">
        <is>
          <t>DALARNAS LÄN</t>
        </is>
      </c>
      <c r="E490" t="inlineStr">
        <is>
          <t>MALUNG-SÄLEN</t>
        </is>
      </c>
      <c r="G490" t="n">
        <v>1.5</v>
      </c>
      <c r="H490" t="n">
        <v>0</v>
      </c>
      <c r="I490" t="n">
        <v>0</v>
      </c>
      <c r="J490" t="n">
        <v>0</v>
      </c>
      <c r="K490" t="n">
        <v>0</v>
      </c>
      <c r="L490" t="n">
        <v>0</v>
      </c>
      <c r="M490" t="n">
        <v>0</v>
      </c>
      <c r="N490" t="n">
        <v>0</v>
      </c>
      <c r="O490" t="n">
        <v>0</v>
      </c>
      <c r="P490" t="n">
        <v>0</v>
      </c>
      <c r="Q490" t="n">
        <v>0</v>
      </c>
      <c r="R490" s="2" t="inlineStr"/>
    </row>
    <row r="491" ht="15" customHeight="1">
      <c r="A491" t="inlineStr">
        <is>
          <t>A 37395-2022</t>
        </is>
      </c>
      <c r="B491" s="1" t="n">
        <v>44809</v>
      </c>
      <c r="C491" s="1" t="n">
        <v>45852</v>
      </c>
      <c r="D491" t="inlineStr">
        <is>
          <t>DALARNAS LÄN</t>
        </is>
      </c>
      <c r="E491" t="inlineStr">
        <is>
          <t>MALUNG-SÄLEN</t>
        </is>
      </c>
      <c r="G491" t="n">
        <v>0.6</v>
      </c>
      <c r="H491" t="n">
        <v>0</v>
      </c>
      <c r="I491" t="n">
        <v>0</v>
      </c>
      <c r="J491" t="n">
        <v>0</v>
      </c>
      <c r="K491" t="n">
        <v>0</v>
      </c>
      <c r="L491" t="n">
        <v>0</v>
      </c>
      <c r="M491" t="n">
        <v>0</v>
      </c>
      <c r="N491" t="n">
        <v>0</v>
      </c>
      <c r="O491" t="n">
        <v>0</v>
      </c>
      <c r="P491" t="n">
        <v>0</v>
      </c>
      <c r="Q491" t="n">
        <v>0</v>
      </c>
      <c r="R491" s="2" t="inlineStr"/>
    </row>
    <row r="492" ht="15" customHeight="1">
      <c r="A492" t="inlineStr">
        <is>
          <t>A 37478-2022</t>
        </is>
      </c>
      <c r="B492" s="1" t="n">
        <v>44809</v>
      </c>
      <c r="C492" s="1" t="n">
        <v>45852</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37389-2022</t>
        </is>
      </c>
      <c r="B493" s="1" t="n">
        <v>44809</v>
      </c>
      <c r="C493" s="1" t="n">
        <v>45852</v>
      </c>
      <c r="D493" t="inlineStr">
        <is>
          <t>DALARNAS LÄN</t>
        </is>
      </c>
      <c r="E493" t="inlineStr">
        <is>
          <t>MALUNG-SÄLEN</t>
        </is>
      </c>
      <c r="G493" t="n">
        <v>14.8</v>
      </c>
      <c r="H493" t="n">
        <v>0</v>
      </c>
      <c r="I493" t="n">
        <v>0</v>
      </c>
      <c r="J493" t="n">
        <v>0</v>
      </c>
      <c r="K493" t="n">
        <v>0</v>
      </c>
      <c r="L493" t="n">
        <v>0</v>
      </c>
      <c r="M493" t="n">
        <v>0</v>
      </c>
      <c r="N493" t="n">
        <v>0</v>
      </c>
      <c r="O493" t="n">
        <v>0</v>
      </c>
      <c r="P493" t="n">
        <v>0</v>
      </c>
      <c r="Q493" t="n">
        <v>0</v>
      </c>
      <c r="R493" s="2" t="inlineStr"/>
    </row>
    <row r="494" ht="15" customHeight="1">
      <c r="A494" t="inlineStr">
        <is>
          <t>A 37770-2022</t>
        </is>
      </c>
      <c r="B494" s="1" t="n">
        <v>44810</v>
      </c>
      <c r="C494" s="1" t="n">
        <v>45852</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37887-2022</t>
        </is>
      </c>
      <c r="B495" s="1" t="n">
        <v>44811</v>
      </c>
      <c r="C495" s="1" t="n">
        <v>45852</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38008-2022</t>
        </is>
      </c>
      <c r="B496" s="1" t="n">
        <v>44811</v>
      </c>
      <c r="C496" s="1" t="n">
        <v>45852</v>
      </c>
      <c r="D496" t="inlineStr">
        <is>
          <t>DALARNAS LÄN</t>
        </is>
      </c>
      <c r="E496" t="inlineStr">
        <is>
          <t>MALUNG-SÄLEN</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38054-2022</t>
        </is>
      </c>
      <c r="B497" s="1" t="n">
        <v>44811</v>
      </c>
      <c r="C497" s="1" t="n">
        <v>45852</v>
      </c>
      <c r="D497" t="inlineStr">
        <is>
          <t>DALARNAS LÄN</t>
        </is>
      </c>
      <c r="E497" t="inlineStr">
        <is>
          <t>MALUNG-SÄLEN</t>
        </is>
      </c>
      <c r="F497" t="inlineStr">
        <is>
          <t>Bergvik skog öst AB</t>
        </is>
      </c>
      <c r="G497" t="n">
        <v>1.9</v>
      </c>
      <c r="H497" t="n">
        <v>0</v>
      </c>
      <c r="I497" t="n">
        <v>0</v>
      </c>
      <c r="J497" t="n">
        <v>0</v>
      </c>
      <c r="K497" t="n">
        <v>0</v>
      </c>
      <c r="L497" t="n">
        <v>0</v>
      </c>
      <c r="M497" t="n">
        <v>0</v>
      </c>
      <c r="N497" t="n">
        <v>0</v>
      </c>
      <c r="O497" t="n">
        <v>0</v>
      </c>
      <c r="P497" t="n">
        <v>0</v>
      </c>
      <c r="Q497" t="n">
        <v>0</v>
      </c>
      <c r="R497" s="2" t="inlineStr"/>
    </row>
    <row r="498" ht="15" customHeight="1">
      <c r="A498" t="inlineStr">
        <is>
          <t>A 38026-2022</t>
        </is>
      </c>
      <c r="B498" s="1" t="n">
        <v>44811</v>
      </c>
      <c r="C498" s="1" t="n">
        <v>45852</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38050-2022</t>
        </is>
      </c>
      <c r="B499" s="1" t="n">
        <v>44811</v>
      </c>
      <c r="C499" s="1" t="n">
        <v>45852</v>
      </c>
      <c r="D499" t="inlineStr">
        <is>
          <t>DALARNAS LÄN</t>
        </is>
      </c>
      <c r="E499" t="inlineStr">
        <is>
          <t>MALUNG-SÄLEN</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38041-2022</t>
        </is>
      </c>
      <c r="B500" s="1" t="n">
        <v>44811</v>
      </c>
      <c r="C500" s="1" t="n">
        <v>45852</v>
      </c>
      <c r="D500" t="inlineStr">
        <is>
          <t>DALARNAS LÄN</t>
        </is>
      </c>
      <c r="E500" t="inlineStr">
        <is>
          <t>MALUNG-SÄLEN</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38516-2022</t>
        </is>
      </c>
      <c r="B501" s="1" t="n">
        <v>44813</v>
      </c>
      <c r="C501" s="1" t="n">
        <v>45852</v>
      </c>
      <c r="D501" t="inlineStr">
        <is>
          <t>DALARNAS LÄN</t>
        </is>
      </c>
      <c r="E501" t="inlineStr">
        <is>
          <t>MALUNG-SÄLEN</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39210-2022</t>
        </is>
      </c>
      <c r="B502" s="1" t="n">
        <v>44817</v>
      </c>
      <c r="C502" s="1" t="n">
        <v>45852</v>
      </c>
      <c r="D502" t="inlineStr">
        <is>
          <t>DALARNAS LÄN</t>
        </is>
      </c>
      <c r="E502" t="inlineStr">
        <is>
          <t>MALUNG-SÄLEN</t>
        </is>
      </c>
      <c r="F502" t="inlineStr">
        <is>
          <t>Bergvik skog väst AB</t>
        </is>
      </c>
      <c r="G502" t="n">
        <v>20.5</v>
      </c>
      <c r="H502" t="n">
        <v>0</v>
      </c>
      <c r="I502" t="n">
        <v>0</v>
      </c>
      <c r="J502" t="n">
        <v>0</v>
      </c>
      <c r="K502" t="n">
        <v>0</v>
      </c>
      <c r="L502" t="n">
        <v>0</v>
      </c>
      <c r="M502" t="n">
        <v>0</v>
      </c>
      <c r="N502" t="n">
        <v>0</v>
      </c>
      <c r="O502" t="n">
        <v>0</v>
      </c>
      <c r="P502" t="n">
        <v>0</v>
      </c>
      <c r="Q502" t="n">
        <v>0</v>
      </c>
      <c r="R502" s="2" t="inlineStr"/>
    </row>
    <row r="503" ht="15" customHeight="1">
      <c r="A503" t="inlineStr">
        <is>
          <t>A 39852-2022</t>
        </is>
      </c>
      <c r="B503" s="1" t="n">
        <v>44819</v>
      </c>
      <c r="C503" s="1" t="n">
        <v>45852</v>
      </c>
      <c r="D503" t="inlineStr">
        <is>
          <t>DALARNAS LÄN</t>
        </is>
      </c>
      <c r="E503" t="inlineStr">
        <is>
          <t>MALUNG-SÄLEN</t>
        </is>
      </c>
      <c r="F503" t="inlineStr">
        <is>
          <t>Bergvik skog väst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41333-2022</t>
        </is>
      </c>
      <c r="B504" s="1" t="n">
        <v>44826</v>
      </c>
      <c r="C504" s="1" t="n">
        <v>45852</v>
      </c>
      <c r="D504" t="inlineStr">
        <is>
          <t>DALARNAS LÄN</t>
        </is>
      </c>
      <c r="E504" t="inlineStr">
        <is>
          <t>MALUNG-SÄLEN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42672-2022</t>
        </is>
      </c>
      <c r="B505" s="1" t="n">
        <v>44832</v>
      </c>
      <c r="C505" s="1" t="n">
        <v>45852</v>
      </c>
      <c r="D505" t="inlineStr">
        <is>
          <t>DALARNAS LÄN</t>
        </is>
      </c>
      <c r="E505" t="inlineStr">
        <is>
          <t>MALUNG-SÄLEN</t>
        </is>
      </c>
      <c r="G505" t="n">
        <v>2.6</v>
      </c>
      <c r="H505" t="n">
        <v>0</v>
      </c>
      <c r="I505" t="n">
        <v>0</v>
      </c>
      <c r="J505" t="n">
        <v>0</v>
      </c>
      <c r="K505" t="n">
        <v>0</v>
      </c>
      <c r="L505" t="n">
        <v>0</v>
      </c>
      <c r="M505" t="n">
        <v>0</v>
      </c>
      <c r="N505" t="n">
        <v>0</v>
      </c>
      <c r="O505" t="n">
        <v>0</v>
      </c>
      <c r="P505" t="n">
        <v>0</v>
      </c>
      <c r="Q505" t="n">
        <v>0</v>
      </c>
      <c r="R505" s="2" t="inlineStr"/>
    </row>
    <row r="506" ht="15" customHeight="1">
      <c r="A506" t="inlineStr">
        <is>
          <t>A 42825-2022</t>
        </is>
      </c>
      <c r="B506" s="1" t="n">
        <v>44832</v>
      </c>
      <c r="C506" s="1" t="n">
        <v>45852</v>
      </c>
      <c r="D506" t="inlineStr">
        <is>
          <t>DALARNAS LÄN</t>
        </is>
      </c>
      <c r="E506" t="inlineStr">
        <is>
          <t>MALUNG-SÄLEN</t>
        </is>
      </c>
      <c r="F506" t="inlineStr">
        <is>
          <t>Bergvik skog väst AB</t>
        </is>
      </c>
      <c r="G506" t="n">
        <v>19.5</v>
      </c>
      <c r="H506" t="n">
        <v>0</v>
      </c>
      <c r="I506" t="n">
        <v>0</v>
      </c>
      <c r="J506" t="n">
        <v>0</v>
      </c>
      <c r="K506" t="n">
        <v>0</v>
      </c>
      <c r="L506" t="n">
        <v>0</v>
      </c>
      <c r="M506" t="n">
        <v>0</v>
      </c>
      <c r="N506" t="n">
        <v>0</v>
      </c>
      <c r="O506" t="n">
        <v>0</v>
      </c>
      <c r="P506" t="n">
        <v>0</v>
      </c>
      <c r="Q506" t="n">
        <v>0</v>
      </c>
      <c r="R506" s="2" t="inlineStr"/>
    </row>
    <row r="507" ht="15" customHeight="1">
      <c r="A507" t="inlineStr">
        <is>
          <t>A 43040-2022</t>
        </is>
      </c>
      <c r="B507" s="1" t="n">
        <v>44833</v>
      </c>
      <c r="C507" s="1" t="n">
        <v>45852</v>
      </c>
      <c r="D507" t="inlineStr">
        <is>
          <t>DALARNAS LÄN</t>
        </is>
      </c>
      <c r="E507" t="inlineStr">
        <is>
          <t>MALUNG-SÄLEN</t>
        </is>
      </c>
      <c r="G507" t="n">
        <v>6.9</v>
      </c>
      <c r="H507" t="n">
        <v>0</v>
      </c>
      <c r="I507" t="n">
        <v>0</v>
      </c>
      <c r="J507" t="n">
        <v>0</v>
      </c>
      <c r="K507" t="n">
        <v>0</v>
      </c>
      <c r="L507" t="n">
        <v>0</v>
      </c>
      <c r="M507" t="n">
        <v>0</v>
      </c>
      <c r="N507" t="n">
        <v>0</v>
      </c>
      <c r="O507" t="n">
        <v>0</v>
      </c>
      <c r="P507" t="n">
        <v>0</v>
      </c>
      <c r="Q507" t="n">
        <v>0</v>
      </c>
      <c r="R507" s="2" t="inlineStr"/>
    </row>
    <row r="508" ht="15" customHeight="1">
      <c r="A508" t="inlineStr">
        <is>
          <t>A 42913-2022</t>
        </is>
      </c>
      <c r="B508" s="1" t="n">
        <v>44833</v>
      </c>
      <c r="C508" s="1" t="n">
        <v>45852</v>
      </c>
      <c r="D508" t="inlineStr">
        <is>
          <t>DALARNAS LÄN</t>
        </is>
      </c>
      <c r="E508" t="inlineStr">
        <is>
          <t>MALUNG-SÄLEN</t>
        </is>
      </c>
      <c r="G508" t="n">
        <v>6.1</v>
      </c>
      <c r="H508" t="n">
        <v>0</v>
      </c>
      <c r="I508" t="n">
        <v>0</v>
      </c>
      <c r="J508" t="n">
        <v>0</v>
      </c>
      <c r="K508" t="n">
        <v>0</v>
      </c>
      <c r="L508" t="n">
        <v>0</v>
      </c>
      <c r="M508" t="n">
        <v>0</v>
      </c>
      <c r="N508" t="n">
        <v>0</v>
      </c>
      <c r="O508" t="n">
        <v>0</v>
      </c>
      <c r="P508" t="n">
        <v>0</v>
      </c>
      <c r="Q508" t="n">
        <v>0</v>
      </c>
      <c r="R508" s="2" t="inlineStr"/>
    </row>
    <row r="509" ht="15" customHeight="1">
      <c r="A509" t="inlineStr">
        <is>
          <t>A 43189-2022</t>
        </is>
      </c>
      <c r="B509" s="1" t="n">
        <v>44834</v>
      </c>
      <c r="C509" s="1" t="n">
        <v>45852</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43265-2022</t>
        </is>
      </c>
      <c r="B510" s="1" t="n">
        <v>44834</v>
      </c>
      <c r="C510" s="1" t="n">
        <v>45852</v>
      </c>
      <c r="D510" t="inlineStr">
        <is>
          <t>DALARNAS LÄN</t>
        </is>
      </c>
      <c r="E510" t="inlineStr">
        <is>
          <t>MALUNG-SÄLEN</t>
        </is>
      </c>
      <c r="F510" t="inlineStr">
        <is>
          <t>Bergvik skog väst AB</t>
        </is>
      </c>
      <c r="G510" t="n">
        <v>30.5</v>
      </c>
      <c r="H510" t="n">
        <v>0</v>
      </c>
      <c r="I510" t="n">
        <v>0</v>
      </c>
      <c r="J510" t="n">
        <v>0</v>
      </c>
      <c r="K510" t="n">
        <v>0</v>
      </c>
      <c r="L510" t="n">
        <v>0</v>
      </c>
      <c r="M510" t="n">
        <v>0</v>
      </c>
      <c r="N510" t="n">
        <v>0</v>
      </c>
      <c r="O510" t="n">
        <v>0</v>
      </c>
      <c r="P510" t="n">
        <v>0</v>
      </c>
      <c r="Q510" t="n">
        <v>0</v>
      </c>
      <c r="R510" s="2" t="inlineStr"/>
    </row>
    <row r="511" ht="15" customHeight="1">
      <c r="A511" t="inlineStr">
        <is>
          <t>A 43981-2022</t>
        </is>
      </c>
      <c r="B511" s="1" t="n">
        <v>44837</v>
      </c>
      <c r="C511" s="1" t="n">
        <v>45852</v>
      </c>
      <c r="D511" t="inlineStr">
        <is>
          <t>DALARNAS LÄN</t>
        </is>
      </c>
      <c r="E511" t="inlineStr">
        <is>
          <t>MALUNG-SÄLEN</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44296-2022</t>
        </is>
      </c>
      <c r="B512" s="1" t="n">
        <v>44839</v>
      </c>
      <c r="C512" s="1" t="n">
        <v>45852</v>
      </c>
      <c r="D512" t="inlineStr">
        <is>
          <t>DALARNAS LÄN</t>
        </is>
      </c>
      <c r="E512" t="inlineStr">
        <is>
          <t>MALUNG-SÄLEN</t>
        </is>
      </c>
      <c r="G512" t="n">
        <v>1.4</v>
      </c>
      <c r="H512" t="n">
        <v>0</v>
      </c>
      <c r="I512" t="n">
        <v>0</v>
      </c>
      <c r="J512" t="n">
        <v>0</v>
      </c>
      <c r="K512" t="n">
        <v>0</v>
      </c>
      <c r="L512" t="n">
        <v>0</v>
      </c>
      <c r="M512" t="n">
        <v>0</v>
      </c>
      <c r="N512" t="n">
        <v>0</v>
      </c>
      <c r="O512" t="n">
        <v>0</v>
      </c>
      <c r="P512" t="n">
        <v>0</v>
      </c>
      <c r="Q512" t="n">
        <v>0</v>
      </c>
      <c r="R512" s="2" t="inlineStr"/>
    </row>
    <row r="513" ht="15" customHeight="1">
      <c r="A513" t="inlineStr">
        <is>
          <t>A 44300-2022</t>
        </is>
      </c>
      <c r="B513" s="1" t="n">
        <v>44839</v>
      </c>
      <c r="C513" s="1" t="n">
        <v>45852</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44614-2022</t>
        </is>
      </c>
      <c r="B514" s="1" t="n">
        <v>44840</v>
      </c>
      <c r="C514" s="1" t="n">
        <v>45852</v>
      </c>
      <c r="D514" t="inlineStr">
        <is>
          <t>DALARNAS LÄN</t>
        </is>
      </c>
      <c r="E514" t="inlineStr">
        <is>
          <t>MALUNG-SÄLEN</t>
        </is>
      </c>
      <c r="G514" t="n">
        <v>2.1</v>
      </c>
      <c r="H514" t="n">
        <v>0</v>
      </c>
      <c r="I514" t="n">
        <v>0</v>
      </c>
      <c r="J514" t="n">
        <v>0</v>
      </c>
      <c r="K514" t="n">
        <v>0</v>
      </c>
      <c r="L514" t="n">
        <v>0</v>
      </c>
      <c r="M514" t="n">
        <v>0</v>
      </c>
      <c r="N514" t="n">
        <v>0</v>
      </c>
      <c r="O514" t="n">
        <v>0</v>
      </c>
      <c r="P514" t="n">
        <v>0</v>
      </c>
      <c r="Q514" t="n">
        <v>0</v>
      </c>
      <c r="R514" s="2" t="inlineStr"/>
    </row>
    <row r="515" ht="15" customHeight="1">
      <c r="A515" t="inlineStr">
        <is>
          <t>A 44612-2022</t>
        </is>
      </c>
      <c r="B515" s="1" t="n">
        <v>44840</v>
      </c>
      <c r="C515" s="1" t="n">
        <v>45852</v>
      </c>
      <c r="D515" t="inlineStr">
        <is>
          <t>DALARNAS LÄN</t>
        </is>
      </c>
      <c r="E515" t="inlineStr">
        <is>
          <t>MALUNG-SÄLEN</t>
        </is>
      </c>
      <c r="G515" t="n">
        <v>12.4</v>
      </c>
      <c r="H515" t="n">
        <v>0</v>
      </c>
      <c r="I515" t="n">
        <v>0</v>
      </c>
      <c r="J515" t="n">
        <v>0</v>
      </c>
      <c r="K515" t="n">
        <v>0</v>
      </c>
      <c r="L515" t="n">
        <v>0</v>
      </c>
      <c r="M515" t="n">
        <v>0</v>
      </c>
      <c r="N515" t="n">
        <v>0</v>
      </c>
      <c r="O515" t="n">
        <v>0</v>
      </c>
      <c r="P515" t="n">
        <v>0</v>
      </c>
      <c r="Q515" t="n">
        <v>0</v>
      </c>
      <c r="R515" s="2" t="inlineStr"/>
    </row>
    <row r="516" ht="15" customHeight="1">
      <c r="A516" t="inlineStr">
        <is>
          <t>A 44825-2022</t>
        </is>
      </c>
      <c r="B516" s="1" t="n">
        <v>44841</v>
      </c>
      <c r="C516" s="1" t="n">
        <v>45852</v>
      </c>
      <c r="D516" t="inlineStr">
        <is>
          <t>DALARNAS LÄN</t>
        </is>
      </c>
      <c r="E516" t="inlineStr">
        <is>
          <t>MALUNG-SÄLEN</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44904-2022</t>
        </is>
      </c>
      <c r="B517" s="1" t="n">
        <v>44841</v>
      </c>
      <c r="C517" s="1" t="n">
        <v>45852</v>
      </c>
      <c r="D517" t="inlineStr">
        <is>
          <t>DALARNAS LÄN</t>
        </is>
      </c>
      <c r="E517" t="inlineStr">
        <is>
          <t>MALUNG-SÄLEN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45511-2022</t>
        </is>
      </c>
      <c r="B518" s="1" t="n">
        <v>44841</v>
      </c>
      <c r="C518" s="1" t="n">
        <v>45852</v>
      </c>
      <c r="D518" t="inlineStr">
        <is>
          <t>DALARNAS LÄN</t>
        </is>
      </c>
      <c r="E518" t="inlineStr">
        <is>
          <t>MALUNG-SÄLEN</t>
        </is>
      </c>
      <c r="F518" t="inlineStr">
        <is>
          <t>Allmännings- och besparingsskogar</t>
        </is>
      </c>
      <c r="G518" t="n">
        <v>17.3</v>
      </c>
      <c r="H518" t="n">
        <v>0</v>
      </c>
      <c r="I518" t="n">
        <v>0</v>
      </c>
      <c r="J518" t="n">
        <v>0</v>
      </c>
      <c r="K518" t="n">
        <v>0</v>
      </c>
      <c r="L518" t="n">
        <v>0</v>
      </c>
      <c r="M518" t="n">
        <v>0</v>
      </c>
      <c r="N518" t="n">
        <v>0</v>
      </c>
      <c r="O518" t="n">
        <v>0</v>
      </c>
      <c r="P518" t="n">
        <v>0</v>
      </c>
      <c r="Q518" t="n">
        <v>0</v>
      </c>
      <c r="R518" s="2" t="inlineStr"/>
    </row>
    <row r="519" ht="15" customHeight="1">
      <c r="A519" t="inlineStr">
        <is>
          <t>A 45150-2022</t>
        </is>
      </c>
      <c r="B519" s="1" t="n">
        <v>44844</v>
      </c>
      <c r="C519" s="1" t="n">
        <v>45852</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46169-2022</t>
        </is>
      </c>
      <c r="B520" s="1" t="n">
        <v>44847</v>
      </c>
      <c r="C520" s="1" t="n">
        <v>45852</v>
      </c>
      <c r="D520" t="inlineStr">
        <is>
          <t>DALARNAS LÄN</t>
        </is>
      </c>
      <c r="E520" t="inlineStr">
        <is>
          <t>MALUNG-SÄLEN</t>
        </is>
      </c>
      <c r="F520" t="inlineStr">
        <is>
          <t>Allmännings- och besparingsskogar</t>
        </is>
      </c>
      <c r="G520" t="n">
        <v>6</v>
      </c>
      <c r="H520" t="n">
        <v>0</v>
      </c>
      <c r="I520" t="n">
        <v>0</v>
      </c>
      <c r="J520" t="n">
        <v>0</v>
      </c>
      <c r="K520" t="n">
        <v>0</v>
      </c>
      <c r="L520" t="n">
        <v>0</v>
      </c>
      <c r="M520" t="n">
        <v>0</v>
      </c>
      <c r="N520" t="n">
        <v>0</v>
      </c>
      <c r="O520" t="n">
        <v>0</v>
      </c>
      <c r="P520" t="n">
        <v>0</v>
      </c>
      <c r="Q520" t="n">
        <v>0</v>
      </c>
      <c r="R520" s="2" t="inlineStr"/>
    </row>
    <row r="521" ht="15" customHeight="1">
      <c r="A521" t="inlineStr">
        <is>
          <t>A 46910-2022</t>
        </is>
      </c>
      <c r="B521" s="1" t="n">
        <v>44851</v>
      </c>
      <c r="C521" s="1" t="n">
        <v>45852</v>
      </c>
      <c r="D521" t="inlineStr">
        <is>
          <t>DALARNAS LÄN</t>
        </is>
      </c>
      <c r="E521" t="inlineStr">
        <is>
          <t>MALUNG-SÄLEN</t>
        </is>
      </c>
      <c r="G521" t="n">
        <v>3.2</v>
      </c>
      <c r="H521" t="n">
        <v>0</v>
      </c>
      <c r="I521" t="n">
        <v>0</v>
      </c>
      <c r="J521" t="n">
        <v>0</v>
      </c>
      <c r="K521" t="n">
        <v>0</v>
      </c>
      <c r="L521" t="n">
        <v>0</v>
      </c>
      <c r="M521" t="n">
        <v>0</v>
      </c>
      <c r="N521" t="n">
        <v>0</v>
      </c>
      <c r="O521" t="n">
        <v>0</v>
      </c>
      <c r="P521" t="n">
        <v>0</v>
      </c>
      <c r="Q521" t="n">
        <v>0</v>
      </c>
      <c r="R521" s="2" t="inlineStr"/>
    </row>
    <row r="522" ht="15" customHeight="1">
      <c r="A522" t="inlineStr">
        <is>
          <t>A 47216-2022</t>
        </is>
      </c>
      <c r="B522" s="1" t="n">
        <v>44852</v>
      </c>
      <c r="C522" s="1" t="n">
        <v>45852</v>
      </c>
      <c r="D522" t="inlineStr">
        <is>
          <t>DALARNAS LÄN</t>
        </is>
      </c>
      <c r="E522" t="inlineStr">
        <is>
          <t>MALUNG-SÄLEN</t>
        </is>
      </c>
      <c r="F522" t="inlineStr">
        <is>
          <t>Allmännings- och besparingsskogar</t>
        </is>
      </c>
      <c r="G522" t="n">
        <v>35.3</v>
      </c>
      <c r="H522" t="n">
        <v>0</v>
      </c>
      <c r="I522" t="n">
        <v>0</v>
      </c>
      <c r="J522" t="n">
        <v>0</v>
      </c>
      <c r="K522" t="n">
        <v>0</v>
      </c>
      <c r="L522" t="n">
        <v>0</v>
      </c>
      <c r="M522" t="n">
        <v>0</v>
      </c>
      <c r="N522" t="n">
        <v>0</v>
      </c>
      <c r="O522" t="n">
        <v>0</v>
      </c>
      <c r="P522" t="n">
        <v>0</v>
      </c>
      <c r="Q522" t="n">
        <v>0</v>
      </c>
      <c r="R522" s="2" t="inlineStr"/>
    </row>
    <row r="523" ht="15" customHeight="1">
      <c r="A523" t="inlineStr">
        <is>
          <t>A 47007-2022</t>
        </is>
      </c>
      <c r="B523" s="1" t="n">
        <v>44852</v>
      </c>
      <c r="C523" s="1" t="n">
        <v>45852</v>
      </c>
      <c r="D523" t="inlineStr">
        <is>
          <t>DALARNAS LÄN</t>
        </is>
      </c>
      <c r="E523" t="inlineStr">
        <is>
          <t>MALUNG-SÄLEN</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47353-2022</t>
        </is>
      </c>
      <c r="B524" s="1" t="n">
        <v>44853</v>
      </c>
      <c r="C524" s="1" t="n">
        <v>45852</v>
      </c>
      <c r="D524" t="inlineStr">
        <is>
          <t>DALARNAS LÄN</t>
        </is>
      </c>
      <c r="E524" t="inlineStr">
        <is>
          <t>MALUNG-SÄLEN</t>
        </is>
      </c>
      <c r="G524" t="n">
        <v>26.8</v>
      </c>
      <c r="H524" t="n">
        <v>0</v>
      </c>
      <c r="I524" t="n">
        <v>0</v>
      </c>
      <c r="J524" t="n">
        <v>0</v>
      </c>
      <c r="K524" t="n">
        <v>0</v>
      </c>
      <c r="L524" t="n">
        <v>0</v>
      </c>
      <c r="M524" t="n">
        <v>0</v>
      </c>
      <c r="N524" t="n">
        <v>0</v>
      </c>
      <c r="O524" t="n">
        <v>0</v>
      </c>
      <c r="P524" t="n">
        <v>0</v>
      </c>
      <c r="Q524" t="n">
        <v>0</v>
      </c>
      <c r="R524" s="2" t="inlineStr"/>
    </row>
    <row r="525" ht="15" customHeight="1">
      <c r="A525" t="inlineStr">
        <is>
          <t>A 47474-2022</t>
        </is>
      </c>
      <c r="B525" s="1" t="n">
        <v>44853</v>
      </c>
      <c r="C525" s="1" t="n">
        <v>45852</v>
      </c>
      <c r="D525" t="inlineStr">
        <is>
          <t>DALARNAS LÄN</t>
        </is>
      </c>
      <c r="E525" t="inlineStr">
        <is>
          <t>MALUNG-SÄLEN</t>
        </is>
      </c>
      <c r="G525" t="n">
        <v>5.8</v>
      </c>
      <c r="H525" t="n">
        <v>0</v>
      </c>
      <c r="I525" t="n">
        <v>0</v>
      </c>
      <c r="J525" t="n">
        <v>0</v>
      </c>
      <c r="K525" t="n">
        <v>0</v>
      </c>
      <c r="L525" t="n">
        <v>0</v>
      </c>
      <c r="M525" t="n">
        <v>0</v>
      </c>
      <c r="N525" t="n">
        <v>0</v>
      </c>
      <c r="O525" t="n">
        <v>0</v>
      </c>
      <c r="P525" t="n">
        <v>0</v>
      </c>
      <c r="Q525" t="n">
        <v>0</v>
      </c>
      <c r="R525" s="2" t="inlineStr"/>
    </row>
    <row r="526" ht="15" customHeight="1">
      <c r="A526" t="inlineStr">
        <is>
          <t>A 47888-2022</t>
        </is>
      </c>
      <c r="B526" s="1" t="n">
        <v>44855</v>
      </c>
      <c r="C526" s="1" t="n">
        <v>45852</v>
      </c>
      <c r="D526" t="inlineStr">
        <is>
          <t>DALARNAS LÄN</t>
        </is>
      </c>
      <c r="E526" t="inlineStr">
        <is>
          <t>MALUNG-SÄLEN</t>
        </is>
      </c>
      <c r="F526" t="inlineStr">
        <is>
          <t>Allmännings- och besparingsskogar</t>
        </is>
      </c>
      <c r="G526" t="n">
        <v>39.6</v>
      </c>
      <c r="H526" t="n">
        <v>0</v>
      </c>
      <c r="I526" t="n">
        <v>0</v>
      </c>
      <c r="J526" t="n">
        <v>0</v>
      </c>
      <c r="K526" t="n">
        <v>0</v>
      </c>
      <c r="L526" t="n">
        <v>0</v>
      </c>
      <c r="M526" t="n">
        <v>0</v>
      </c>
      <c r="N526" t="n">
        <v>0</v>
      </c>
      <c r="O526" t="n">
        <v>0</v>
      </c>
      <c r="P526" t="n">
        <v>0</v>
      </c>
      <c r="Q526" t="n">
        <v>0</v>
      </c>
      <c r="R526" s="2" t="inlineStr"/>
    </row>
    <row r="527" ht="15" customHeight="1">
      <c r="A527" t="inlineStr">
        <is>
          <t>A 48338-2022</t>
        </is>
      </c>
      <c r="B527" s="1" t="n">
        <v>44858</v>
      </c>
      <c r="C527" s="1" t="n">
        <v>45852</v>
      </c>
      <c r="D527" t="inlineStr">
        <is>
          <t>DALARNAS LÄN</t>
        </is>
      </c>
      <c r="E527" t="inlineStr">
        <is>
          <t>MALUNG-SÄLEN</t>
        </is>
      </c>
      <c r="F527" t="inlineStr">
        <is>
          <t>Allmännings- och besparingsskogar</t>
        </is>
      </c>
      <c r="G527" t="n">
        <v>29.5</v>
      </c>
      <c r="H527" t="n">
        <v>0</v>
      </c>
      <c r="I527" t="n">
        <v>0</v>
      </c>
      <c r="J527" t="n">
        <v>0</v>
      </c>
      <c r="K527" t="n">
        <v>0</v>
      </c>
      <c r="L527" t="n">
        <v>0</v>
      </c>
      <c r="M527" t="n">
        <v>0</v>
      </c>
      <c r="N527" t="n">
        <v>0</v>
      </c>
      <c r="O527" t="n">
        <v>0</v>
      </c>
      <c r="P527" t="n">
        <v>0</v>
      </c>
      <c r="Q527" t="n">
        <v>0</v>
      </c>
      <c r="R527" s="2" t="inlineStr"/>
    </row>
    <row r="528" ht="15" customHeight="1">
      <c r="A528" t="inlineStr">
        <is>
          <t>A 48481-2022</t>
        </is>
      </c>
      <c r="B528" s="1" t="n">
        <v>44858</v>
      </c>
      <c r="C528" s="1" t="n">
        <v>45852</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48982-2022</t>
        </is>
      </c>
      <c r="B529" s="1" t="n">
        <v>44860</v>
      </c>
      <c r="C529" s="1" t="n">
        <v>45852</v>
      </c>
      <c r="D529" t="inlineStr">
        <is>
          <t>DALARNAS LÄN</t>
        </is>
      </c>
      <c r="E529" t="inlineStr">
        <is>
          <t>MALUNG-SÄLEN</t>
        </is>
      </c>
      <c r="G529" t="n">
        <v>1.5</v>
      </c>
      <c r="H529" t="n">
        <v>0</v>
      </c>
      <c r="I529" t="n">
        <v>0</v>
      </c>
      <c r="J529" t="n">
        <v>0</v>
      </c>
      <c r="K529" t="n">
        <v>0</v>
      </c>
      <c r="L529" t="n">
        <v>0</v>
      </c>
      <c r="M529" t="n">
        <v>0</v>
      </c>
      <c r="N529" t="n">
        <v>0</v>
      </c>
      <c r="O529" t="n">
        <v>0</v>
      </c>
      <c r="P529" t="n">
        <v>0</v>
      </c>
      <c r="Q529" t="n">
        <v>0</v>
      </c>
      <c r="R529" s="2" t="inlineStr"/>
    </row>
    <row r="530" ht="15" customHeight="1">
      <c r="A530" t="inlineStr">
        <is>
          <t>A 49575-2022</t>
        </is>
      </c>
      <c r="B530" s="1" t="n">
        <v>44862</v>
      </c>
      <c r="C530" s="1" t="n">
        <v>45852</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49595-2022</t>
        </is>
      </c>
      <c r="B531" s="1" t="n">
        <v>44862</v>
      </c>
      <c r="C531" s="1" t="n">
        <v>45852</v>
      </c>
      <c r="D531" t="inlineStr">
        <is>
          <t>DALARNAS LÄN</t>
        </is>
      </c>
      <c r="E531" t="inlineStr">
        <is>
          <t>MALUNG-SÄLEN</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49573-2022</t>
        </is>
      </c>
      <c r="B532" s="1" t="n">
        <v>44862</v>
      </c>
      <c r="C532" s="1" t="n">
        <v>45852</v>
      </c>
      <c r="D532" t="inlineStr">
        <is>
          <t>DALARNAS LÄN</t>
        </is>
      </c>
      <c r="E532" t="inlineStr">
        <is>
          <t>MALUNG-SÄLEN</t>
        </is>
      </c>
      <c r="G532" t="n">
        <v>5</v>
      </c>
      <c r="H532" t="n">
        <v>0</v>
      </c>
      <c r="I532" t="n">
        <v>0</v>
      </c>
      <c r="J532" t="n">
        <v>0</v>
      </c>
      <c r="K532" t="n">
        <v>0</v>
      </c>
      <c r="L532" t="n">
        <v>0</v>
      </c>
      <c r="M532" t="n">
        <v>0</v>
      </c>
      <c r="N532" t="n">
        <v>0</v>
      </c>
      <c r="O532" t="n">
        <v>0</v>
      </c>
      <c r="P532" t="n">
        <v>0</v>
      </c>
      <c r="Q532" t="n">
        <v>0</v>
      </c>
      <c r="R532" s="2" t="inlineStr"/>
    </row>
    <row r="533" ht="15" customHeight="1">
      <c r="A533" t="inlineStr">
        <is>
          <t>A 50763-2022</t>
        </is>
      </c>
      <c r="B533" s="1" t="n">
        <v>44862</v>
      </c>
      <c r="C533" s="1" t="n">
        <v>45852</v>
      </c>
      <c r="D533" t="inlineStr">
        <is>
          <t>DALARNAS LÄN</t>
        </is>
      </c>
      <c r="E533" t="inlineStr">
        <is>
          <t>MALUNG-SÄLEN</t>
        </is>
      </c>
      <c r="G533" t="n">
        <v>12.6</v>
      </c>
      <c r="H533" t="n">
        <v>0</v>
      </c>
      <c r="I533" t="n">
        <v>0</v>
      </c>
      <c r="J533" t="n">
        <v>0</v>
      </c>
      <c r="K533" t="n">
        <v>0</v>
      </c>
      <c r="L533" t="n">
        <v>0</v>
      </c>
      <c r="M533" t="n">
        <v>0</v>
      </c>
      <c r="N533" t="n">
        <v>0</v>
      </c>
      <c r="O533" t="n">
        <v>0</v>
      </c>
      <c r="P533" t="n">
        <v>0</v>
      </c>
      <c r="Q533" t="n">
        <v>0</v>
      </c>
      <c r="R533" s="2" t="inlineStr"/>
    </row>
    <row r="534" ht="15" customHeight="1">
      <c r="A534" t="inlineStr">
        <is>
          <t>A 50761-2022</t>
        </is>
      </c>
      <c r="B534" s="1" t="n">
        <v>44862</v>
      </c>
      <c r="C534" s="1" t="n">
        <v>45852</v>
      </c>
      <c r="D534" t="inlineStr">
        <is>
          <t>DALARNAS LÄN</t>
        </is>
      </c>
      <c r="E534" t="inlineStr">
        <is>
          <t>MALUNG-SÄLEN</t>
        </is>
      </c>
      <c r="G534" t="n">
        <v>0.4</v>
      </c>
      <c r="H534" t="n">
        <v>0</v>
      </c>
      <c r="I534" t="n">
        <v>0</v>
      </c>
      <c r="J534" t="n">
        <v>0</v>
      </c>
      <c r="K534" t="n">
        <v>0</v>
      </c>
      <c r="L534" t="n">
        <v>0</v>
      </c>
      <c r="M534" t="n">
        <v>0</v>
      </c>
      <c r="N534" t="n">
        <v>0</v>
      </c>
      <c r="O534" t="n">
        <v>0</v>
      </c>
      <c r="P534" t="n">
        <v>0</v>
      </c>
      <c r="Q534" t="n">
        <v>0</v>
      </c>
      <c r="R534" s="2" t="inlineStr"/>
    </row>
    <row r="535" ht="15" customHeight="1">
      <c r="A535" t="inlineStr">
        <is>
          <t>A 50232-2022</t>
        </is>
      </c>
      <c r="B535" s="1" t="n">
        <v>44865</v>
      </c>
      <c r="C535" s="1" t="n">
        <v>45852</v>
      </c>
      <c r="D535" t="inlineStr">
        <is>
          <t>DALARNAS LÄN</t>
        </is>
      </c>
      <c r="E535" t="inlineStr">
        <is>
          <t>MALUNG-SÄLEN</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51623-2022</t>
        </is>
      </c>
      <c r="B536" s="1" t="n">
        <v>44867</v>
      </c>
      <c r="C536" s="1" t="n">
        <v>45852</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51675-2022</t>
        </is>
      </c>
      <c r="B537" s="1" t="n">
        <v>44867</v>
      </c>
      <c r="C537" s="1" t="n">
        <v>45852</v>
      </c>
      <c r="D537" t="inlineStr">
        <is>
          <t>DALARNAS LÄN</t>
        </is>
      </c>
      <c r="E537" t="inlineStr">
        <is>
          <t>MALUNG-SÄLEN</t>
        </is>
      </c>
      <c r="G537" t="n">
        <v>0.1</v>
      </c>
      <c r="H537" t="n">
        <v>0</v>
      </c>
      <c r="I537" t="n">
        <v>0</v>
      </c>
      <c r="J537" t="n">
        <v>0</v>
      </c>
      <c r="K537" t="n">
        <v>0</v>
      </c>
      <c r="L537" t="n">
        <v>0</v>
      </c>
      <c r="M537" t="n">
        <v>0</v>
      </c>
      <c r="N537" t="n">
        <v>0</v>
      </c>
      <c r="O537" t="n">
        <v>0</v>
      </c>
      <c r="P537" t="n">
        <v>0</v>
      </c>
      <c r="Q537" t="n">
        <v>0</v>
      </c>
      <c r="R537" s="2" t="inlineStr"/>
    </row>
    <row r="538" ht="15" customHeight="1">
      <c r="A538" t="inlineStr">
        <is>
          <t>A 51284-2022</t>
        </is>
      </c>
      <c r="B538" s="1" t="n">
        <v>44868</v>
      </c>
      <c r="C538" s="1" t="n">
        <v>45852</v>
      </c>
      <c r="D538" t="inlineStr">
        <is>
          <t>DALARNAS LÄN</t>
        </is>
      </c>
      <c r="E538" t="inlineStr">
        <is>
          <t>MALUNG-SÄLEN</t>
        </is>
      </c>
      <c r="F538" t="inlineStr">
        <is>
          <t>Bergvik skog väst AB</t>
        </is>
      </c>
      <c r="G538" t="n">
        <v>6.9</v>
      </c>
      <c r="H538" t="n">
        <v>0</v>
      </c>
      <c r="I538" t="n">
        <v>0</v>
      </c>
      <c r="J538" t="n">
        <v>0</v>
      </c>
      <c r="K538" t="n">
        <v>0</v>
      </c>
      <c r="L538" t="n">
        <v>0</v>
      </c>
      <c r="M538" t="n">
        <v>0</v>
      </c>
      <c r="N538" t="n">
        <v>0</v>
      </c>
      <c r="O538" t="n">
        <v>0</v>
      </c>
      <c r="P538" t="n">
        <v>0</v>
      </c>
      <c r="Q538" t="n">
        <v>0</v>
      </c>
      <c r="R538" s="2" t="inlineStr"/>
    </row>
    <row r="539" ht="15" customHeight="1">
      <c r="A539" t="inlineStr">
        <is>
          <t>A 51441-2022</t>
        </is>
      </c>
      <c r="B539" s="1" t="n">
        <v>44869</v>
      </c>
      <c r="C539" s="1" t="n">
        <v>45852</v>
      </c>
      <c r="D539" t="inlineStr">
        <is>
          <t>DALARNAS LÄN</t>
        </is>
      </c>
      <c r="E539" t="inlineStr">
        <is>
          <t>MALUNG-SÄLEN</t>
        </is>
      </c>
      <c r="G539" t="n">
        <v>3.6</v>
      </c>
      <c r="H539" t="n">
        <v>0</v>
      </c>
      <c r="I539" t="n">
        <v>0</v>
      </c>
      <c r="J539" t="n">
        <v>0</v>
      </c>
      <c r="K539" t="n">
        <v>0</v>
      </c>
      <c r="L539" t="n">
        <v>0</v>
      </c>
      <c r="M539" t="n">
        <v>0</v>
      </c>
      <c r="N539" t="n">
        <v>0</v>
      </c>
      <c r="O539" t="n">
        <v>0</v>
      </c>
      <c r="P539" t="n">
        <v>0</v>
      </c>
      <c r="Q539" t="n">
        <v>0</v>
      </c>
      <c r="R539" s="2" t="inlineStr"/>
    </row>
    <row r="540" ht="15" customHeight="1">
      <c r="A540" t="inlineStr">
        <is>
          <t>A 52964-2022</t>
        </is>
      </c>
      <c r="B540" s="1" t="n">
        <v>44875</v>
      </c>
      <c r="C540" s="1" t="n">
        <v>45852</v>
      </c>
      <c r="D540" t="inlineStr">
        <is>
          <t>DALARNAS LÄN</t>
        </is>
      </c>
      <c r="E540" t="inlineStr">
        <is>
          <t>MALUNG-SÄLEN</t>
        </is>
      </c>
      <c r="G540" t="n">
        <v>3.9</v>
      </c>
      <c r="H540" t="n">
        <v>0</v>
      </c>
      <c r="I540" t="n">
        <v>0</v>
      </c>
      <c r="J540" t="n">
        <v>0</v>
      </c>
      <c r="K540" t="n">
        <v>0</v>
      </c>
      <c r="L540" t="n">
        <v>0</v>
      </c>
      <c r="M540" t="n">
        <v>0</v>
      </c>
      <c r="N540" t="n">
        <v>0</v>
      </c>
      <c r="O540" t="n">
        <v>0</v>
      </c>
      <c r="P540" t="n">
        <v>0</v>
      </c>
      <c r="Q540" t="n">
        <v>0</v>
      </c>
      <c r="R540" s="2" t="inlineStr"/>
    </row>
    <row r="541" ht="15" customHeight="1">
      <c r="A541" t="inlineStr">
        <is>
          <t>A 54199-2022</t>
        </is>
      </c>
      <c r="B541" s="1" t="n">
        <v>44881</v>
      </c>
      <c r="C541" s="1" t="n">
        <v>45852</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54241-2022</t>
        </is>
      </c>
      <c r="B542" s="1" t="n">
        <v>44881</v>
      </c>
      <c r="C542" s="1" t="n">
        <v>45852</v>
      </c>
      <c r="D542" t="inlineStr">
        <is>
          <t>DALARNAS LÄN</t>
        </is>
      </c>
      <c r="E542" t="inlineStr">
        <is>
          <t>MALUNG-SÄLEN</t>
        </is>
      </c>
      <c r="G542" t="n">
        <v>7.6</v>
      </c>
      <c r="H542" t="n">
        <v>0</v>
      </c>
      <c r="I542" t="n">
        <v>0</v>
      </c>
      <c r="J542" t="n">
        <v>0</v>
      </c>
      <c r="K542" t="n">
        <v>0</v>
      </c>
      <c r="L542" t="n">
        <v>0</v>
      </c>
      <c r="M542" t="n">
        <v>0</v>
      </c>
      <c r="N542" t="n">
        <v>0</v>
      </c>
      <c r="O542" t="n">
        <v>0</v>
      </c>
      <c r="P542" t="n">
        <v>0</v>
      </c>
      <c r="Q542" t="n">
        <v>0</v>
      </c>
      <c r="R542" s="2" t="inlineStr"/>
    </row>
    <row r="543" ht="15" customHeight="1">
      <c r="A543" t="inlineStr">
        <is>
          <t>A 54253-2022</t>
        </is>
      </c>
      <c r="B543" s="1" t="n">
        <v>44881</v>
      </c>
      <c r="C543" s="1" t="n">
        <v>45852</v>
      </c>
      <c r="D543" t="inlineStr">
        <is>
          <t>DALARNAS LÄN</t>
        </is>
      </c>
      <c r="E543" t="inlineStr">
        <is>
          <t>MALUNG-SÄLEN</t>
        </is>
      </c>
      <c r="G543" t="n">
        <v>0.9</v>
      </c>
      <c r="H543" t="n">
        <v>0</v>
      </c>
      <c r="I543" t="n">
        <v>0</v>
      </c>
      <c r="J543" t="n">
        <v>0</v>
      </c>
      <c r="K543" t="n">
        <v>0</v>
      </c>
      <c r="L543" t="n">
        <v>0</v>
      </c>
      <c r="M543" t="n">
        <v>0</v>
      </c>
      <c r="N543" t="n">
        <v>0</v>
      </c>
      <c r="O543" t="n">
        <v>0</v>
      </c>
      <c r="P543" t="n">
        <v>0</v>
      </c>
      <c r="Q543" t="n">
        <v>0</v>
      </c>
      <c r="R543" s="2" t="inlineStr"/>
    </row>
    <row r="544" ht="15" customHeight="1">
      <c r="A544" t="inlineStr">
        <is>
          <t>A 54932-2022</t>
        </is>
      </c>
      <c r="B544" s="1" t="n">
        <v>44881</v>
      </c>
      <c r="C544" s="1" t="n">
        <v>45852</v>
      </c>
      <c r="D544" t="inlineStr">
        <is>
          <t>DALARNAS LÄN</t>
        </is>
      </c>
      <c r="E544" t="inlineStr">
        <is>
          <t>MALUNG-SÄLEN</t>
        </is>
      </c>
      <c r="G544" t="n">
        <v>11.9</v>
      </c>
      <c r="H544" t="n">
        <v>0</v>
      </c>
      <c r="I544" t="n">
        <v>0</v>
      </c>
      <c r="J544" t="n">
        <v>0</v>
      </c>
      <c r="K544" t="n">
        <v>0</v>
      </c>
      <c r="L544" t="n">
        <v>0</v>
      </c>
      <c r="M544" t="n">
        <v>0</v>
      </c>
      <c r="N544" t="n">
        <v>0</v>
      </c>
      <c r="O544" t="n">
        <v>0</v>
      </c>
      <c r="P544" t="n">
        <v>0</v>
      </c>
      <c r="Q544" t="n">
        <v>0</v>
      </c>
      <c r="R544" s="2" t="inlineStr"/>
    </row>
    <row r="545" ht="15" customHeight="1">
      <c r="A545" t="inlineStr">
        <is>
          <t>A 54464-2022</t>
        </is>
      </c>
      <c r="B545" s="1" t="n">
        <v>44882</v>
      </c>
      <c r="C545" s="1" t="n">
        <v>45852</v>
      </c>
      <c r="D545" t="inlineStr">
        <is>
          <t>DALARNAS LÄN</t>
        </is>
      </c>
      <c r="E545" t="inlineStr">
        <is>
          <t>MALUNG-SÄLEN</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54928-2022</t>
        </is>
      </c>
      <c r="B546" s="1" t="n">
        <v>44886</v>
      </c>
      <c r="C546" s="1" t="n">
        <v>45852</v>
      </c>
      <c r="D546" t="inlineStr">
        <is>
          <t>DALARNAS LÄN</t>
        </is>
      </c>
      <c r="E546" t="inlineStr">
        <is>
          <t>MALUNG-SÄLEN</t>
        </is>
      </c>
      <c r="G546" t="n">
        <v>2.7</v>
      </c>
      <c r="H546" t="n">
        <v>0</v>
      </c>
      <c r="I546" t="n">
        <v>0</v>
      </c>
      <c r="J546" t="n">
        <v>0</v>
      </c>
      <c r="K546" t="n">
        <v>0</v>
      </c>
      <c r="L546" t="n">
        <v>0</v>
      </c>
      <c r="M546" t="n">
        <v>0</v>
      </c>
      <c r="N546" t="n">
        <v>0</v>
      </c>
      <c r="O546" t="n">
        <v>0</v>
      </c>
      <c r="P546" t="n">
        <v>0</v>
      </c>
      <c r="Q546" t="n">
        <v>0</v>
      </c>
      <c r="R546" s="2" t="inlineStr"/>
    </row>
    <row r="547" ht="15" customHeight="1">
      <c r="A547" t="inlineStr">
        <is>
          <t>A 54939-2022</t>
        </is>
      </c>
      <c r="B547" s="1" t="n">
        <v>44886</v>
      </c>
      <c r="C547" s="1" t="n">
        <v>45852</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54933-2022</t>
        </is>
      </c>
      <c r="B548" s="1" t="n">
        <v>44886</v>
      </c>
      <c r="C548" s="1" t="n">
        <v>45852</v>
      </c>
      <c r="D548" t="inlineStr">
        <is>
          <t>DALARNAS LÄN</t>
        </is>
      </c>
      <c r="E548" t="inlineStr">
        <is>
          <t>MALUNG-SÄLEN</t>
        </is>
      </c>
      <c r="G548" t="n">
        <v>0.7</v>
      </c>
      <c r="H548" t="n">
        <v>0</v>
      </c>
      <c r="I548" t="n">
        <v>0</v>
      </c>
      <c r="J548" t="n">
        <v>0</v>
      </c>
      <c r="K548" t="n">
        <v>0</v>
      </c>
      <c r="L548" t="n">
        <v>0</v>
      </c>
      <c r="M548" t="n">
        <v>0</v>
      </c>
      <c r="N548" t="n">
        <v>0</v>
      </c>
      <c r="O548" t="n">
        <v>0</v>
      </c>
      <c r="P548" t="n">
        <v>0</v>
      </c>
      <c r="Q548" t="n">
        <v>0</v>
      </c>
      <c r="R548" s="2" t="inlineStr"/>
    </row>
    <row r="549" ht="15" customHeight="1">
      <c r="A549" t="inlineStr">
        <is>
          <t>A 55276-2022</t>
        </is>
      </c>
      <c r="B549" s="1" t="n">
        <v>44887</v>
      </c>
      <c r="C549" s="1" t="n">
        <v>45852</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55308-2022</t>
        </is>
      </c>
      <c r="B550" s="1" t="n">
        <v>44887</v>
      </c>
      <c r="C550" s="1" t="n">
        <v>45852</v>
      </c>
      <c r="D550" t="inlineStr">
        <is>
          <t>DALARNAS LÄN</t>
        </is>
      </c>
      <c r="E550" t="inlineStr">
        <is>
          <t>MALUNG-SÄLEN</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55555-2022</t>
        </is>
      </c>
      <c r="B551" s="1" t="n">
        <v>44888</v>
      </c>
      <c r="C551" s="1" t="n">
        <v>45852</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55847-2022</t>
        </is>
      </c>
      <c r="B552" s="1" t="n">
        <v>44888</v>
      </c>
      <c r="C552" s="1" t="n">
        <v>45852</v>
      </c>
      <c r="D552" t="inlineStr">
        <is>
          <t>DALARNAS LÄN</t>
        </is>
      </c>
      <c r="E552" t="inlineStr">
        <is>
          <t>MALUNG-SÄLEN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56274-2022</t>
        </is>
      </c>
      <c r="B553" s="1" t="n">
        <v>44890</v>
      </c>
      <c r="C553" s="1" t="n">
        <v>45852</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56613-2022</t>
        </is>
      </c>
      <c r="B554" s="1" t="n">
        <v>44893</v>
      </c>
      <c r="C554" s="1" t="n">
        <v>45852</v>
      </c>
      <c r="D554" t="inlineStr">
        <is>
          <t>DALARNAS LÄN</t>
        </is>
      </c>
      <c r="E554" t="inlineStr">
        <is>
          <t>MALUNG-SÄLEN</t>
        </is>
      </c>
      <c r="F554" t="inlineStr">
        <is>
          <t>Bergvik skog väst AB</t>
        </is>
      </c>
      <c r="G554" t="n">
        <v>13.2</v>
      </c>
      <c r="H554" t="n">
        <v>0</v>
      </c>
      <c r="I554" t="n">
        <v>0</v>
      </c>
      <c r="J554" t="n">
        <v>0</v>
      </c>
      <c r="K554" t="n">
        <v>0</v>
      </c>
      <c r="L554" t="n">
        <v>0</v>
      </c>
      <c r="M554" t="n">
        <v>0</v>
      </c>
      <c r="N554" t="n">
        <v>0</v>
      </c>
      <c r="O554" t="n">
        <v>0</v>
      </c>
      <c r="P554" t="n">
        <v>0</v>
      </c>
      <c r="Q554" t="n">
        <v>0</v>
      </c>
      <c r="R554" s="2" t="inlineStr"/>
    </row>
    <row r="555" ht="15" customHeight="1">
      <c r="A555" t="inlineStr">
        <is>
          <t>A 56573-2022</t>
        </is>
      </c>
      <c r="B555" s="1" t="n">
        <v>44893</v>
      </c>
      <c r="C555" s="1" t="n">
        <v>45852</v>
      </c>
      <c r="D555" t="inlineStr">
        <is>
          <t>DALARNAS LÄN</t>
        </is>
      </c>
      <c r="E555" t="inlineStr">
        <is>
          <t>MALUNG-SÄLEN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56848-2022</t>
        </is>
      </c>
      <c r="B556" s="1" t="n">
        <v>44894</v>
      </c>
      <c r="C556" s="1" t="n">
        <v>45852</v>
      </c>
      <c r="D556" t="inlineStr">
        <is>
          <t>DALARNAS LÄN</t>
        </is>
      </c>
      <c r="E556" t="inlineStr">
        <is>
          <t>MALUNG-SÄLEN</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57388-2022</t>
        </is>
      </c>
      <c r="B557" s="1" t="n">
        <v>44896</v>
      </c>
      <c r="C557" s="1" t="n">
        <v>45852</v>
      </c>
      <c r="D557" t="inlineStr">
        <is>
          <t>DALARNAS LÄN</t>
        </is>
      </c>
      <c r="E557" t="inlineStr">
        <is>
          <t>MALUNG-SÄLEN</t>
        </is>
      </c>
      <c r="G557" t="n">
        <v>1.5</v>
      </c>
      <c r="H557" t="n">
        <v>0</v>
      </c>
      <c r="I557" t="n">
        <v>0</v>
      </c>
      <c r="J557" t="n">
        <v>0</v>
      </c>
      <c r="K557" t="n">
        <v>0</v>
      </c>
      <c r="L557" t="n">
        <v>0</v>
      </c>
      <c r="M557" t="n">
        <v>0</v>
      </c>
      <c r="N557" t="n">
        <v>0</v>
      </c>
      <c r="O557" t="n">
        <v>0</v>
      </c>
      <c r="P557" t="n">
        <v>0</v>
      </c>
      <c r="Q557" t="n">
        <v>0</v>
      </c>
      <c r="R557" s="2" t="inlineStr"/>
    </row>
    <row r="558" ht="15" customHeight="1">
      <c r="A558" t="inlineStr">
        <is>
          <t>A 57744-2022</t>
        </is>
      </c>
      <c r="B558" s="1" t="n">
        <v>44897</v>
      </c>
      <c r="C558" s="1" t="n">
        <v>45852</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57645-2022</t>
        </is>
      </c>
      <c r="B559" s="1" t="n">
        <v>44897</v>
      </c>
      <c r="C559" s="1" t="n">
        <v>45852</v>
      </c>
      <c r="D559" t="inlineStr">
        <is>
          <t>DALARNAS LÄN</t>
        </is>
      </c>
      <c r="E559" t="inlineStr">
        <is>
          <t>MALUNG-SÄLEN</t>
        </is>
      </c>
      <c r="G559" t="n">
        <v>4.8</v>
      </c>
      <c r="H559" t="n">
        <v>0</v>
      </c>
      <c r="I559" t="n">
        <v>0</v>
      </c>
      <c r="J559" t="n">
        <v>0</v>
      </c>
      <c r="K559" t="n">
        <v>0</v>
      </c>
      <c r="L559" t="n">
        <v>0</v>
      </c>
      <c r="M559" t="n">
        <v>0</v>
      </c>
      <c r="N559" t="n">
        <v>0</v>
      </c>
      <c r="O559" t="n">
        <v>0</v>
      </c>
      <c r="P559" t="n">
        <v>0</v>
      </c>
      <c r="Q559" t="n">
        <v>0</v>
      </c>
      <c r="R559" s="2" t="inlineStr"/>
    </row>
    <row r="560" ht="15" customHeight="1">
      <c r="A560" t="inlineStr">
        <is>
          <t>A 57746-2022</t>
        </is>
      </c>
      <c r="B560" s="1" t="n">
        <v>44897</v>
      </c>
      <c r="C560" s="1" t="n">
        <v>45852</v>
      </c>
      <c r="D560" t="inlineStr">
        <is>
          <t>DALARNAS LÄN</t>
        </is>
      </c>
      <c r="E560" t="inlineStr">
        <is>
          <t>MALUNG-SÄLEN</t>
        </is>
      </c>
      <c r="G560" t="n">
        <v>3</v>
      </c>
      <c r="H560" t="n">
        <v>0</v>
      </c>
      <c r="I560" t="n">
        <v>0</v>
      </c>
      <c r="J560" t="n">
        <v>0</v>
      </c>
      <c r="K560" t="n">
        <v>0</v>
      </c>
      <c r="L560" t="n">
        <v>0</v>
      </c>
      <c r="M560" t="n">
        <v>0</v>
      </c>
      <c r="N560" t="n">
        <v>0</v>
      </c>
      <c r="O560" t="n">
        <v>0</v>
      </c>
      <c r="P560" t="n">
        <v>0</v>
      </c>
      <c r="Q560" t="n">
        <v>0</v>
      </c>
      <c r="R560" s="2" t="inlineStr"/>
    </row>
    <row r="561" ht="15" customHeight="1">
      <c r="A561" t="inlineStr">
        <is>
          <t>A 57742-2022</t>
        </is>
      </c>
      <c r="B561" s="1" t="n">
        <v>44897</v>
      </c>
      <c r="C561" s="1" t="n">
        <v>45852</v>
      </c>
      <c r="D561" t="inlineStr">
        <is>
          <t>DALARNAS LÄN</t>
        </is>
      </c>
      <c r="E561" t="inlineStr">
        <is>
          <t>MALUNG-SÄLEN</t>
        </is>
      </c>
      <c r="G561" t="n">
        <v>1.4</v>
      </c>
      <c r="H561" t="n">
        <v>0</v>
      </c>
      <c r="I561" t="n">
        <v>0</v>
      </c>
      <c r="J561" t="n">
        <v>0</v>
      </c>
      <c r="K561" t="n">
        <v>0</v>
      </c>
      <c r="L561" t="n">
        <v>0</v>
      </c>
      <c r="M561" t="n">
        <v>0</v>
      </c>
      <c r="N561" t="n">
        <v>0</v>
      </c>
      <c r="O561" t="n">
        <v>0</v>
      </c>
      <c r="P561" t="n">
        <v>0</v>
      </c>
      <c r="Q561" t="n">
        <v>0</v>
      </c>
      <c r="R561" s="2" t="inlineStr"/>
    </row>
    <row r="562" ht="15" customHeight="1">
      <c r="A562" t="inlineStr">
        <is>
          <t>A 57895-2022</t>
        </is>
      </c>
      <c r="B562" s="1" t="n">
        <v>44900</v>
      </c>
      <c r="C562" s="1" t="n">
        <v>45852</v>
      </c>
      <c r="D562" t="inlineStr">
        <is>
          <t>DALARNAS LÄN</t>
        </is>
      </c>
      <c r="E562" t="inlineStr">
        <is>
          <t>MALUNG-SÄLEN</t>
        </is>
      </c>
      <c r="F562" t="inlineStr">
        <is>
          <t>Allmännings- och besparingsskogar</t>
        </is>
      </c>
      <c r="G562" t="n">
        <v>6</v>
      </c>
      <c r="H562" t="n">
        <v>0</v>
      </c>
      <c r="I562" t="n">
        <v>0</v>
      </c>
      <c r="J562" t="n">
        <v>0</v>
      </c>
      <c r="K562" t="n">
        <v>0</v>
      </c>
      <c r="L562" t="n">
        <v>0</v>
      </c>
      <c r="M562" t="n">
        <v>0</v>
      </c>
      <c r="N562" t="n">
        <v>0</v>
      </c>
      <c r="O562" t="n">
        <v>0</v>
      </c>
      <c r="P562" t="n">
        <v>0</v>
      </c>
      <c r="Q562" t="n">
        <v>0</v>
      </c>
      <c r="R562" s="2" t="inlineStr"/>
    </row>
    <row r="563" ht="15" customHeight="1">
      <c r="A563" t="inlineStr">
        <is>
          <t>A 57909-2022</t>
        </is>
      </c>
      <c r="B563" s="1" t="n">
        <v>44900</v>
      </c>
      <c r="C563" s="1" t="n">
        <v>45852</v>
      </c>
      <c r="D563" t="inlineStr">
        <is>
          <t>DALARNAS LÄN</t>
        </is>
      </c>
      <c r="E563" t="inlineStr">
        <is>
          <t>MALUNG-SÄLEN</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57928-2022</t>
        </is>
      </c>
      <c r="B564" s="1" t="n">
        <v>44900</v>
      </c>
      <c r="C564" s="1" t="n">
        <v>45852</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58772-2022</t>
        </is>
      </c>
      <c r="B565" s="1" t="n">
        <v>44903</v>
      </c>
      <c r="C565" s="1" t="n">
        <v>45852</v>
      </c>
      <c r="D565" t="inlineStr">
        <is>
          <t>DALARNAS LÄN</t>
        </is>
      </c>
      <c r="E565" t="inlineStr">
        <is>
          <t>MALUNG-SÄLEN</t>
        </is>
      </c>
      <c r="G565" t="n">
        <v>5.2</v>
      </c>
      <c r="H565" t="n">
        <v>0</v>
      </c>
      <c r="I565" t="n">
        <v>0</v>
      </c>
      <c r="J565" t="n">
        <v>0</v>
      </c>
      <c r="K565" t="n">
        <v>0</v>
      </c>
      <c r="L565" t="n">
        <v>0</v>
      </c>
      <c r="M565" t="n">
        <v>0</v>
      </c>
      <c r="N565" t="n">
        <v>0</v>
      </c>
      <c r="O565" t="n">
        <v>0</v>
      </c>
      <c r="P565" t="n">
        <v>0</v>
      </c>
      <c r="Q565" t="n">
        <v>0</v>
      </c>
      <c r="R565" s="2" t="inlineStr"/>
    </row>
    <row r="566" ht="15" customHeight="1">
      <c r="A566" t="inlineStr">
        <is>
          <t>A 58832-2022</t>
        </is>
      </c>
      <c r="B566" s="1" t="n">
        <v>44903</v>
      </c>
      <c r="C566" s="1" t="n">
        <v>45852</v>
      </c>
      <c r="D566" t="inlineStr">
        <is>
          <t>DALARNAS LÄN</t>
        </is>
      </c>
      <c r="E566" t="inlineStr">
        <is>
          <t>MALUNG-SÄLEN</t>
        </is>
      </c>
      <c r="G566" t="n">
        <v>1.7</v>
      </c>
      <c r="H566" t="n">
        <v>0</v>
      </c>
      <c r="I566" t="n">
        <v>0</v>
      </c>
      <c r="J566" t="n">
        <v>0</v>
      </c>
      <c r="K566" t="n">
        <v>0</v>
      </c>
      <c r="L566" t="n">
        <v>0</v>
      </c>
      <c r="M566" t="n">
        <v>0</v>
      </c>
      <c r="N566" t="n">
        <v>0</v>
      </c>
      <c r="O566" t="n">
        <v>0</v>
      </c>
      <c r="P566" t="n">
        <v>0</v>
      </c>
      <c r="Q566" t="n">
        <v>0</v>
      </c>
      <c r="R566" s="2" t="inlineStr"/>
    </row>
    <row r="567" ht="15" customHeight="1">
      <c r="A567" t="inlineStr">
        <is>
          <t>A 58840-2022</t>
        </is>
      </c>
      <c r="B567" s="1" t="n">
        <v>44903</v>
      </c>
      <c r="C567" s="1" t="n">
        <v>45852</v>
      </c>
      <c r="D567" t="inlineStr">
        <is>
          <t>DALARNAS LÄN</t>
        </is>
      </c>
      <c r="E567" t="inlineStr">
        <is>
          <t>MALUNG-SÄLEN</t>
        </is>
      </c>
      <c r="G567" t="n">
        <v>4</v>
      </c>
      <c r="H567" t="n">
        <v>0</v>
      </c>
      <c r="I567" t="n">
        <v>0</v>
      </c>
      <c r="J567" t="n">
        <v>0</v>
      </c>
      <c r="K567" t="n">
        <v>0</v>
      </c>
      <c r="L567" t="n">
        <v>0</v>
      </c>
      <c r="M567" t="n">
        <v>0</v>
      </c>
      <c r="N567" t="n">
        <v>0</v>
      </c>
      <c r="O567" t="n">
        <v>0</v>
      </c>
      <c r="P567" t="n">
        <v>0</v>
      </c>
      <c r="Q567" t="n">
        <v>0</v>
      </c>
      <c r="R567" s="2" t="inlineStr"/>
    </row>
    <row r="568" ht="15" customHeight="1">
      <c r="A568" t="inlineStr">
        <is>
          <t>A 59452-2022</t>
        </is>
      </c>
      <c r="B568" s="1" t="n">
        <v>44907</v>
      </c>
      <c r="C568" s="1" t="n">
        <v>45852</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59603-2022</t>
        </is>
      </c>
      <c r="B569" s="1" t="n">
        <v>44907</v>
      </c>
      <c r="C569" s="1" t="n">
        <v>45852</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59753-2022</t>
        </is>
      </c>
      <c r="B570" s="1" t="n">
        <v>44908</v>
      </c>
      <c r="C570" s="1" t="n">
        <v>45852</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59773-2022</t>
        </is>
      </c>
      <c r="B571" s="1" t="n">
        <v>44908</v>
      </c>
      <c r="C571" s="1" t="n">
        <v>45852</v>
      </c>
      <c r="D571" t="inlineStr">
        <is>
          <t>DALARNAS LÄN</t>
        </is>
      </c>
      <c r="E571" t="inlineStr">
        <is>
          <t>MALUNG-SÄLEN</t>
        </is>
      </c>
      <c r="G571" t="n">
        <v>1.8</v>
      </c>
      <c r="H571" t="n">
        <v>0</v>
      </c>
      <c r="I571" t="n">
        <v>0</v>
      </c>
      <c r="J571" t="n">
        <v>0</v>
      </c>
      <c r="K571" t="n">
        <v>0</v>
      </c>
      <c r="L571" t="n">
        <v>0</v>
      </c>
      <c r="M571" t="n">
        <v>0</v>
      </c>
      <c r="N571" t="n">
        <v>0</v>
      </c>
      <c r="O571" t="n">
        <v>0</v>
      </c>
      <c r="P571" t="n">
        <v>0</v>
      </c>
      <c r="Q571" t="n">
        <v>0</v>
      </c>
      <c r="R571" s="2" t="inlineStr"/>
    </row>
    <row r="572" ht="15" customHeight="1">
      <c r="A572" t="inlineStr">
        <is>
          <t>A 59875-2022</t>
        </is>
      </c>
      <c r="B572" s="1" t="n">
        <v>44908</v>
      </c>
      <c r="C572" s="1" t="n">
        <v>45852</v>
      </c>
      <c r="D572" t="inlineStr">
        <is>
          <t>DALARNAS LÄN</t>
        </is>
      </c>
      <c r="E572" t="inlineStr">
        <is>
          <t>MALUNG-SÄLEN</t>
        </is>
      </c>
      <c r="F572" t="inlineStr">
        <is>
          <t>Kommuner</t>
        </is>
      </c>
      <c r="G572" t="n">
        <v>17.8</v>
      </c>
      <c r="H572" t="n">
        <v>0</v>
      </c>
      <c r="I572" t="n">
        <v>0</v>
      </c>
      <c r="J572" t="n">
        <v>0</v>
      </c>
      <c r="K572" t="n">
        <v>0</v>
      </c>
      <c r="L572" t="n">
        <v>0</v>
      </c>
      <c r="M572" t="n">
        <v>0</v>
      </c>
      <c r="N572" t="n">
        <v>0</v>
      </c>
      <c r="O572" t="n">
        <v>0</v>
      </c>
      <c r="P572" t="n">
        <v>0</v>
      </c>
      <c r="Q572" t="n">
        <v>0</v>
      </c>
      <c r="R572" s="2" t="inlineStr"/>
    </row>
    <row r="573" ht="15" customHeight="1">
      <c r="A573" t="inlineStr">
        <is>
          <t>A 60246-2022</t>
        </is>
      </c>
      <c r="B573" s="1" t="n">
        <v>44910</v>
      </c>
      <c r="C573" s="1" t="n">
        <v>45852</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60448-2022</t>
        </is>
      </c>
      <c r="B574" s="1" t="n">
        <v>44911</v>
      </c>
      <c r="C574" s="1" t="n">
        <v>45852</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60439-2022</t>
        </is>
      </c>
      <c r="B575" s="1" t="n">
        <v>44911</v>
      </c>
      <c r="C575" s="1" t="n">
        <v>45852</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60940-2022</t>
        </is>
      </c>
      <c r="B576" s="1" t="n">
        <v>44914</v>
      </c>
      <c r="C576" s="1" t="n">
        <v>45852</v>
      </c>
      <c r="D576" t="inlineStr">
        <is>
          <t>DALARNAS LÄN</t>
        </is>
      </c>
      <c r="E576" t="inlineStr">
        <is>
          <t>MALUNG-SÄLEN</t>
        </is>
      </c>
      <c r="G576" t="n">
        <v>3.3</v>
      </c>
      <c r="H576" t="n">
        <v>0</v>
      </c>
      <c r="I576" t="n">
        <v>0</v>
      </c>
      <c r="J576" t="n">
        <v>0</v>
      </c>
      <c r="K576" t="n">
        <v>0</v>
      </c>
      <c r="L576" t="n">
        <v>0</v>
      </c>
      <c r="M576" t="n">
        <v>0</v>
      </c>
      <c r="N576" t="n">
        <v>0</v>
      </c>
      <c r="O576" t="n">
        <v>0</v>
      </c>
      <c r="P576" t="n">
        <v>0</v>
      </c>
      <c r="Q576" t="n">
        <v>0</v>
      </c>
      <c r="R576" s="2" t="inlineStr"/>
    </row>
    <row r="577" ht="15" customHeight="1">
      <c r="A577" t="inlineStr">
        <is>
          <t>A 61502-2022</t>
        </is>
      </c>
      <c r="B577" s="1" t="n">
        <v>44916</v>
      </c>
      <c r="C577" s="1" t="n">
        <v>45852</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62289-2022</t>
        </is>
      </c>
      <c r="B578" s="1" t="n">
        <v>44923</v>
      </c>
      <c r="C578" s="1" t="n">
        <v>45852</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62281-2022</t>
        </is>
      </c>
      <c r="B579" s="1" t="n">
        <v>44923</v>
      </c>
      <c r="C579" s="1" t="n">
        <v>45852</v>
      </c>
      <c r="D579" t="inlineStr">
        <is>
          <t>DALARNAS LÄN</t>
        </is>
      </c>
      <c r="E579" t="inlineStr">
        <is>
          <t>MALUNG-SÄLEN</t>
        </is>
      </c>
      <c r="G579" t="n">
        <v>12.4</v>
      </c>
      <c r="H579" t="n">
        <v>0</v>
      </c>
      <c r="I579" t="n">
        <v>0</v>
      </c>
      <c r="J579" t="n">
        <v>0</v>
      </c>
      <c r="K579" t="n">
        <v>0</v>
      </c>
      <c r="L579" t="n">
        <v>0</v>
      </c>
      <c r="M579" t="n">
        <v>0</v>
      </c>
      <c r="N579" t="n">
        <v>0</v>
      </c>
      <c r="O579" t="n">
        <v>0</v>
      </c>
      <c r="P579" t="n">
        <v>0</v>
      </c>
      <c r="Q579" t="n">
        <v>0</v>
      </c>
      <c r="R579" s="2" t="inlineStr"/>
    </row>
    <row r="580" ht="15" customHeight="1">
      <c r="A580" t="inlineStr">
        <is>
          <t>A 62287-2022</t>
        </is>
      </c>
      <c r="B580" s="1" t="n">
        <v>44923</v>
      </c>
      <c r="C580" s="1" t="n">
        <v>45852</v>
      </c>
      <c r="D580" t="inlineStr">
        <is>
          <t>DALARNAS LÄN</t>
        </is>
      </c>
      <c r="E580" t="inlineStr">
        <is>
          <t>MALUNG-SÄLEN</t>
        </is>
      </c>
      <c r="G580" t="n">
        <v>3</v>
      </c>
      <c r="H580" t="n">
        <v>0</v>
      </c>
      <c r="I580" t="n">
        <v>0</v>
      </c>
      <c r="J580" t="n">
        <v>0</v>
      </c>
      <c r="K580" t="n">
        <v>0</v>
      </c>
      <c r="L580" t="n">
        <v>0</v>
      </c>
      <c r="M580" t="n">
        <v>0</v>
      </c>
      <c r="N580" t="n">
        <v>0</v>
      </c>
      <c r="O580" t="n">
        <v>0</v>
      </c>
      <c r="P580" t="n">
        <v>0</v>
      </c>
      <c r="Q580" t="n">
        <v>0</v>
      </c>
      <c r="R580" s="2" t="inlineStr"/>
    </row>
    <row r="581" ht="15" customHeight="1">
      <c r="A581" t="inlineStr">
        <is>
          <t>A 62371-2022</t>
        </is>
      </c>
      <c r="B581" s="1" t="n">
        <v>44923</v>
      </c>
      <c r="C581" s="1" t="n">
        <v>45852</v>
      </c>
      <c r="D581" t="inlineStr">
        <is>
          <t>DALARNAS LÄN</t>
        </is>
      </c>
      <c r="E581" t="inlineStr">
        <is>
          <t>MALUNG-SÄLEN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62288-2022</t>
        </is>
      </c>
      <c r="B582" s="1" t="n">
        <v>44923</v>
      </c>
      <c r="C582" s="1" t="n">
        <v>45852</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62369-2022</t>
        </is>
      </c>
      <c r="B583" s="1" t="n">
        <v>44923</v>
      </c>
      <c r="C583" s="1" t="n">
        <v>45852</v>
      </c>
      <c r="D583" t="inlineStr">
        <is>
          <t>DALARNAS LÄN</t>
        </is>
      </c>
      <c r="E583" t="inlineStr">
        <is>
          <t>MALUNG-SÄLEN</t>
        </is>
      </c>
      <c r="G583" t="n">
        <v>7.1</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v>
      </c>
      <c r="C584" s="1" t="n">
        <v>45852</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v>
      </c>
      <c r="C585" s="1" t="n">
        <v>45852</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194-2023</t>
        </is>
      </c>
      <c r="B586" s="1" t="n">
        <v>44928</v>
      </c>
      <c r="C586" s="1" t="n">
        <v>45852</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206-2023</t>
        </is>
      </c>
      <c r="B587" s="1" t="n">
        <v>44928</v>
      </c>
      <c r="C587" s="1" t="n">
        <v>45852</v>
      </c>
      <c r="D587" t="inlineStr">
        <is>
          <t>DALARNAS LÄN</t>
        </is>
      </c>
      <c r="E587" t="inlineStr">
        <is>
          <t>MALUNG-SÄLEN</t>
        </is>
      </c>
      <c r="G587" t="n">
        <v>7.6</v>
      </c>
      <c r="H587" t="n">
        <v>0</v>
      </c>
      <c r="I587" t="n">
        <v>0</v>
      </c>
      <c r="J587" t="n">
        <v>0</v>
      </c>
      <c r="K587" t="n">
        <v>0</v>
      </c>
      <c r="L587" t="n">
        <v>0</v>
      </c>
      <c r="M587" t="n">
        <v>0</v>
      </c>
      <c r="N587" t="n">
        <v>0</v>
      </c>
      <c r="O587" t="n">
        <v>0</v>
      </c>
      <c r="P587" t="n">
        <v>0</v>
      </c>
      <c r="Q587" t="n">
        <v>0</v>
      </c>
      <c r="R587" s="2" t="inlineStr"/>
    </row>
    <row r="588" ht="15" customHeight="1">
      <c r="A588" t="inlineStr">
        <is>
          <t>A 752-2023</t>
        </is>
      </c>
      <c r="B588" s="1" t="n">
        <v>44931</v>
      </c>
      <c r="C588" s="1" t="n">
        <v>45852</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1252-2023</t>
        </is>
      </c>
      <c r="B589" s="1" t="n">
        <v>44936</v>
      </c>
      <c r="C589" s="1" t="n">
        <v>45852</v>
      </c>
      <c r="D589" t="inlineStr">
        <is>
          <t>DALARNAS LÄN</t>
        </is>
      </c>
      <c r="E589" t="inlineStr">
        <is>
          <t>MALUNG-SÄLEN</t>
        </is>
      </c>
      <c r="G589" t="n">
        <v>3.7</v>
      </c>
      <c r="H589" t="n">
        <v>0</v>
      </c>
      <c r="I589" t="n">
        <v>0</v>
      </c>
      <c r="J589" t="n">
        <v>0</v>
      </c>
      <c r="K589" t="n">
        <v>0</v>
      </c>
      <c r="L589" t="n">
        <v>0</v>
      </c>
      <c r="M589" t="n">
        <v>0</v>
      </c>
      <c r="N589" t="n">
        <v>0</v>
      </c>
      <c r="O589" t="n">
        <v>0</v>
      </c>
      <c r="P589" t="n">
        <v>0</v>
      </c>
      <c r="Q589" t="n">
        <v>0</v>
      </c>
      <c r="R589" s="2" t="inlineStr"/>
    </row>
    <row r="590" ht="15" customHeight="1">
      <c r="A590" t="inlineStr">
        <is>
          <t>A 1257-2023</t>
        </is>
      </c>
      <c r="B590" s="1" t="n">
        <v>44936</v>
      </c>
      <c r="C590" s="1" t="n">
        <v>45852</v>
      </c>
      <c r="D590" t="inlineStr">
        <is>
          <t>DALARNAS LÄN</t>
        </is>
      </c>
      <c r="E590" t="inlineStr">
        <is>
          <t>MALUNG-SÄLEN</t>
        </is>
      </c>
      <c r="G590" t="n">
        <v>3.1</v>
      </c>
      <c r="H590" t="n">
        <v>0</v>
      </c>
      <c r="I590" t="n">
        <v>0</v>
      </c>
      <c r="J590" t="n">
        <v>0</v>
      </c>
      <c r="K590" t="n">
        <v>0</v>
      </c>
      <c r="L590" t="n">
        <v>0</v>
      </c>
      <c r="M590" t="n">
        <v>0</v>
      </c>
      <c r="N590" t="n">
        <v>0</v>
      </c>
      <c r="O590" t="n">
        <v>0</v>
      </c>
      <c r="P590" t="n">
        <v>0</v>
      </c>
      <c r="Q590" t="n">
        <v>0</v>
      </c>
      <c r="R590" s="2" t="inlineStr"/>
    </row>
    <row r="591" ht="15" customHeight="1">
      <c r="A591" t="inlineStr">
        <is>
          <t>A 1590-2023</t>
        </is>
      </c>
      <c r="B591" s="1" t="n">
        <v>44937</v>
      </c>
      <c r="C591" s="1" t="n">
        <v>45852</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45852</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1723-2023</t>
        </is>
      </c>
      <c r="B593" s="1" t="n">
        <v>44938</v>
      </c>
      <c r="C593" s="1" t="n">
        <v>45852</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1704-2023</t>
        </is>
      </c>
      <c r="B594" s="1" t="n">
        <v>44938</v>
      </c>
      <c r="C594" s="1" t="n">
        <v>45852</v>
      </c>
      <c r="D594" t="inlineStr">
        <is>
          <t>DALARNAS LÄN</t>
        </is>
      </c>
      <c r="E594" t="inlineStr">
        <is>
          <t>MALUNG-SÄLEN</t>
        </is>
      </c>
      <c r="G594" t="n">
        <v>4.7</v>
      </c>
      <c r="H594" t="n">
        <v>0</v>
      </c>
      <c r="I594" t="n">
        <v>0</v>
      </c>
      <c r="J594" t="n">
        <v>0</v>
      </c>
      <c r="K594" t="n">
        <v>0</v>
      </c>
      <c r="L594" t="n">
        <v>0</v>
      </c>
      <c r="M594" t="n">
        <v>0</v>
      </c>
      <c r="N594" t="n">
        <v>0</v>
      </c>
      <c r="O594" t="n">
        <v>0</v>
      </c>
      <c r="P594" t="n">
        <v>0</v>
      </c>
      <c r="Q594" t="n">
        <v>0</v>
      </c>
      <c r="R594" s="2" t="inlineStr"/>
    </row>
    <row r="595" ht="15" customHeight="1">
      <c r="A595" t="inlineStr">
        <is>
          <t>A 2612-2023</t>
        </is>
      </c>
      <c r="B595" s="1" t="n">
        <v>44944</v>
      </c>
      <c r="C595" s="1" t="n">
        <v>45852</v>
      </c>
      <c r="D595" t="inlineStr">
        <is>
          <t>DALARNAS LÄN</t>
        </is>
      </c>
      <c r="E595" t="inlineStr">
        <is>
          <t>MALUNG-SÄLEN</t>
        </is>
      </c>
      <c r="G595" t="n">
        <v>3.5</v>
      </c>
      <c r="H595" t="n">
        <v>0</v>
      </c>
      <c r="I595" t="n">
        <v>0</v>
      </c>
      <c r="J595" t="n">
        <v>0</v>
      </c>
      <c r="K595" t="n">
        <v>0</v>
      </c>
      <c r="L595" t="n">
        <v>0</v>
      </c>
      <c r="M595" t="n">
        <v>0</v>
      </c>
      <c r="N595" t="n">
        <v>0</v>
      </c>
      <c r="O595" t="n">
        <v>0</v>
      </c>
      <c r="P595" t="n">
        <v>0</v>
      </c>
      <c r="Q595" t="n">
        <v>0</v>
      </c>
      <c r="R595" s="2" t="inlineStr"/>
    </row>
    <row r="596" ht="15" customHeight="1">
      <c r="A596" t="inlineStr">
        <is>
          <t>A 2677-2023</t>
        </is>
      </c>
      <c r="B596" s="1" t="n">
        <v>44944</v>
      </c>
      <c r="C596" s="1" t="n">
        <v>45852</v>
      </c>
      <c r="D596" t="inlineStr">
        <is>
          <t>DALARNAS LÄN</t>
        </is>
      </c>
      <c r="E596" t="inlineStr">
        <is>
          <t>MALUNG-SÄLEN</t>
        </is>
      </c>
      <c r="G596" t="n">
        <v>1</v>
      </c>
      <c r="H596" t="n">
        <v>0</v>
      </c>
      <c r="I596" t="n">
        <v>0</v>
      </c>
      <c r="J596" t="n">
        <v>0</v>
      </c>
      <c r="K596" t="n">
        <v>0</v>
      </c>
      <c r="L596" t="n">
        <v>0</v>
      </c>
      <c r="M596" t="n">
        <v>0</v>
      </c>
      <c r="N596" t="n">
        <v>0</v>
      </c>
      <c r="O596" t="n">
        <v>0</v>
      </c>
      <c r="P596" t="n">
        <v>0</v>
      </c>
      <c r="Q596" t="n">
        <v>0</v>
      </c>
      <c r="R596" s="2" t="inlineStr"/>
    </row>
    <row r="597" ht="15" customHeight="1">
      <c r="A597" t="inlineStr">
        <is>
          <t>A 2673-2023</t>
        </is>
      </c>
      <c r="B597" s="1" t="n">
        <v>44944</v>
      </c>
      <c r="C597" s="1" t="n">
        <v>45852</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3179-2023</t>
        </is>
      </c>
      <c r="B598" s="1" t="n">
        <v>44946</v>
      </c>
      <c r="C598" s="1" t="n">
        <v>45852</v>
      </c>
      <c r="D598" t="inlineStr">
        <is>
          <t>DALARNAS LÄN</t>
        </is>
      </c>
      <c r="E598" t="inlineStr">
        <is>
          <t>MALUNG-SÄLEN</t>
        </is>
      </c>
      <c r="G598" t="n">
        <v>0.7</v>
      </c>
      <c r="H598" t="n">
        <v>0</v>
      </c>
      <c r="I598" t="n">
        <v>0</v>
      </c>
      <c r="J598" t="n">
        <v>0</v>
      </c>
      <c r="K598" t="n">
        <v>0</v>
      </c>
      <c r="L598" t="n">
        <v>0</v>
      </c>
      <c r="M598" t="n">
        <v>0</v>
      </c>
      <c r="N598" t="n">
        <v>0</v>
      </c>
      <c r="O598" t="n">
        <v>0</v>
      </c>
      <c r="P598" t="n">
        <v>0</v>
      </c>
      <c r="Q598" t="n">
        <v>0</v>
      </c>
      <c r="R598" s="2" t="inlineStr"/>
    </row>
    <row r="599" ht="15" customHeight="1">
      <c r="A599" t="inlineStr">
        <is>
          <t>A 3186-2023</t>
        </is>
      </c>
      <c r="B599" s="1" t="n">
        <v>44946</v>
      </c>
      <c r="C599" s="1" t="n">
        <v>45852</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3583-2023</t>
        </is>
      </c>
      <c r="B600" s="1" t="n">
        <v>44950</v>
      </c>
      <c r="C600" s="1" t="n">
        <v>45852</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3543-2023</t>
        </is>
      </c>
      <c r="B601" s="1" t="n">
        <v>44950</v>
      </c>
      <c r="C601" s="1" t="n">
        <v>45852</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4811-2023</t>
        </is>
      </c>
      <c r="B602" s="1" t="n">
        <v>44957</v>
      </c>
      <c r="C602" s="1" t="n">
        <v>45852</v>
      </c>
      <c r="D602" t="inlineStr">
        <is>
          <t>DALARNAS LÄN</t>
        </is>
      </c>
      <c r="E602" t="inlineStr">
        <is>
          <t>MALUNG-SÄLEN</t>
        </is>
      </c>
      <c r="G602" t="n">
        <v>5.3</v>
      </c>
      <c r="H602" t="n">
        <v>0</v>
      </c>
      <c r="I602" t="n">
        <v>0</v>
      </c>
      <c r="J602" t="n">
        <v>0</v>
      </c>
      <c r="K602" t="n">
        <v>0</v>
      </c>
      <c r="L602" t="n">
        <v>0</v>
      </c>
      <c r="M602" t="n">
        <v>0</v>
      </c>
      <c r="N602" t="n">
        <v>0</v>
      </c>
      <c r="O602" t="n">
        <v>0</v>
      </c>
      <c r="P602" t="n">
        <v>0</v>
      </c>
      <c r="Q602" t="n">
        <v>0</v>
      </c>
      <c r="R602" s="2" t="inlineStr"/>
    </row>
    <row r="603" ht="15" customHeight="1">
      <c r="A603" t="inlineStr">
        <is>
          <t>A 5870-2023</t>
        </is>
      </c>
      <c r="B603" s="1" t="n">
        <v>44963</v>
      </c>
      <c r="C603" s="1" t="n">
        <v>45852</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5858-2023</t>
        </is>
      </c>
      <c r="B604" s="1" t="n">
        <v>44963</v>
      </c>
      <c r="C604" s="1" t="n">
        <v>45852</v>
      </c>
      <c r="D604" t="inlineStr">
        <is>
          <t>DALARNAS LÄN</t>
        </is>
      </c>
      <c r="E604" t="inlineStr">
        <is>
          <t>MALUNG-SÄLEN</t>
        </is>
      </c>
      <c r="G604" t="n">
        <v>11.7</v>
      </c>
      <c r="H604" t="n">
        <v>0</v>
      </c>
      <c r="I604" t="n">
        <v>0</v>
      </c>
      <c r="J604" t="n">
        <v>0</v>
      </c>
      <c r="K604" t="n">
        <v>0</v>
      </c>
      <c r="L604" t="n">
        <v>0</v>
      </c>
      <c r="M604" t="n">
        <v>0</v>
      </c>
      <c r="N604" t="n">
        <v>0</v>
      </c>
      <c r="O604" t="n">
        <v>0</v>
      </c>
      <c r="P604" t="n">
        <v>0</v>
      </c>
      <c r="Q604" t="n">
        <v>0</v>
      </c>
      <c r="R604" s="2" t="inlineStr"/>
    </row>
    <row r="605" ht="15" customHeight="1">
      <c r="A605" t="inlineStr">
        <is>
          <t>A 5900-2023</t>
        </is>
      </c>
      <c r="B605" s="1" t="n">
        <v>44963</v>
      </c>
      <c r="C605" s="1" t="n">
        <v>45852</v>
      </c>
      <c r="D605" t="inlineStr">
        <is>
          <t>DALARNAS LÄN</t>
        </is>
      </c>
      <c r="E605" t="inlineStr">
        <is>
          <t>MALUNG-SÄLEN</t>
        </is>
      </c>
      <c r="G605" t="n">
        <v>1.9</v>
      </c>
      <c r="H605" t="n">
        <v>0</v>
      </c>
      <c r="I605" t="n">
        <v>0</v>
      </c>
      <c r="J605" t="n">
        <v>0</v>
      </c>
      <c r="K605" t="n">
        <v>0</v>
      </c>
      <c r="L605" t="n">
        <v>0</v>
      </c>
      <c r="M605" t="n">
        <v>0</v>
      </c>
      <c r="N605" t="n">
        <v>0</v>
      </c>
      <c r="O605" t="n">
        <v>0</v>
      </c>
      <c r="P605" t="n">
        <v>0</v>
      </c>
      <c r="Q605" t="n">
        <v>0</v>
      </c>
      <c r="R605" s="2" t="inlineStr"/>
    </row>
    <row r="606" ht="15" customHeight="1">
      <c r="A606" t="inlineStr">
        <is>
          <t>A 7137-2023</t>
        </is>
      </c>
      <c r="B606" s="1" t="n">
        <v>44970</v>
      </c>
      <c r="C606" s="1" t="n">
        <v>45852</v>
      </c>
      <c r="D606" t="inlineStr">
        <is>
          <t>DALARNAS LÄN</t>
        </is>
      </c>
      <c r="E606" t="inlineStr">
        <is>
          <t>MALUNG-SÄLEN</t>
        </is>
      </c>
      <c r="G606" t="n">
        <v>3.4</v>
      </c>
      <c r="H606" t="n">
        <v>0</v>
      </c>
      <c r="I606" t="n">
        <v>0</v>
      </c>
      <c r="J606" t="n">
        <v>0</v>
      </c>
      <c r="K606" t="n">
        <v>0</v>
      </c>
      <c r="L606" t="n">
        <v>0</v>
      </c>
      <c r="M606" t="n">
        <v>0</v>
      </c>
      <c r="N606" t="n">
        <v>0</v>
      </c>
      <c r="O606" t="n">
        <v>0</v>
      </c>
      <c r="P606" t="n">
        <v>0</v>
      </c>
      <c r="Q606" t="n">
        <v>0</v>
      </c>
      <c r="R606" s="2" t="inlineStr"/>
    </row>
    <row r="607" ht="15" customHeight="1">
      <c r="A607" t="inlineStr">
        <is>
          <t>A 8821-2023</t>
        </is>
      </c>
      <c r="B607" s="1" t="n">
        <v>44978</v>
      </c>
      <c r="C607" s="1" t="n">
        <v>45852</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8707-2023</t>
        </is>
      </c>
      <c r="B608" s="1" t="n">
        <v>44978</v>
      </c>
      <c r="C608" s="1" t="n">
        <v>45852</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8779-2023</t>
        </is>
      </c>
      <c r="B609" s="1" t="n">
        <v>44978</v>
      </c>
      <c r="C609" s="1" t="n">
        <v>45852</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8827-2023</t>
        </is>
      </c>
      <c r="B610" s="1" t="n">
        <v>44978</v>
      </c>
      <c r="C610" s="1" t="n">
        <v>45852</v>
      </c>
      <c r="D610" t="inlineStr">
        <is>
          <t>DALARNAS LÄN</t>
        </is>
      </c>
      <c r="E610" t="inlineStr">
        <is>
          <t>MALUNG-SÄLEN</t>
        </is>
      </c>
      <c r="G610" t="n">
        <v>4.9</v>
      </c>
      <c r="H610" t="n">
        <v>0</v>
      </c>
      <c r="I610" t="n">
        <v>0</v>
      </c>
      <c r="J610" t="n">
        <v>0</v>
      </c>
      <c r="K610" t="n">
        <v>0</v>
      </c>
      <c r="L610" t="n">
        <v>0</v>
      </c>
      <c r="M610" t="n">
        <v>0</v>
      </c>
      <c r="N610" t="n">
        <v>0</v>
      </c>
      <c r="O610" t="n">
        <v>0</v>
      </c>
      <c r="P610" t="n">
        <v>0</v>
      </c>
      <c r="Q610" t="n">
        <v>0</v>
      </c>
      <c r="R610" s="2" t="inlineStr"/>
    </row>
    <row r="611" ht="15" customHeight="1">
      <c r="A611" t="inlineStr">
        <is>
          <t>A 9977-2023</t>
        </is>
      </c>
      <c r="B611" s="1" t="n">
        <v>44979</v>
      </c>
      <c r="C611" s="1" t="n">
        <v>45852</v>
      </c>
      <c r="D611" t="inlineStr">
        <is>
          <t>DALARNAS LÄN</t>
        </is>
      </c>
      <c r="E611" t="inlineStr">
        <is>
          <t>MALUNG-SÄLEN</t>
        </is>
      </c>
      <c r="G611" t="n">
        <v>1.1</v>
      </c>
      <c r="H611" t="n">
        <v>0</v>
      </c>
      <c r="I611" t="n">
        <v>0</v>
      </c>
      <c r="J611" t="n">
        <v>0</v>
      </c>
      <c r="K611" t="n">
        <v>0</v>
      </c>
      <c r="L611" t="n">
        <v>0</v>
      </c>
      <c r="M611" t="n">
        <v>0</v>
      </c>
      <c r="N611" t="n">
        <v>0</v>
      </c>
      <c r="O611" t="n">
        <v>0</v>
      </c>
      <c r="P611" t="n">
        <v>0</v>
      </c>
      <c r="Q611" t="n">
        <v>0</v>
      </c>
      <c r="R611" s="2" t="inlineStr"/>
    </row>
    <row r="612" ht="15" customHeight="1">
      <c r="A612" t="inlineStr">
        <is>
          <t>A 9380-2023</t>
        </is>
      </c>
      <c r="B612" s="1" t="n">
        <v>44981</v>
      </c>
      <c r="C612" s="1" t="n">
        <v>45852</v>
      </c>
      <c r="D612" t="inlineStr">
        <is>
          <t>DALARNAS LÄN</t>
        </is>
      </c>
      <c r="E612" t="inlineStr">
        <is>
          <t>MALUNG-SÄLEN</t>
        </is>
      </c>
      <c r="F612" t="inlineStr">
        <is>
          <t>Bergvik skog öst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10839-2023</t>
        </is>
      </c>
      <c r="B613" s="1" t="n">
        <v>44991</v>
      </c>
      <c r="C613" s="1" t="n">
        <v>45852</v>
      </c>
      <c r="D613" t="inlineStr">
        <is>
          <t>DALARNAS LÄN</t>
        </is>
      </c>
      <c r="E613" t="inlineStr">
        <is>
          <t>MALUNG-SÄLEN</t>
        </is>
      </c>
      <c r="G613" t="n">
        <v>1.7</v>
      </c>
      <c r="H613" t="n">
        <v>0</v>
      </c>
      <c r="I613" t="n">
        <v>0</v>
      </c>
      <c r="J613" t="n">
        <v>0</v>
      </c>
      <c r="K613" t="n">
        <v>0</v>
      </c>
      <c r="L613" t="n">
        <v>0</v>
      </c>
      <c r="M613" t="n">
        <v>0</v>
      </c>
      <c r="N613" t="n">
        <v>0</v>
      </c>
      <c r="O613" t="n">
        <v>0</v>
      </c>
      <c r="P613" t="n">
        <v>0</v>
      </c>
      <c r="Q613" t="n">
        <v>0</v>
      </c>
      <c r="R613" s="2" t="inlineStr"/>
    </row>
    <row r="614" ht="15" customHeight="1">
      <c r="A614" t="inlineStr">
        <is>
          <t>A 11594-2023</t>
        </is>
      </c>
      <c r="B614" s="1" t="n">
        <v>44994</v>
      </c>
      <c r="C614" s="1" t="n">
        <v>45852</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12786-2023</t>
        </is>
      </c>
      <c r="B615" s="1" t="n">
        <v>45001</v>
      </c>
      <c r="C615" s="1" t="n">
        <v>45852</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13043-2023</t>
        </is>
      </c>
      <c r="B616" s="1" t="n">
        <v>45002</v>
      </c>
      <c r="C616" s="1" t="n">
        <v>45852</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13812-2023</t>
        </is>
      </c>
      <c r="B617" s="1" t="n">
        <v>45007</v>
      </c>
      <c r="C617" s="1" t="n">
        <v>45852</v>
      </c>
      <c r="D617" t="inlineStr">
        <is>
          <t>DALARNAS LÄN</t>
        </is>
      </c>
      <c r="E617" t="inlineStr">
        <is>
          <t>MALUNG-SÄLEN</t>
        </is>
      </c>
      <c r="G617" t="n">
        <v>18.7</v>
      </c>
      <c r="H617" t="n">
        <v>0</v>
      </c>
      <c r="I617" t="n">
        <v>0</v>
      </c>
      <c r="J617" t="n">
        <v>0</v>
      </c>
      <c r="K617" t="n">
        <v>0</v>
      </c>
      <c r="L617" t="n">
        <v>0</v>
      </c>
      <c r="M617" t="n">
        <v>0</v>
      </c>
      <c r="N617" t="n">
        <v>0</v>
      </c>
      <c r="O617" t="n">
        <v>0</v>
      </c>
      <c r="P617" t="n">
        <v>0</v>
      </c>
      <c r="Q617" t="n">
        <v>0</v>
      </c>
      <c r="R617" s="2" t="inlineStr"/>
    </row>
    <row r="618" ht="15" customHeight="1">
      <c r="A618" t="inlineStr">
        <is>
          <t>A 13823-2023</t>
        </is>
      </c>
      <c r="B618" s="1" t="n">
        <v>45007</v>
      </c>
      <c r="C618" s="1" t="n">
        <v>45852</v>
      </c>
      <c r="D618" t="inlineStr">
        <is>
          <t>DALARNAS LÄN</t>
        </is>
      </c>
      <c r="E618" t="inlineStr">
        <is>
          <t>MALUNG-SÄLEN</t>
        </is>
      </c>
      <c r="G618" t="n">
        <v>19.5</v>
      </c>
      <c r="H618" t="n">
        <v>0</v>
      </c>
      <c r="I618" t="n">
        <v>0</v>
      </c>
      <c r="J618" t="n">
        <v>0</v>
      </c>
      <c r="K618" t="n">
        <v>0</v>
      </c>
      <c r="L618" t="n">
        <v>0</v>
      </c>
      <c r="M618" t="n">
        <v>0</v>
      </c>
      <c r="N618" t="n">
        <v>0</v>
      </c>
      <c r="O618" t="n">
        <v>0</v>
      </c>
      <c r="P618" t="n">
        <v>0</v>
      </c>
      <c r="Q618" t="n">
        <v>0</v>
      </c>
      <c r="R618" s="2" t="inlineStr"/>
    </row>
    <row r="619" ht="15" customHeight="1">
      <c r="A619" t="inlineStr">
        <is>
          <t>A 13827-2023</t>
        </is>
      </c>
      <c r="B619" s="1" t="n">
        <v>45007</v>
      </c>
      <c r="C619" s="1" t="n">
        <v>45852</v>
      </c>
      <c r="D619" t="inlineStr">
        <is>
          <t>DALARNAS LÄN</t>
        </is>
      </c>
      <c r="E619" t="inlineStr">
        <is>
          <t>MALUNG-SÄLEN</t>
        </is>
      </c>
      <c r="G619" t="n">
        <v>1.2</v>
      </c>
      <c r="H619" t="n">
        <v>0</v>
      </c>
      <c r="I619" t="n">
        <v>0</v>
      </c>
      <c r="J619" t="n">
        <v>0</v>
      </c>
      <c r="K619" t="n">
        <v>0</v>
      </c>
      <c r="L619" t="n">
        <v>0</v>
      </c>
      <c r="M619" t="n">
        <v>0</v>
      </c>
      <c r="N619" t="n">
        <v>0</v>
      </c>
      <c r="O619" t="n">
        <v>0</v>
      </c>
      <c r="P619" t="n">
        <v>0</v>
      </c>
      <c r="Q619" t="n">
        <v>0</v>
      </c>
      <c r="R619" s="2" t="inlineStr"/>
    </row>
    <row r="620" ht="15" customHeight="1">
      <c r="A620" t="inlineStr">
        <is>
          <t>A 14893-2023</t>
        </is>
      </c>
      <c r="B620" s="1" t="n">
        <v>45015</v>
      </c>
      <c r="C620" s="1" t="n">
        <v>45852</v>
      </c>
      <c r="D620" t="inlineStr">
        <is>
          <t>DALARNAS LÄN</t>
        </is>
      </c>
      <c r="E620" t="inlineStr">
        <is>
          <t>MALUNG-SÄLEN</t>
        </is>
      </c>
      <c r="G620" t="n">
        <v>5.4</v>
      </c>
      <c r="H620" t="n">
        <v>0</v>
      </c>
      <c r="I620" t="n">
        <v>0</v>
      </c>
      <c r="J620" t="n">
        <v>0</v>
      </c>
      <c r="K620" t="n">
        <v>0</v>
      </c>
      <c r="L620" t="n">
        <v>0</v>
      </c>
      <c r="M620" t="n">
        <v>0</v>
      </c>
      <c r="N620" t="n">
        <v>0</v>
      </c>
      <c r="O620" t="n">
        <v>0</v>
      </c>
      <c r="P620" t="n">
        <v>0</v>
      </c>
      <c r="Q620" t="n">
        <v>0</v>
      </c>
      <c r="R620" s="2" t="inlineStr"/>
    </row>
    <row r="621" ht="15" customHeight="1">
      <c r="A621" t="inlineStr">
        <is>
          <t>A 14905-2023</t>
        </is>
      </c>
      <c r="B621" s="1" t="n">
        <v>45015</v>
      </c>
      <c r="C621" s="1" t="n">
        <v>45852</v>
      </c>
      <c r="D621" t="inlineStr">
        <is>
          <t>DALARNAS LÄN</t>
        </is>
      </c>
      <c r="E621" t="inlineStr">
        <is>
          <t>MALUNG-SÄLEN</t>
        </is>
      </c>
      <c r="G621" t="n">
        <v>1.4</v>
      </c>
      <c r="H621" t="n">
        <v>0</v>
      </c>
      <c r="I621" t="n">
        <v>0</v>
      </c>
      <c r="J621" t="n">
        <v>0</v>
      </c>
      <c r="K621" t="n">
        <v>0</v>
      </c>
      <c r="L621" t="n">
        <v>0</v>
      </c>
      <c r="M621" t="n">
        <v>0</v>
      </c>
      <c r="N621" t="n">
        <v>0</v>
      </c>
      <c r="O621" t="n">
        <v>0</v>
      </c>
      <c r="P621" t="n">
        <v>0</v>
      </c>
      <c r="Q621" t="n">
        <v>0</v>
      </c>
      <c r="R621" s="2" t="inlineStr"/>
    </row>
    <row r="622" ht="15" customHeight="1">
      <c r="A622" t="inlineStr">
        <is>
          <t>A 15388-2023</t>
        </is>
      </c>
      <c r="B622" s="1" t="n">
        <v>45019</v>
      </c>
      <c r="C622" s="1" t="n">
        <v>45852</v>
      </c>
      <c r="D622" t="inlineStr">
        <is>
          <t>DALARNAS LÄN</t>
        </is>
      </c>
      <c r="E622" t="inlineStr">
        <is>
          <t>MALUNG-SÄLEN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15598-2023</t>
        </is>
      </c>
      <c r="B623" s="1" t="n">
        <v>45020</v>
      </c>
      <c r="C623" s="1" t="n">
        <v>45852</v>
      </c>
      <c r="D623" t="inlineStr">
        <is>
          <t>DALARNAS LÄN</t>
        </is>
      </c>
      <c r="E623" t="inlineStr">
        <is>
          <t>MALUNG-SÄLEN</t>
        </is>
      </c>
      <c r="G623" t="n">
        <v>22.5</v>
      </c>
      <c r="H623" t="n">
        <v>0</v>
      </c>
      <c r="I623" t="n">
        <v>0</v>
      </c>
      <c r="J623" t="n">
        <v>0</v>
      </c>
      <c r="K623" t="n">
        <v>0</v>
      </c>
      <c r="L623" t="n">
        <v>0</v>
      </c>
      <c r="M623" t="n">
        <v>0</v>
      </c>
      <c r="N623" t="n">
        <v>0</v>
      </c>
      <c r="O623" t="n">
        <v>0</v>
      </c>
      <c r="P623" t="n">
        <v>0</v>
      </c>
      <c r="Q623" t="n">
        <v>0</v>
      </c>
      <c r="R623" s="2" t="inlineStr"/>
    </row>
    <row r="624" ht="15" customHeight="1">
      <c r="A624" t="inlineStr">
        <is>
          <t>A 15602-2023</t>
        </is>
      </c>
      <c r="B624" s="1" t="n">
        <v>45020</v>
      </c>
      <c r="C624" s="1" t="n">
        <v>45852</v>
      </c>
      <c r="D624" t="inlineStr">
        <is>
          <t>DALARNAS LÄN</t>
        </is>
      </c>
      <c r="E624" t="inlineStr">
        <is>
          <t>MALUNG-SÄLEN</t>
        </is>
      </c>
      <c r="G624" t="n">
        <v>15.5</v>
      </c>
      <c r="H624" t="n">
        <v>0</v>
      </c>
      <c r="I624" t="n">
        <v>0</v>
      </c>
      <c r="J624" t="n">
        <v>0</v>
      </c>
      <c r="K624" t="n">
        <v>0</v>
      </c>
      <c r="L624" t="n">
        <v>0</v>
      </c>
      <c r="M624" t="n">
        <v>0</v>
      </c>
      <c r="N624" t="n">
        <v>0</v>
      </c>
      <c r="O624" t="n">
        <v>0</v>
      </c>
      <c r="P624" t="n">
        <v>0</v>
      </c>
      <c r="Q624" t="n">
        <v>0</v>
      </c>
      <c r="R624" s="2" t="inlineStr"/>
    </row>
    <row r="625" ht="15" customHeight="1">
      <c r="A625" t="inlineStr">
        <is>
          <t>A 16034-2023</t>
        </is>
      </c>
      <c r="B625" s="1" t="n">
        <v>45027</v>
      </c>
      <c r="C625" s="1" t="n">
        <v>45852</v>
      </c>
      <c r="D625" t="inlineStr">
        <is>
          <t>DALARNAS LÄN</t>
        </is>
      </c>
      <c r="E625" t="inlineStr">
        <is>
          <t>MALUNG-SÄLEN</t>
        </is>
      </c>
      <c r="G625" t="n">
        <v>9</v>
      </c>
      <c r="H625" t="n">
        <v>0</v>
      </c>
      <c r="I625" t="n">
        <v>0</v>
      </c>
      <c r="J625" t="n">
        <v>0</v>
      </c>
      <c r="K625" t="n">
        <v>0</v>
      </c>
      <c r="L625" t="n">
        <v>0</v>
      </c>
      <c r="M625" t="n">
        <v>0</v>
      </c>
      <c r="N625" t="n">
        <v>0</v>
      </c>
      <c r="O625" t="n">
        <v>0</v>
      </c>
      <c r="P625" t="n">
        <v>0</v>
      </c>
      <c r="Q625" t="n">
        <v>0</v>
      </c>
      <c r="R625" s="2" t="inlineStr"/>
    </row>
    <row r="626" ht="15" customHeight="1">
      <c r="A626" t="inlineStr">
        <is>
          <t>A 17167-2023</t>
        </is>
      </c>
      <c r="B626" s="1" t="n">
        <v>45034</v>
      </c>
      <c r="C626" s="1" t="n">
        <v>45852</v>
      </c>
      <c r="D626" t="inlineStr">
        <is>
          <t>DALARNAS LÄN</t>
        </is>
      </c>
      <c r="E626" t="inlineStr">
        <is>
          <t>MALUNG-SÄLEN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17165-2023</t>
        </is>
      </c>
      <c r="B627" s="1" t="n">
        <v>45034</v>
      </c>
      <c r="C627" s="1" t="n">
        <v>45852</v>
      </c>
      <c r="D627" t="inlineStr">
        <is>
          <t>DALARNAS LÄN</t>
        </is>
      </c>
      <c r="E627" t="inlineStr">
        <is>
          <t>MALUNG-SÄLEN</t>
        </is>
      </c>
      <c r="G627" t="n">
        <v>5.1</v>
      </c>
      <c r="H627" t="n">
        <v>0</v>
      </c>
      <c r="I627" t="n">
        <v>0</v>
      </c>
      <c r="J627" t="n">
        <v>0</v>
      </c>
      <c r="K627" t="n">
        <v>0</v>
      </c>
      <c r="L627" t="n">
        <v>0</v>
      </c>
      <c r="M627" t="n">
        <v>0</v>
      </c>
      <c r="N627" t="n">
        <v>0</v>
      </c>
      <c r="O627" t="n">
        <v>0</v>
      </c>
      <c r="P627" t="n">
        <v>0</v>
      </c>
      <c r="Q627" t="n">
        <v>0</v>
      </c>
      <c r="R627" s="2" t="inlineStr"/>
    </row>
    <row r="628" ht="15" customHeight="1">
      <c r="A628" t="inlineStr">
        <is>
          <t>A 17469-2023</t>
        </is>
      </c>
      <c r="B628" s="1" t="n">
        <v>45036</v>
      </c>
      <c r="C628" s="1" t="n">
        <v>45852</v>
      </c>
      <c r="D628" t="inlineStr">
        <is>
          <t>DALARNAS LÄN</t>
        </is>
      </c>
      <c r="E628" t="inlineStr">
        <is>
          <t>MALUNG-SÄLEN</t>
        </is>
      </c>
      <c r="G628" t="n">
        <v>3.6</v>
      </c>
      <c r="H628" t="n">
        <v>0</v>
      </c>
      <c r="I628" t="n">
        <v>0</v>
      </c>
      <c r="J628" t="n">
        <v>0</v>
      </c>
      <c r="K628" t="n">
        <v>0</v>
      </c>
      <c r="L628" t="n">
        <v>0</v>
      </c>
      <c r="M628" t="n">
        <v>0</v>
      </c>
      <c r="N628" t="n">
        <v>0</v>
      </c>
      <c r="O628" t="n">
        <v>0</v>
      </c>
      <c r="P628" t="n">
        <v>0</v>
      </c>
      <c r="Q628" t="n">
        <v>0</v>
      </c>
      <c r="R628" s="2" t="inlineStr"/>
    </row>
    <row r="629" ht="15" customHeight="1">
      <c r="A629" t="inlineStr">
        <is>
          <t>A 17608-2023</t>
        </is>
      </c>
      <c r="B629" s="1" t="n">
        <v>45036</v>
      </c>
      <c r="C629" s="1" t="n">
        <v>45852</v>
      </c>
      <c r="D629" t="inlineStr">
        <is>
          <t>DALARNAS LÄN</t>
        </is>
      </c>
      <c r="E629" t="inlineStr">
        <is>
          <t>MALUNG-SÄLEN</t>
        </is>
      </c>
      <c r="G629" t="n">
        <v>3.9</v>
      </c>
      <c r="H629" t="n">
        <v>0</v>
      </c>
      <c r="I629" t="n">
        <v>0</v>
      </c>
      <c r="J629" t="n">
        <v>0</v>
      </c>
      <c r="K629" t="n">
        <v>0</v>
      </c>
      <c r="L629" t="n">
        <v>0</v>
      </c>
      <c r="M629" t="n">
        <v>0</v>
      </c>
      <c r="N629" t="n">
        <v>0</v>
      </c>
      <c r="O629" t="n">
        <v>0</v>
      </c>
      <c r="P629" t="n">
        <v>0</v>
      </c>
      <c r="Q629" t="n">
        <v>0</v>
      </c>
      <c r="R629" s="2" t="inlineStr"/>
    </row>
    <row r="630" ht="15" customHeight="1">
      <c r="A630" t="inlineStr">
        <is>
          <t>A 17615-2023</t>
        </is>
      </c>
      <c r="B630" s="1" t="n">
        <v>45036</v>
      </c>
      <c r="C630" s="1" t="n">
        <v>45852</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17583-2023</t>
        </is>
      </c>
      <c r="B631" s="1" t="n">
        <v>45036</v>
      </c>
      <c r="C631" s="1" t="n">
        <v>45852</v>
      </c>
      <c r="D631" t="inlineStr">
        <is>
          <t>DALARNAS LÄN</t>
        </is>
      </c>
      <c r="E631" t="inlineStr">
        <is>
          <t>MALUNG-SÄLEN</t>
        </is>
      </c>
      <c r="G631" t="n">
        <v>2</v>
      </c>
      <c r="H631" t="n">
        <v>0</v>
      </c>
      <c r="I631" t="n">
        <v>0</v>
      </c>
      <c r="J631" t="n">
        <v>0</v>
      </c>
      <c r="K631" t="n">
        <v>0</v>
      </c>
      <c r="L631" t="n">
        <v>0</v>
      </c>
      <c r="M631" t="n">
        <v>0</v>
      </c>
      <c r="N631" t="n">
        <v>0</v>
      </c>
      <c r="O631" t="n">
        <v>0</v>
      </c>
      <c r="P631" t="n">
        <v>0</v>
      </c>
      <c r="Q631" t="n">
        <v>0</v>
      </c>
      <c r="R631" s="2" t="inlineStr"/>
    </row>
    <row r="632" ht="15" customHeight="1">
      <c r="A632" t="inlineStr">
        <is>
          <t>A 17828-2023</t>
        </is>
      </c>
      <c r="B632" s="1" t="n">
        <v>45037</v>
      </c>
      <c r="C632" s="1" t="n">
        <v>45852</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18233-2023</t>
        </is>
      </c>
      <c r="B633" s="1" t="n">
        <v>45041</v>
      </c>
      <c r="C633" s="1" t="n">
        <v>45852</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18239-2023</t>
        </is>
      </c>
      <c r="B634" s="1" t="n">
        <v>45041</v>
      </c>
      <c r="C634" s="1" t="n">
        <v>45852</v>
      </c>
      <c r="D634" t="inlineStr">
        <is>
          <t>DALARNAS LÄN</t>
        </is>
      </c>
      <c r="E634" t="inlineStr">
        <is>
          <t>MALUNG-SÄLEN</t>
        </is>
      </c>
      <c r="F634" t="inlineStr">
        <is>
          <t>Bergvik skog öst AB</t>
        </is>
      </c>
      <c r="G634" t="n">
        <v>10.3</v>
      </c>
      <c r="H634" t="n">
        <v>0</v>
      </c>
      <c r="I634" t="n">
        <v>0</v>
      </c>
      <c r="J634" t="n">
        <v>0</v>
      </c>
      <c r="K634" t="n">
        <v>0</v>
      </c>
      <c r="L634" t="n">
        <v>0</v>
      </c>
      <c r="M634" t="n">
        <v>0</v>
      </c>
      <c r="N634" t="n">
        <v>0</v>
      </c>
      <c r="O634" t="n">
        <v>0</v>
      </c>
      <c r="P634" t="n">
        <v>0</v>
      </c>
      <c r="Q634" t="n">
        <v>0</v>
      </c>
      <c r="R634" s="2" t="inlineStr"/>
    </row>
    <row r="635" ht="15" customHeight="1">
      <c r="A635" t="inlineStr">
        <is>
          <t>A 18584-2023</t>
        </is>
      </c>
      <c r="B635" s="1" t="n">
        <v>45041</v>
      </c>
      <c r="C635" s="1" t="n">
        <v>45852</v>
      </c>
      <c r="D635" t="inlineStr">
        <is>
          <t>DALARNAS LÄN</t>
        </is>
      </c>
      <c r="E635" t="inlineStr">
        <is>
          <t>MALUNG-SÄLEN</t>
        </is>
      </c>
      <c r="G635" t="n">
        <v>1.3</v>
      </c>
      <c r="H635" t="n">
        <v>0</v>
      </c>
      <c r="I635" t="n">
        <v>0</v>
      </c>
      <c r="J635" t="n">
        <v>0</v>
      </c>
      <c r="K635" t="n">
        <v>0</v>
      </c>
      <c r="L635" t="n">
        <v>0</v>
      </c>
      <c r="M635" t="n">
        <v>0</v>
      </c>
      <c r="N635" t="n">
        <v>0</v>
      </c>
      <c r="O635" t="n">
        <v>0</v>
      </c>
      <c r="P635" t="n">
        <v>0</v>
      </c>
      <c r="Q635" t="n">
        <v>0</v>
      </c>
      <c r="R635" s="2" t="inlineStr"/>
    </row>
    <row r="636" ht="15" customHeight="1">
      <c r="A636" t="inlineStr">
        <is>
          <t>A 19056-2023</t>
        </is>
      </c>
      <c r="B636" s="1" t="n">
        <v>45048</v>
      </c>
      <c r="C636" s="1" t="n">
        <v>45852</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19851-2023</t>
        </is>
      </c>
      <c r="B637" s="1" t="n">
        <v>45053</v>
      </c>
      <c r="C637" s="1" t="n">
        <v>45852</v>
      </c>
      <c r="D637" t="inlineStr">
        <is>
          <t>DALARNAS LÄN</t>
        </is>
      </c>
      <c r="E637" t="inlineStr">
        <is>
          <t>MALUNG-SÄLEN</t>
        </is>
      </c>
      <c r="G637" t="n">
        <v>12.6</v>
      </c>
      <c r="H637" t="n">
        <v>0</v>
      </c>
      <c r="I637" t="n">
        <v>0</v>
      </c>
      <c r="J637" t="n">
        <v>0</v>
      </c>
      <c r="K637" t="n">
        <v>0</v>
      </c>
      <c r="L637" t="n">
        <v>0</v>
      </c>
      <c r="M637" t="n">
        <v>0</v>
      </c>
      <c r="N637" t="n">
        <v>0</v>
      </c>
      <c r="O637" t="n">
        <v>0</v>
      </c>
      <c r="P637" t="n">
        <v>0</v>
      </c>
      <c r="Q637" t="n">
        <v>0</v>
      </c>
      <c r="R637" s="2" t="inlineStr"/>
    </row>
    <row r="638" ht="15" customHeight="1">
      <c r="A638" t="inlineStr">
        <is>
          <t>A 19856-2023</t>
        </is>
      </c>
      <c r="B638" s="1" t="n">
        <v>45053</v>
      </c>
      <c r="C638" s="1" t="n">
        <v>45852</v>
      </c>
      <c r="D638" t="inlineStr">
        <is>
          <t>DALARNAS LÄN</t>
        </is>
      </c>
      <c r="E638" t="inlineStr">
        <is>
          <t>MALUNG-SÄLEN</t>
        </is>
      </c>
      <c r="G638" t="n">
        <v>4.6</v>
      </c>
      <c r="H638" t="n">
        <v>0</v>
      </c>
      <c r="I638" t="n">
        <v>0</v>
      </c>
      <c r="J638" t="n">
        <v>0</v>
      </c>
      <c r="K638" t="n">
        <v>0</v>
      </c>
      <c r="L638" t="n">
        <v>0</v>
      </c>
      <c r="M638" t="n">
        <v>0</v>
      </c>
      <c r="N638" t="n">
        <v>0</v>
      </c>
      <c r="O638" t="n">
        <v>0</v>
      </c>
      <c r="P638" t="n">
        <v>0</v>
      </c>
      <c r="Q638" t="n">
        <v>0</v>
      </c>
      <c r="R638" s="2" t="inlineStr"/>
    </row>
    <row r="639" ht="15" customHeight="1">
      <c r="A639" t="inlineStr">
        <is>
          <t>A 19857-2023</t>
        </is>
      </c>
      <c r="B639" s="1" t="n">
        <v>45053</v>
      </c>
      <c r="C639" s="1" t="n">
        <v>45852</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20010-2023</t>
        </is>
      </c>
      <c r="B640" s="1" t="n">
        <v>45054</v>
      </c>
      <c r="C640" s="1" t="n">
        <v>45852</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20025-2023</t>
        </is>
      </c>
      <c r="B641" s="1" t="n">
        <v>45054</v>
      </c>
      <c r="C641" s="1" t="n">
        <v>45852</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20002-2023</t>
        </is>
      </c>
      <c r="B642" s="1" t="n">
        <v>45054</v>
      </c>
      <c r="C642" s="1" t="n">
        <v>45852</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20021-2023</t>
        </is>
      </c>
      <c r="B643" s="1" t="n">
        <v>45054</v>
      </c>
      <c r="C643" s="1" t="n">
        <v>45852</v>
      </c>
      <c r="D643" t="inlineStr">
        <is>
          <t>DALARNAS LÄN</t>
        </is>
      </c>
      <c r="E643" t="inlineStr">
        <is>
          <t>MALUNG-SÄLEN</t>
        </is>
      </c>
      <c r="G643" t="n">
        <v>2.5</v>
      </c>
      <c r="H643" t="n">
        <v>0</v>
      </c>
      <c r="I643" t="n">
        <v>0</v>
      </c>
      <c r="J643" t="n">
        <v>0</v>
      </c>
      <c r="K643" t="n">
        <v>0</v>
      </c>
      <c r="L643" t="n">
        <v>0</v>
      </c>
      <c r="M643" t="n">
        <v>0</v>
      </c>
      <c r="N643" t="n">
        <v>0</v>
      </c>
      <c r="O643" t="n">
        <v>0</v>
      </c>
      <c r="P643" t="n">
        <v>0</v>
      </c>
      <c r="Q643" t="n">
        <v>0</v>
      </c>
      <c r="R643" s="2" t="inlineStr"/>
    </row>
    <row r="644" ht="15" customHeight="1">
      <c r="A644" t="inlineStr">
        <is>
          <t>A 20026-2023</t>
        </is>
      </c>
      <c r="B644" s="1" t="n">
        <v>45054</v>
      </c>
      <c r="C644" s="1" t="n">
        <v>45852</v>
      </c>
      <c r="D644" t="inlineStr">
        <is>
          <t>DALARNAS LÄN</t>
        </is>
      </c>
      <c r="E644" t="inlineStr">
        <is>
          <t>MALUNG-SÄLEN</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19974-2023</t>
        </is>
      </c>
      <c r="B645" s="1" t="n">
        <v>45054</v>
      </c>
      <c r="C645" s="1" t="n">
        <v>45852</v>
      </c>
      <c r="D645" t="inlineStr">
        <is>
          <t>DALARNAS LÄN</t>
        </is>
      </c>
      <c r="E645" t="inlineStr">
        <is>
          <t>MALUNG-SÄLEN</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20292-2023</t>
        </is>
      </c>
      <c r="B646" s="1" t="n">
        <v>45056</v>
      </c>
      <c r="C646" s="1" t="n">
        <v>45852</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20931-2023</t>
        </is>
      </c>
      <c r="B647" s="1" t="n">
        <v>45056</v>
      </c>
      <c r="C647" s="1" t="n">
        <v>45852</v>
      </c>
      <c r="D647" t="inlineStr">
        <is>
          <t>DALARNAS LÄN</t>
        </is>
      </c>
      <c r="E647" t="inlineStr">
        <is>
          <t>MALUNG-SÄLEN</t>
        </is>
      </c>
      <c r="G647" t="n">
        <v>1.2</v>
      </c>
      <c r="H647" t="n">
        <v>0</v>
      </c>
      <c r="I647" t="n">
        <v>0</v>
      </c>
      <c r="J647" t="n">
        <v>0</v>
      </c>
      <c r="K647" t="n">
        <v>0</v>
      </c>
      <c r="L647" t="n">
        <v>0</v>
      </c>
      <c r="M647" t="n">
        <v>0</v>
      </c>
      <c r="N647" t="n">
        <v>0</v>
      </c>
      <c r="O647" t="n">
        <v>0</v>
      </c>
      <c r="P647" t="n">
        <v>0</v>
      </c>
      <c r="Q647" t="n">
        <v>0</v>
      </c>
      <c r="R647" s="2" t="inlineStr"/>
    </row>
    <row r="648" ht="15" customHeight="1">
      <c r="A648" t="inlineStr">
        <is>
          <t>A 20507-2023</t>
        </is>
      </c>
      <c r="B648" s="1" t="n">
        <v>45057</v>
      </c>
      <c r="C648" s="1" t="n">
        <v>45852</v>
      </c>
      <c r="D648" t="inlineStr">
        <is>
          <t>DALARNAS LÄN</t>
        </is>
      </c>
      <c r="E648" t="inlineStr">
        <is>
          <t>MALUNG-SÄLEN</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20553-2023</t>
        </is>
      </c>
      <c r="B649" s="1" t="n">
        <v>45057</v>
      </c>
      <c r="C649" s="1" t="n">
        <v>45852</v>
      </c>
      <c r="D649" t="inlineStr">
        <is>
          <t>DALARNAS LÄN</t>
        </is>
      </c>
      <c r="E649" t="inlineStr">
        <is>
          <t>MALUNG-SÄLEN</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20706-2023</t>
        </is>
      </c>
      <c r="B650" s="1" t="n">
        <v>45058</v>
      </c>
      <c r="C650" s="1" t="n">
        <v>45852</v>
      </c>
      <c r="D650" t="inlineStr">
        <is>
          <t>DALARNAS LÄN</t>
        </is>
      </c>
      <c r="E650" t="inlineStr">
        <is>
          <t>MALUNG-SÄLEN</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20715-2023</t>
        </is>
      </c>
      <c r="B651" s="1" t="n">
        <v>45058</v>
      </c>
      <c r="C651" s="1" t="n">
        <v>45852</v>
      </c>
      <c r="D651" t="inlineStr">
        <is>
          <t>DALARNAS LÄN</t>
        </is>
      </c>
      <c r="E651" t="inlineStr">
        <is>
          <t>MALUNG-SÄLEN</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21568-2023</t>
        </is>
      </c>
      <c r="B652" s="1" t="n">
        <v>45061</v>
      </c>
      <c r="C652" s="1" t="n">
        <v>45852</v>
      </c>
      <c r="D652" t="inlineStr">
        <is>
          <t>DALARNAS LÄN</t>
        </is>
      </c>
      <c r="E652" t="inlineStr">
        <is>
          <t>MALUNG-SÄLEN</t>
        </is>
      </c>
      <c r="G652" t="n">
        <v>6.6</v>
      </c>
      <c r="H652" t="n">
        <v>0</v>
      </c>
      <c r="I652" t="n">
        <v>0</v>
      </c>
      <c r="J652" t="n">
        <v>0</v>
      </c>
      <c r="K652" t="n">
        <v>0</v>
      </c>
      <c r="L652" t="n">
        <v>0</v>
      </c>
      <c r="M652" t="n">
        <v>0</v>
      </c>
      <c r="N652" t="n">
        <v>0</v>
      </c>
      <c r="O652" t="n">
        <v>0</v>
      </c>
      <c r="P652" t="n">
        <v>0</v>
      </c>
      <c r="Q652" t="n">
        <v>0</v>
      </c>
      <c r="R652" s="2" t="inlineStr"/>
    </row>
    <row r="653" ht="15" customHeight="1">
      <c r="A653" t="inlineStr">
        <is>
          <t>A 21279-2023</t>
        </is>
      </c>
      <c r="B653" s="1" t="n">
        <v>45062</v>
      </c>
      <c r="C653" s="1" t="n">
        <v>45852</v>
      </c>
      <c r="D653" t="inlineStr">
        <is>
          <t>DALARNAS LÄN</t>
        </is>
      </c>
      <c r="E653" t="inlineStr">
        <is>
          <t>MALUNG-SÄLEN</t>
        </is>
      </c>
      <c r="G653" t="n">
        <v>1.1</v>
      </c>
      <c r="H653" t="n">
        <v>0</v>
      </c>
      <c r="I653" t="n">
        <v>0</v>
      </c>
      <c r="J653" t="n">
        <v>0</v>
      </c>
      <c r="K653" t="n">
        <v>0</v>
      </c>
      <c r="L653" t="n">
        <v>0</v>
      </c>
      <c r="M653" t="n">
        <v>0</v>
      </c>
      <c r="N653" t="n">
        <v>0</v>
      </c>
      <c r="O653" t="n">
        <v>0</v>
      </c>
      <c r="P653" t="n">
        <v>0</v>
      </c>
      <c r="Q653" t="n">
        <v>0</v>
      </c>
      <c r="R653" s="2" t="inlineStr"/>
    </row>
    <row r="654" ht="15" customHeight="1">
      <c r="A654" t="inlineStr">
        <is>
          <t>A 21486-2023</t>
        </is>
      </c>
      <c r="B654" s="1" t="n">
        <v>45063</v>
      </c>
      <c r="C654" s="1" t="n">
        <v>45852</v>
      </c>
      <c r="D654" t="inlineStr">
        <is>
          <t>DALARNAS LÄN</t>
        </is>
      </c>
      <c r="E654" t="inlineStr">
        <is>
          <t>MALUNG-SÄLEN</t>
        </is>
      </c>
      <c r="G654" t="n">
        <v>1</v>
      </c>
      <c r="H654" t="n">
        <v>0</v>
      </c>
      <c r="I654" t="n">
        <v>0</v>
      </c>
      <c r="J654" t="n">
        <v>0</v>
      </c>
      <c r="K654" t="n">
        <v>0</v>
      </c>
      <c r="L654" t="n">
        <v>0</v>
      </c>
      <c r="M654" t="n">
        <v>0</v>
      </c>
      <c r="N654" t="n">
        <v>0</v>
      </c>
      <c r="O654" t="n">
        <v>0</v>
      </c>
      <c r="P654" t="n">
        <v>0</v>
      </c>
      <c r="Q654" t="n">
        <v>0</v>
      </c>
      <c r="R654" s="2" t="inlineStr"/>
    </row>
    <row r="655" ht="15" customHeight="1">
      <c r="A655" t="inlineStr">
        <is>
          <t>A 21460-2023</t>
        </is>
      </c>
      <c r="B655" s="1" t="n">
        <v>45063</v>
      </c>
      <c r="C655" s="1" t="n">
        <v>45852</v>
      </c>
      <c r="D655" t="inlineStr">
        <is>
          <t>DALARNAS LÄN</t>
        </is>
      </c>
      <c r="E655" t="inlineStr">
        <is>
          <t>MALUNG-SÄLEN</t>
        </is>
      </c>
      <c r="G655" t="n">
        <v>3</v>
      </c>
      <c r="H655" t="n">
        <v>0</v>
      </c>
      <c r="I655" t="n">
        <v>0</v>
      </c>
      <c r="J655" t="n">
        <v>0</v>
      </c>
      <c r="K655" t="n">
        <v>0</v>
      </c>
      <c r="L655" t="n">
        <v>0</v>
      </c>
      <c r="M655" t="n">
        <v>0</v>
      </c>
      <c r="N655" t="n">
        <v>0</v>
      </c>
      <c r="O655" t="n">
        <v>0</v>
      </c>
      <c r="P655" t="n">
        <v>0</v>
      </c>
      <c r="Q655" t="n">
        <v>0</v>
      </c>
      <c r="R655" s="2" t="inlineStr"/>
    </row>
    <row r="656" ht="15" customHeight="1">
      <c r="A656" t="inlineStr">
        <is>
          <t>A 22107-2023</t>
        </is>
      </c>
      <c r="B656" s="1" t="n">
        <v>45068</v>
      </c>
      <c r="C656" s="1" t="n">
        <v>45852</v>
      </c>
      <c r="D656" t="inlineStr">
        <is>
          <t>DALARNAS LÄN</t>
        </is>
      </c>
      <c r="E656" t="inlineStr">
        <is>
          <t>MALUNG-SÄLEN</t>
        </is>
      </c>
      <c r="G656" t="n">
        <v>8</v>
      </c>
      <c r="H656" t="n">
        <v>0</v>
      </c>
      <c r="I656" t="n">
        <v>0</v>
      </c>
      <c r="J656" t="n">
        <v>0</v>
      </c>
      <c r="K656" t="n">
        <v>0</v>
      </c>
      <c r="L656" t="n">
        <v>0</v>
      </c>
      <c r="M656" t="n">
        <v>0</v>
      </c>
      <c r="N656" t="n">
        <v>0</v>
      </c>
      <c r="O656" t="n">
        <v>0</v>
      </c>
      <c r="P656" t="n">
        <v>0</v>
      </c>
      <c r="Q656" t="n">
        <v>0</v>
      </c>
      <c r="R656" s="2" t="inlineStr"/>
    </row>
    <row r="657" ht="15" customHeight="1">
      <c r="A657" t="inlineStr">
        <is>
          <t>A 22131-2023</t>
        </is>
      </c>
      <c r="B657" s="1" t="n">
        <v>45068</v>
      </c>
      <c r="C657" s="1" t="n">
        <v>45852</v>
      </c>
      <c r="D657" t="inlineStr">
        <is>
          <t>DALARNAS LÄN</t>
        </is>
      </c>
      <c r="E657" t="inlineStr">
        <is>
          <t>MALUNG-SÄLEN</t>
        </is>
      </c>
      <c r="G657" t="n">
        <v>5.6</v>
      </c>
      <c r="H657" t="n">
        <v>0</v>
      </c>
      <c r="I657" t="n">
        <v>0</v>
      </c>
      <c r="J657" t="n">
        <v>0</v>
      </c>
      <c r="K657" t="n">
        <v>0</v>
      </c>
      <c r="L657" t="n">
        <v>0</v>
      </c>
      <c r="M657" t="n">
        <v>0</v>
      </c>
      <c r="N657" t="n">
        <v>0</v>
      </c>
      <c r="O657" t="n">
        <v>0</v>
      </c>
      <c r="P657" t="n">
        <v>0</v>
      </c>
      <c r="Q657" t="n">
        <v>0</v>
      </c>
      <c r="R657" s="2" t="inlineStr"/>
    </row>
    <row r="658" ht="15" customHeight="1">
      <c r="A658" t="inlineStr">
        <is>
          <t>A 22622-2023</t>
        </is>
      </c>
      <c r="B658" s="1" t="n">
        <v>45071</v>
      </c>
      <c r="C658" s="1" t="n">
        <v>45852</v>
      </c>
      <c r="D658" t="inlineStr">
        <is>
          <t>DALARNAS LÄN</t>
        </is>
      </c>
      <c r="E658" t="inlineStr">
        <is>
          <t>MALUNG-SÄLEN</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22640-2023</t>
        </is>
      </c>
      <c r="B659" s="1" t="n">
        <v>45071</v>
      </c>
      <c r="C659" s="1" t="n">
        <v>45852</v>
      </c>
      <c r="D659" t="inlineStr">
        <is>
          <t>DALARNAS LÄN</t>
        </is>
      </c>
      <c r="E659" t="inlineStr">
        <is>
          <t>MALUNG-SÄLEN</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22772-2023</t>
        </is>
      </c>
      <c r="B660" s="1" t="n">
        <v>45072</v>
      </c>
      <c r="C660" s="1" t="n">
        <v>45852</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22780-2023</t>
        </is>
      </c>
      <c r="B661" s="1" t="n">
        <v>45072</v>
      </c>
      <c r="C661" s="1" t="n">
        <v>45852</v>
      </c>
      <c r="D661" t="inlineStr">
        <is>
          <t>DALARNAS LÄN</t>
        </is>
      </c>
      <c r="E661" t="inlineStr">
        <is>
          <t>MALUNG-SÄLEN</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22770-2023</t>
        </is>
      </c>
      <c r="B662" s="1" t="n">
        <v>45072</v>
      </c>
      <c r="C662" s="1" t="n">
        <v>45852</v>
      </c>
      <c r="D662" t="inlineStr">
        <is>
          <t>DALARNAS LÄN</t>
        </is>
      </c>
      <c r="E662" t="inlineStr">
        <is>
          <t>MALUNG-SÄLEN</t>
        </is>
      </c>
      <c r="G662" t="n">
        <v>9.9</v>
      </c>
      <c r="H662" t="n">
        <v>0</v>
      </c>
      <c r="I662" t="n">
        <v>0</v>
      </c>
      <c r="J662" t="n">
        <v>0</v>
      </c>
      <c r="K662" t="n">
        <v>0</v>
      </c>
      <c r="L662" t="n">
        <v>0</v>
      </c>
      <c r="M662" t="n">
        <v>0</v>
      </c>
      <c r="N662" t="n">
        <v>0</v>
      </c>
      <c r="O662" t="n">
        <v>0</v>
      </c>
      <c r="P662" t="n">
        <v>0</v>
      </c>
      <c r="Q662" t="n">
        <v>0</v>
      </c>
      <c r="R662" s="2" t="inlineStr"/>
    </row>
    <row r="663" ht="15" customHeight="1">
      <c r="A663" t="inlineStr">
        <is>
          <t>A 22769-2023</t>
        </is>
      </c>
      <c r="B663" s="1" t="n">
        <v>45072</v>
      </c>
      <c r="C663" s="1" t="n">
        <v>45852</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22773-2023</t>
        </is>
      </c>
      <c r="B664" s="1" t="n">
        <v>45072</v>
      </c>
      <c r="C664" s="1" t="n">
        <v>45852</v>
      </c>
      <c r="D664" t="inlineStr">
        <is>
          <t>DALARNAS LÄN</t>
        </is>
      </c>
      <c r="E664" t="inlineStr">
        <is>
          <t>MALUNG-SÄLEN</t>
        </is>
      </c>
      <c r="G664" t="n">
        <v>4.4</v>
      </c>
      <c r="H664" t="n">
        <v>0</v>
      </c>
      <c r="I664" t="n">
        <v>0</v>
      </c>
      <c r="J664" t="n">
        <v>0</v>
      </c>
      <c r="K664" t="n">
        <v>0</v>
      </c>
      <c r="L664" t="n">
        <v>0</v>
      </c>
      <c r="M664" t="n">
        <v>0</v>
      </c>
      <c r="N664" t="n">
        <v>0</v>
      </c>
      <c r="O664" t="n">
        <v>0</v>
      </c>
      <c r="P664" t="n">
        <v>0</v>
      </c>
      <c r="Q664" t="n">
        <v>0</v>
      </c>
      <c r="R664" s="2" t="inlineStr"/>
    </row>
    <row r="665" ht="15" customHeight="1">
      <c r="A665" t="inlineStr">
        <is>
          <t>A 22811-2023</t>
        </is>
      </c>
      <c r="B665" s="1" t="n">
        <v>45072</v>
      </c>
      <c r="C665" s="1" t="n">
        <v>45852</v>
      </c>
      <c r="D665" t="inlineStr">
        <is>
          <t>DALARNAS LÄN</t>
        </is>
      </c>
      <c r="E665" t="inlineStr">
        <is>
          <t>MALUNG-SÄLEN</t>
        </is>
      </c>
      <c r="F665" t="inlineStr">
        <is>
          <t>Bergvik skog öst AB</t>
        </is>
      </c>
      <c r="G665" t="n">
        <v>5.8</v>
      </c>
      <c r="H665" t="n">
        <v>0</v>
      </c>
      <c r="I665" t="n">
        <v>0</v>
      </c>
      <c r="J665" t="n">
        <v>0</v>
      </c>
      <c r="K665" t="n">
        <v>0</v>
      </c>
      <c r="L665" t="n">
        <v>0</v>
      </c>
      <c r="M665" t="n">
        <v>0</v>
      </c>
      <c r="N665" t="n">
        <v>0</v>
      </c>
      <c r="O665" t="n">
        <v>0</v>
      </c>
      <c r="P665" t="n">
        <v>0</v>
      </c>
      <c r="Q665" t="n">
        <v>0</v>
      </c>
      <c r="R665" s="2" t="inlineStr"/>
    </row>
    <row r="666" ht="15" customHeight="1">
      <c r="A666" t="inlineStr">
        <is>
          <t>A 22771-2023</t>
        </is>
      </c>
      <c r="B666" s="1" t="n">
        <v>45072</v>
      </c>
      <c r="C666" s="1" t="n">
        <v>45852</v>
      </c>
      <c r="D666" t="inlineStr">
        <is>
          <t>DALARNAS LÄN</t>
        </is>
      </c>
      <c r="E666" t="inlineStr">
        <is>
          <t>MALUNG-SÄLEN</t>
        </is>
      </c>
      <c r="G666" t="n">
        <v>1.5</v>
      </c>
      <c r="H666" t="n">
        <v>0</v>
      </c>
      <c r="I666" t="n">
        <v>0</v>
      </c>
      <c r="J666" t="n">
        <v>0</v>
      </c>
      <c r="K666" t="n">
        <v>0</v>
      </c>
      <c r="L666" t="n">
        <v>0</v>
      </c>
      <c r="M666" t="n">
        <v>0</v>
      </c>
      <c r="N666" t="n">
        <v>0</v>
      </c>
      <c r="O666" t="n">
        <v>0</v>
      </c>
      <c r="P666" t="n">
        <v>0</v>
      </c>
      <c r="Q666" t="n">
        <v>0</v>
      </c>
      <c r="R666" s="2" t="inlineStr"/>
    </row>
    <row r="667" ht="15" customHeight="1">
      <c r="A667" t="inlineStr">
        <is>
          <t>A 23422-2023</t>
        </is>
      </c>
      <c r="B667" s="1" t="n">
        <v>45072</v>
      </c>
      <c r="C667" s="1" t="n">
        <v>45852</v>
      </c>
      <c r="D667" t="inlineStr">
        <is>
          <t>DALARNAS LÄN</t>
        </is>
      </c>
      <c r="E667" t="inlineStr">
        <is>
          <t>MALUNG-SÄLEN</t>
        </is>
      </c>
      <c r="G667" t="n">
        <v>9.4</v>
      </c>
      <c r="H667" t="n">
        <v>0</v>
      </c>
      <c r="I667" t="n">
        <v>0</v>
      </c>
      <c r="J667" t="n">
        <v>0</v>
      </c>
      <c r="K667" t="n">
        <v>0</v>
      </c>
      <c r="L667" t="n">
        <v>0</v>
      </c>
      <c r="M667" t="n">
        <v>0</v>
      </c>
      <c r="N667" t="n">
        <v>0</v>
      </c>
      <c r="O667" t="n">
        <v>0</v>
      </c>
      <c r="P667" t="n">
        <v>0</v>
      </c>
      <c r="Q667" t="n">
        <v>0</v>
      </c>
      <c r="R667" s="2" t="inlineStr"/>
    </row>
    <row r="668" ht="15" customHeight="1">
      <c r="A668" t="inlineStr">
        <is>
          <t>A 23174-2023</t>
        </is>
      </c>
      <c r="B668" s="1" t="n">
        <v>45075</v>
      </c>
      <c r="C668" s="1" t="n">
        <v>45852</v>
      </c>
      <c r="D668" t="inlineStr">
        <is>
          <t>DALARNAS LÄN</t>
        </is>
      </c>
      <c r="E668" t="inlineStr">
        <is>
          <t>MALUNG-SÄLEN</t>
        </is>
      </c>
      <c r="F668" t="inlineStr">
        <is>
          <t>Bergvik skog öst AB</t>
        </is>
      </c>
      <c r="G668" t="n">
        <v>16.8</v>
      </c>
      <c r="H668" t="n">
        <v>0</v>
      </c>
      <c r="I668" t="n">
        <v>0</v>
      </c>
      <c r="J668" t="n">
        <v>0</v>
      </c>
      <c r="K668" t="n">
        <v>0</v>
      </c>
      <c r="L668" t="n">
        <v>0</v>
      </c>
      <c r="M668" t="n">
        <v>0</v>
      </c>
      <c r="N668" t="n">
        <v>0</v>
      </c>
      <c r="O668" t="n">
        <v>0</v>
      </c>
      <c r="P668" t="n">
        <v>0</v>
      </c>
      <c r="Q668" t="n">
        <v>0</v>
      </c>
      <c r="R668" s="2" t="inlineStr"/>
    </row>
    <row r="669" ht="15" customHeight="1">
      <c r="A669" t="inlineStr">
        <is>
          <t>A 23320-2023</t>
        </is>
      </c>
      <c r="B669" s="1" t="n">
        <v>45076</v>
      </c>
      <c r="C669" s="1" t="n">
        <v>45852</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23452-2023</t>
        </is>
      </c>
      <c r="B670" s="1" t="n">
        <v>45076</v>
      </c>
      <c r="C670" s="1" t="n">
        <v>45852</v>
      </c>
      <c r="D670" t="inlineStr">
        <is>
          <t>DALARNAS LÄN</t>
        </is>
      </c>
      <c r="E670" t="inlineStr">
        <is>
          <t>MALUNG-SÄLEN</t>
        </is>
      </c>
      <c r="F670" t="inlineStr">
        <is>
          <t>Bergvik skog öst AB</t>
        </is>
      </c>
      <c r="G670" t="n">
        <v>6.2</v>
      </c>
      <c r="H670" t="n">
        <v>0</v>
      </c>
      <c r="I670" t="n">
        <v>0</v>
      </c>
      <c r="J670" t="n">
        <v>0</v>
      </c>
      <c r="K670" t="n">
        <v>0</v>
      </c>
      <c r="L670" t="n">
        <v>0</v>
      </c>
      <c r="M670" t="n">
        <v>0</v>
      </c>
      <c r="N670" t="n">
        <v>0</v>
      </c>
      <c r="O670" t="n">
        <v>0</v>
      </c>
      <c r="P670" t="n">
        <v>0</v>
      </c>
      <c r="Q670" t="n">
        <v>0</v>
      </c>
      <c r="R670" s="2" t="inlineStr"/>
    </row>
    <row r="671" ht="15" customHeight="1">
      <c r="A671" t="inlineStr">
        <is>
          <t>A 23663-2023</t>
        </is>
      </c>
      <c r="B671" s="1" t="n">
        <v>45077</v>
      </c>
      <c r="C671" s="1" t="n">
        <v>45852</v>
      </c>
      <c r="D671" t="inlineStr">
        <is>
          <t>DALARNAS LÄN</t>
        </is>
      </c>
      <c r="E671" t="inlineStr">
        <is>
          <t>MALUNG-SÄLEN</t>
        </is>
      </c>
      <c r="G671" t="n">
        <v>2.5</v>
      </c>
      <c r="H671" t="n">
        <v>0</v>
      </c>
      <c r="I671" t="n">
        <v>0</v>
      </c>
      <c r="J671" t="n">
        <v>0</v>
      </c>
      <c r="K671" t="n">
        <v>0</v>
      </c>
      <c r="L671" t="n">
        <v>0</v>
      </c>
      <c r="M671" t="n">
        <v>0</v>
      </c>
      <c r="N671" t="n">
        <v>0</v>
      </c>
      <c r="O671" t="n">
        <v>0</v>
      </c>
      <c r="P671" t="n">
        <v>0</v>
      </c>
      <c r="Q671" t="n">
        <v>0</v>
      </c>
      <c r="R671" s="2" t="inlineStr"/>
    </row>
    <row r="672" ht="15" customHeight="1">
      <c r="A672" t="inlineStr">
        <is>
          <t>A 24477-2023</t>
        </is>
      </c>
      <c r="B672" s="1" t="n">
        <v>45077</v>
      </c>
      <c r="C672" s="1" t="n">
        <v>45852</v>
      </c>
      <c r="D672" t="inlineStr">
        <is>
          <t>DALARNAS LÄN</t>
        </is>
      </c>
      <c r="E672" t="inlineStr">
        <is>
          <t>MALUNG-SÄLEN</t>
        </is>
      </c>
      <c r="G672" t="n">
        <v>4.7</v>
      </c>
      <c r="H672" t="n">
        <v>0</v>
      </c>
      <c r="I672" t="n">
        <v>0</v>
      </c>
      <c r="J672" t="n">
        <v>0</v>
      </c>
      <c r="K672" t="n">
        <v>0</v>
      </c>
      <c r="L672" t="n">
        <v>0</v>
      </c>
      <c r="M672" t="n">
        <v>0</v>
      </c>
      <c r="N672" t="n">
        <v>0</v>
      </c>
      <c r="O672" t="n">
        <v>0</v>
      </c>
      <c r="P672" t="n">
        <v>0</v>
      </c>
      <c r="Q672" t="n">
        <v>0</v>
      </c>
      <c r="R672" s="2" t="inlineStr"/>
    </row>
    <row r="673" ht="15" customHeight="1">
      <c r="A673" t="inlineStr">
        <is>
          <t>A 23800-2023</t>
        </is>
      </c>
      <c r="B673" s="1" t="n">
        <v>45078</v>
      </c>
      <c r="C673" s="1" t="n">
        <v>45852</v>
      </c>
      <c r="D673" t="inlineStr">
        <is>
          <t>DALARNAS LÄN</t>
        </is>
      </c>
      <c r="E673" t="inlineStr">
        <is>
          <t>MALUNG-SÄLEN</t>
        </is>
      </c>
      <c r="G673" t="n">
        <v>6.3</v>
      </c>
      <c r="H673" t="n">
        <v>0</v>
      </c>
      <c r="I673" t="n">
        <v>0</v>
      </c>
      <c r="J673" t="n">
        <v>0</v>
      </c>
      <c r="K673" t="n">
        <v>0</v>
      </c>
      <c r="L673" t="n">
        <v>0</v>
      </c>
      <c r="M673" t="n">
        <v>0</v>
      </c>
      <c r="N673" t="n">
        <v>0</v>
      </c>
      <c r="O673" t="n">
        <v>0</v>
      </c>
      <c r="P673" t="n">
        <v>0</v>
      </c>
      <c r="Q673" t="n">
        <v>0</v>
      </c>
      <c r="R673" s="2" t="inlineStr"/>
    </row>
    <row r="674" ht="15" customHeight="1">
      <c r="A674" t="inlineStr">
        <is>
          <t>A 23923-2023</t>
        </is>
      </c>
      <c r="B674" s="1" t="n">
        <v>45078</v>
      </c>
      <c r="C674" s="1" t="n">
        <v>45852</v>
      </c>
      <c r="D674" t="inlineStr">
        <is>
          <t>DALARNAS LÄN</t>
        </is>
      </c>
      <c r="E674" t="inlineStr">
        <is>
          <t>MALUNG-SÄLEN</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23953-2023</t>
        </is>
      </c>
      <c r="B675" s="1" t="n">
        <v>45078</v>
      </c>
      <c r="C675" s="1" t="n">
        <v>45852</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23941-2023</t>
        </is>
      </c>
      <c r="B676" s="1" t="n">
        <v>45078</v>
      </c>
      <c r="C676" s="1" t="n">
        <v>45852</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23989-2023</t>
        </is>
      </c>
      <c r="B677" s="1" t="n">
        <v>45078</v>
      </c>
      <c r="C677" s="1" t="n">
        <v>45852</v>
      </c>
      <c r="D677" t="inlineStr">
        <is>
          <t>DALARNAS LÄN</t>
        </is>
      </c>
      <c r="E677" t="inlineStr">
        <is>
          <t>MALUNG-SÄLEN</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24108-2023</t>
        </is>
      </c>
      <c r="B678" s="1" t="n">
        <v>45079</v>
      </c>
      <c r="C678" s="1" t="n">
        <v>45852</v>
      </c>
      <c r="D678" t="inlineStr">
        <is>
          <t>DALARNAS LÄN</t>
        </is>
      </c>
      <c r="E678" t="inlineStr">
        <is>
          <t>MALUNG-SÄLEN</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24132-2023</t>
        </is>
      </c>
      <c r="B679" s="1" t="n">
        <v>45079</v>
      </c>
      <c r="C679" s="1" t="n">
        <v>45852</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24215-2023</t>
        </is>
      </c>
      <c r="B680" s="1" t="n">
        <v>45079</v>
      </c>
      <c r="C680" s="1" t="n">
        <v>45852</v>
      </c>
      <c r="D680" t="inlineStr">
        <is>
          <t>DALARNAS LÄN</t>
        </is>
      </c>
      <c r="E680" t="inlineStr">
        <is>
          <t>MALUNG-SÄLEN</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24114-2023</t>
        </is>
      </c>
      <c r="B681" s="1" t="n">
        <v>45079</v>
      </c>
      <c r="C681" s="1" t="n">
        <v>45852</v>
      </c>
      <c r="D681" t="inlineStr">
        <is>
          <t>DALARNAS LÄN</t>
        </is>
      </c>
      <c r="E681" t="inlineStr">
        <is>
          <t>MALUNG-SÄLEN</t>
        </is>
      </c>
      <c r="F681" t="inlineStr">
        <is>
          <t>Bergvik skog öst AB</t>
        </is>
      </c>
      <c r="G681" t="n">
        <v>1.7</v>
      </c>
      <c r="H681" t="n">
        <v>0</v>
      </c>
      <c r="I681" t="n">
        <v>0</v>
      </c>
      <c r="J681" t="n">
        <v>0</v>
      </c>
      <c r="K681" t="n">
        <v>0</v>
      </c>
      <c r="L681" t="n">
        <v>0</v>
      </c>
      <c r="M681" t="n">
        <v>0</v>
      </c>
      <c r="N681" t="n">
        <v>0</v>
      </c>
      <c r="O681" t="n">
        <v>0</v>
      </c>
      <c r="P681" t="n">
        <v>0</v>
      </c>
      <c r="Q681" t="n">
        <v>0</v>
      </c>
      <c r="R681" s="2" t="inlineStr"/>
    </row>
    <row r="682" ht="15" customHeight="1">
      <c r="A682" t="inlineStr">
        <is>
          <t>A 24637-2023</t>
        </is>
      </c>
      <c r="B682" s="1" t="n">
        <v>45084</v>
      </c>
      <c r="C682" s="1" t="n">
        <v>45852</v>
      </c>
      <c r="D682" t="inlineStr">
        <is>
          <t>DALARNAS LÄN</t>
        </is>
      </c>
      <c r="E682" t="inlineStr">
        <is>
          <t>MALUNG-SÄLEN</t>
        </is>
      </c>
      <c r="F682" t="inlineStr">
        <is>
          <t>Bergvik skog öst AB</t>
        </is>
      </c>
      <c r="G682" t="n">
        <v>1.9</v>
      </c>
      <c r="H682" t="n">
        <v>0</v>
      </c>
      <c r="I682" t="n">
        <v>0</v>
      </c>
      <c r="J682" t="n">
        <v>0</v>
      </c>
      <c r="K682" t="n">
        <v>0</v>
      </c>
      <c r="L682" t="n">
        <v>0</v>
      </c>
      <c r="M682" t="n">
        <v>0</v>
      </c>
      <c r="N682" t="n">
        <v>0</v>
      </c>
      <c r="O682" t="n">
        <v>0</v>
      </c>
      <c r="P682" t="n">
        <v>0</v>
      </c>
      <c r="Q682" t="n">
        <v>0</v>
      </c>
      <c r="R682" s="2" t="inlineStr"/>
    </row>
    <row r="683" ht="15" customHeight="1">
      <c r="A683" t="inlineStr">
        <is>
          <t>A 24738-2023</t>
        </is>
      </c>
      <c r="B683" s="1" t="n">
        <v>45084</v>
      </c>
      <c r="C683" s="1" t="n">
        <v>45852</v>
      </c>
      <c r="D683" t="inlineStr">
        <is>
          <t>DALARNAS LÄN</t>
        </is>
      </c>
      <c r="E683" t="inlineStr">
        <is>
          <t>MALUNG-SÄLEN</t>
        </is>
      </c>
      <c r="F683" t="inlineStr">
        <is>
          <t>Allmännings- och besparingsskogar</t>
        </is>
      </c>
      <c r="G683" t="n">
        <v>22.5</v>
      </c>
      <c r="H683" t="n">
        <v>0</v>
      </c>
      <c r="I683" t="n">
        <v>0</v>
      </c>
      <c r="J683" t="n">
        <v>0</v>
      </c>
      <c r="K683" t="n">
        <v>0</v>
      </c>
      <c r="L683" t="n">
        <v>0</v>
      </c>
      <c r="M683" t="n">
        <v>0</v>
      </c>
      <c r="N683" t="n">
        <v>0</v>
      </c>
      <c r="O683" t="n">
        <v>0</v>
      </c>
      <c r="P683" t="n">
        <v>0</v>
      </c>
      <c r="Q683" t="n">
        <v>0</v>
      </c>
      <c r="R683" s="2" t="inlineStr"/>
    </row>
    <row r="684" ht="15" customHeight="1">
      <c r="A684" t="inlineStr">
        <is>
          <t>A 24706-2023</t>
        </is>
      </c>
      <c r="B684" s="1" t="n">
        <v>45084</v>
      </c>
      <c r="C684" s="1" t="n">
        <v>45852</v>
      </c>
      <c r="D684" t="inlineStr">
        <is>
          <t>DALARNAS LÄN</t>
        </is>
      </c>
      <c r="E684" t="inlineStr">
        <is>
          <t>MALUNG-SÄLEN</t>
        </is>
      </c>
      <c r="G684" t="n">
        <v>3.6</v>
      </c>
      <c r="H684" t="n">
        <v>0</v>
      </c>
      <c r="I684" t="n">
        <v>0</v>
      </c>
      <c r="J684" t="n">
        <v>0</v>
      </c>
      <c r="K684" t="n">
        <v>0</v>
      </c>
      <c r="L684" t="n">
        <v>0</v>
      </c>
      <c r="M684" t="n">
        <v>0</v>
      </c>
      <c r="N684" t="n">
        <v>0</v>
      </c>
      <c r="O684" t="n">
        <v>0</v>
      </c>
      <c r="P684" t="n">
        <v>0</v>
      </c>
      <c r="Q684" t="n">
        <v>0</v>
      </c>
      <c r="R684" s="2" t="inlineStr"/>
    </row>
    <row r="685" ht="15" customHeight="1">
      <c r="A685" t="inlineStr">
        <is>
          <t>A 25276-2023</t>
        </is>
      </c>
      <c r="B685" s="1" t="n">
        <v>45086</v>
      </c>
      <c r="C685" s="1" t="n">
        <v>45852</v>
      </c>
      <c r="D685" t="inlineStr">
        <is>
          <t>DALARNAS LÄN</t>
        </is>
      </c>
      <c r="E685" t="inlineStr">
        <is>
          <t>MALUNG-SÄLEN</t>
        </is>
      </c>
      <c r="F685" t="inlineStr">
        <is>
          <t>Allmännings- och besparingsskogar</t>
        </is>
      </c>
      <c r="G685" t="n">
        <v>18.2</v>
      </c>
      <c r="H685" t="n">
        <v>0</v>
      </c>
      <c r="I685" t="n">
        <v>0</v>
      </c>
      <c r="J685" t="n">
        <v>0</v>
      </c>
      <c r="K685" t="n">
        <v>0</v>
      </c>
      <c r="L685" t="n">
        <v>0</v>
      </c>
      <c r="M685" t="n">
        <v>0</v>
      </c>
      <c r="N685" t="n">
        <v>0</v>
      </c>
      <c r="O685" t="n">
        <v>0</v>
      </c>
      <c r="P685" t="n">
        <v>0</v>
      </c>
      <c r="Q685" t="n">
        <v>0</v>
      </c>
      <c r="R685" s="2" t="inlineStr"/>
    </row>
    <row r="686" ht="15" customHeight="1">
      <c r="A686" t="inlineStr">
        <is>
          <t>A 25108-2023</t>
        </is>
      </c>
      <c r="B686" s="1" t="n">
        <v>45086</v>
      </c>
      <c r="C686" s="1" t="n">
        <v>45852</v>
      </c>
      <c r="D686" t="inlineStr">
        <is>
          <t>DALARNAS LÄN</t>
        </is>
      </c>
      <c r="E686" t="inlineStr">
        <is>
          <t>MALUNG-SÄLEN</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25438-2023</t>
        </is>
      </c>
      <c r="B687" s="1" t="n">
        <v>45089</v>
      </c>
      <c r="C687" s="1" t="n">
        <v>45852</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25534-2023</t>
        </is>
      </c>
      <c r="B688" s="1" t="n">
        <v>45089</v>
      </c>
      <c r="C688" s="1" t="n">
        <v>45852</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25441-2023</t>
        </is>
      </c>
      <c r="B689" s="1" t="n">
        <v>45089</v>
      </c>
      <c r="C689" s="1" t="n">
        <v>45852</v>
      </c>
      <c r="D689" t="inlineStr">
        <is>
          <t>DALARNAS LÄN</t>
        </is>
      </c>
      <c r="E689" t="inlineStr">
        <is>
          <t>MALUNG-SÄLEN</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25527-2023</t>
        </is>
      </c>
      <c r="B690" s="1" t="n">
        <v>45089</v>
      </c>
      <c r="C690" s="1" t="n">
        <v>45852</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25553-2023</t>
        </is>
      </c>
      <c r="B691" s="1" t="n">
        <v>45089</v>
      </c>
      <c r="C691" s="1" t="n">
        <v>45852</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25835-2023</t>
        </is>
      </c>
      <c r="B692" s="1" t="n">
        <v>45090</v>
      </c>
      <c r="C692" s="1" t="n">
        <v>45852</v>
      </c>
      <c r="D692" t="inlineStr">
        <is>
          <t>DALARNAS LÄN</t>
        </is>
      </c>
      <c r="E692" t="inlineStr">
        <is>
          <t>MALUNG-SÄLEN</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25778-2023</t>
        </is>
      </c>
      <c r="B693" s="1" t="n">
        <v>45090</v>
      </c>
      <c r="C693" s="1" t="n">
        <v>45852</v>
      </c>
      <c r="D693" t="inlineStr">
        <is>
          <t>DALARNAS LÄN</t>
        </is>
      </c>
      <c r="E693" t="inlineStr">
        <is>
          <t>MALUNG-SÄLEN</t>
        </is>
      </c>
      <c r="G693" t="n">
        <v>8.1</v>
      </c>
      <c r="H693" t="n">
        <v>0</v>
      </c>
      <c r="I693" t="n">
        <v>0</v>
      </c>
      <c r="J693" t="n">
        <v>0</v>
      </c>
      <c r="K693" t="n">
        <v>0</v>
      </c>
      <c r="L693" t="n">
        <v>0</v>
      </c>
      <c r="M693" t="n">
        <v>0</v>
      </c>
      <c r="N693" t="n">
        <v>0</v>
      </c>
      <c r="O693" t="n">
        <v>0</v>
      </c>
      <c r="P693" t="n">
        <v>0</v>
      </c>
      <c r="Q693" t="n">
        <v>0</v>
      </c>
      <c r="R693" s="2" t="inlineStr"/>
    </row>
    <row r="694" ht="15" customHeight="1">
      <c r="A694" t="inlineStr">
        <is>
          <t>A 25900-2023</t>
        </is>
      </c>
      <c r="B694" s="1" t="n">
        <v>45090</v>
      </c>
      <c r="C694" s="1" t="n">
        <v>45852</v>
      </c>
      <c r="D694" t="inlineStr">
        <is>
          <t>DALARNAS LÄN</t>
        </is>
      </c>
      <c r="E694" t="inlineStr">
        <is>
          <t>MALUNG-SÄLEN</t>
        </is>
      </c>
      <c r="G694" t="n">
        <v>2.2</v>
      </c>
      <c r="H694" t="n">
        <v>0</v>
      </c>
      <c r="I694" t="n">
        <v>0</v>
      </c>
      <c r="J694" t="n">
        <v>0</v>
      </c>
      <c r="K694" t="n">
        <v>0</v>
      </c>
      <c r="L694" t="n">
        <v>0</v>
      </c>
      <c r="M694" t="n">
        <v>0</v>
      </c>
      <c r="N694" t="n">
        <v>0</v>
      </c>
      <c r="O694" t="n">
        <v>0</v>
      </c>
      <c r="P694" t="n">
        <v>0</v>
      </c>
      <c r="Q694" t="n">
        <v>0</v>
      </c>
      <c r="R694" s="2" t="inlineStr"/>
    </row>
    <row r="695" ht="15" customHeight="1">
      <c r="A695" t="inlineStr">
        <is>
          <t>A 25842-2023</t>
        </is>
      </c>
      <c r="B695" s="1" t="n">
        <v>45090</v>
      </c>
      <c r="C695" s="1" t="n">
        <v>45852</v>
      </c>
      <c r="D695" t="inlineStr">
        <is>
          <t>DALARNAS LÄN</t>
        </is>
      </c>
      <c r="E695" t="inlineStr">
        <is>
          <t>MALUNG-SÄLEN</t>
        </is>
      </c>
      <c r="G695" t="n">
        <v>4.2</v>
      </c>
      <c r="H695" t="n">
        <v>0</v>
      </c>
      <c r="I695" t="n">
        <v>0</v>
      </c>
      <c r="J695" t="n">
        <v>0</v>
      </c>
      <c r="K695" t="n">
        <v>0</v>
      </c>
      <c r="L695" t="n">
        <v>0</v>
      </c>
      <c r="M695" t="n">
        <v>0</v>
      </c>
      <c r="N695" t="n">
        <v>0</v>
      </c>
      <c r="O695" t="n">
        <v>0</v>
      </c>
      <c r="P695" t="n">
        <v>0</v>
      </c>
      <c r="Q695" t="n">
        <v>0</v>
      </c>
      <c r="R695" s="2" t="inlineStr"/>
    </row>
    <row r="696" ht="15" customHeight="1">
      <c r="A696" t="inlineStr">
        <is>
          <t>A 25922-2023</t>
        </is>
      </c>
      <c r="B696" s="1" t="n">
        <v>45090</v>
      </c>
      <c r="C696" s="1" t="n">
        <v>45852</v>
      </c>
      <c r="D696" t="inlineStr">
        <is>
          <t>DALARNAS LÄN</t>
        </is>
      </c>
      <c r="E696" t="inlineStr">
        <is>
          <t>MALUNG-SÄLEN</t>
        </is>
      </c>
      <c r="G696" t="n">
        <v>5.2</v>
      </c>
      <c r="H696" t="n">
        <v>0</v>
      </c>
      <c r="I696" t="n">
        <v>0</v>
      </c>
      <c r="J696" t="n">
        <v>0</v>
      </c>
      <c r="K696" t="n">
        <v>0</v>
      </c>
      <c r="L696" t="n">
        <v>0</v>
      </c>
      <c r="M696" t="n">
        <v>0</v>
      </c>
      <c r="N696" t="n">
        <v>0</v>
      </c>
      <c r="O696" t="n">
        <v>0</v>
      </c>
      <c r="P696" t="n">
        <v>0</v>
      </c>
      <c r="Q696" t="n">
        <v>0</v>
      </c>
      <c r="R696" s="2" t="inlineStr"/>
    </row>
    <row r="697" ht="15" customHeight="1">
      <c r="A697" t="inlineStr">
        <is>
          <t>A 26813-2023</t>
        </is>
      </c>
      <c r="B697" s="1" t="n">
        <v>45090</v>
      </c>
      <c r="C697" s="1" t="n">
        <v>45852</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26542-2023</t>
        </is>
      </c>
      <c r="B698" s="1" t="n">
        <v>45092</v>
      </c>
      <c r="C698" s="1" t="n">
        <v>45852</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26528-2023</t>
        </is>
      </c>
      <c r="B699" s="1" t="n">
        <v>45092</v>
      </c>
      <c r="C699" s="1" t="n">
        <v>45852</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26768-2023</t>
        </is>
      </c>
      <c r="B700" s="1" t="n">
        <v>45093</v>
      </c>
      <c r="C700" s="1" t="n">
        <v>45852</v>
      </c>
      <c r="D700" t="inlineStr">
        <is>
          <t>DALARNAS LÄN</t>
        </is>
      </c>
      <c r="E700" t="inlineStr">
        <is>
          <t>MALUNG-SÄLEN</t>
        </is>
      </c>
      <c r="F700" t="inlineStr">
        <is>
          <t>Bergvik skog öst AB</t>
        </is>
      </c>
      <c r="G700" t="n">
        <v>18.9</v>
      </c>
      <c r="H700" t="n">
        <v>0</v>
      </c>
      <c r="I700" t="n">
        <v>0</v>
      </c>
      <c r="J700" t="n">
        <v>0</v>
      </c>
      <c r="K700" t="n">
        <v>0</v>
      </c>
      <c r="L700" t="n">
        <v>0</v>
      </c>
      <c r="M700" t="n">
        <v>0</v>
      </c>
      <c r="N700" t="n">
        <v>0</v>
      </c>
      <c r="O700" t="n">
        <v>0</v>
      </c>
      <c r="P700" t="n">
        <v>0</v>
      </c>
      <c r="Q700" t="n">
        <v>0</v>
      </c>
      <c r="R700" s="2" t="inlineStr"/>
    </row>
    <row r="701" ht="15" customHeight="1">
      <c r="A701" t="inlineStr">
        <is>
          <t>A 26752-2023</t>
        </is>
      </c>
      <c r="B701" s="1" t="n">
        <v>45093</v>
      </c>
      <c r="C701" s="1" t="n">
        <v>45852</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27160-2023</t>
        </is>
      </c>
      <c r="B702" s="1" t="n">
        <v>45096</v>
      </c>
      <c r="C702" s="1" t="n">
        <v>45852</v>
      </c>
      <c r="D702" t="inlineStr">
        <is>
          <t>DALARNAS LÄN</t>
        </is>
      </c>
      <c r="E702" t="inlineStr">
        <is>
          <t>MALUNG-SÄLEN</t>
        </is>
      </c>
      <c r="G702" t="n">
        <v>6.5</v>
      </c>
      <c r="H702" t="n">
        <v>0</v>
      </c>
      <c r="I702" t="n">
        <v>0</v>
      </c>
      <c r="J702" t="n">
        <v>0</v>
      </c>
      <c r="K702" t="n">
        <v>0</v>
      </c>
      <c r="L702" t="n">
        <v>0</v>
      </c>
      <c r="M702" t="n">
        <v>0</v>
      </c>
      <c r="N702" t="n">
        <v>0</v>
      </c>
      <c r="O702" t="n">
        <v>0</v>
      </c>
      <c r="P702" t="n">
        <v>0</v>
      </c>
      <c r="Q702" t="n">
        <v>0</v>
      </c>
      <c r="R702" s="2" t="inlineStr"/>
    </row>
    <row r="703" ht="15" customHeight="1">
      <c r="A703" t="inlineStr">
        <is>
          <t>A 28621-2023</t>
        </is>
      </c>
      <c r="B703" s="1" t="n">
        <v>45096</v>
      </c>
      <c r="C703" s="1" t="n">
        <v>45852</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27561-2023</t>
        </is>
      </c>
      <c r="B704" s="1" t="n">
        <v>45097</v>
      </c>
      <c r="C704" s="1" t="n">
        <v>45852</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27500-2023</t>
        </is>
      </c>
      <c r="B705" s="1" t="n">
        <v>45097</v>
      </c>
      <c r="C705" s="1" t="n">
        <v>45852</v>
      </c>
      <c r="D705" t="inlineStr">
        <is>
          <t>DALARNAS LÄN</t>
        </is>
      </c>
      <c r="E705" t="inlineStr">
        <is>
          <t>MALUNG-SÄLEN</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27559-2023</t>
        </is>
      </c>
      <c r="B706" s="1" t="n">
        <v>45097</v>
      </c>
      <c r="C706" s="1" t="n">
        <v>45852</v>
      </c>
      <c r="D706" t="inlineStr">
        <is>
          <t>DALARNAS LÄN</t>
        </is>
      </c>
      <c r="E706" t="inlineStr">
        <is>
          <t>MALUNG-SÄLEN</t>
        </is>
      </c>
      <c r="G706" t="n">
        <v>5.3</v>
      </c>
      <c r="H706" t="n">
        <v>0</v>
      </c>
      <c r="I706" t="n">
        <v>0</v>
      </c>
      <c r="J706" t="n">
        <v>0</v>
      </c>
      <c r="K706" t="n">
        <v>0</v>
      </c>
      <c r="L706" t="n">
        <v>0</v>
      </c>
      <c r="M706" t="n">
        <v>0</v>
      </c>
      <c r="N706" t="n">
        <v>0</v>
      </c>
      <c r="O706" t="n">
        <v>0</v>
      </c>
      <c r="P706" t="n">
        <v>0</v>
      </c>
      <c r="Q706" t="n">
        <v>0</v>
      </c>
      <c r="R706" s="2" t="inlineStr"/>
    </row>
    <row r="707" ht="15" customHeight="1">
      <c r="A707" t="inlineStr">
        <is>
          <t>A 28198-2023</t>
        </is>
      </c>
      <c r="B707" s="1" t="n">
        <v>45099</v>
      </c>
      <c r="C707" s="1" t="n">
        <v>45852</v>
      </c>
      <c r="D707" t="inlineStr">
        <is>
          <t>DALARNAS LÄN</t>
        </is>
      </c>
      <c r="E707" t="inlineStr">
        <is>
          <t>MALUNG-SÄLEN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28235-2023</t>
        </is>
      </c>
      <c r="B708" s="1" t="n">
        <v>45099</v>
      </c>
      <c r="C708" s="1" t="n">
        <v>45852</v>
      </c>
      <c r="D708" t="inlineStr">
        <is>
          <t>DALARNAS LÄN</t>
        </is>
      </c>
      <c r="E708" t="inlineStr">
        <is>
          <t>MALUNG-SÄLEN</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28585-2023</t>
        </is>
      </c>
      <c r="B709" s="1" t="n">
        <v>45103</v>
      </c>
      <c r="C709" s="1" t="n">
        <v>45852</v>
      </c>
      <c r="D709" t="inlineStr">
        <is>
          <t>DALARNAS LÄN</t>
        </is>
      </c>
      <c r="E709" t="inlineStr">
        <is>
          <t>MALUNG-SÄLEN</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28943-2023</t>
        </is>
      </c>
      <c r="B710" s="1" t="n">
        <v>45104</v>
      </c>
      <c r="C710" s="1" t="n">
        <v>45852</v>
      </c>
      <c r="D710" t="inlineStr">
        <is>
          <t>DALARNAS LÄN</t>
        </is>
      </c>
      <c r="E710" t="inlineStr">
        <is>
          <t>MALUNG-SÄLEN</t>
        </is>
      </c>
      <c r="G710" t="n">
        <v>14.4</v>
      </c>
      <c r="H710" t="n">
        <v>0</v>
      </c>
      <c r="I710" t="n">
        <v>0</v>
      </c>
      <c r="J710" t="n">
        <v>0</v>
      </c>
      <c r="K710" t="n">
        <v>0</v>
      </c>
      <c r="L710" t="n">
        <v>0</v>
      </c>
      <c r="M710" t="n">
        <v>0</v>
      </c>
      <c r="N710" t="n">
        <v>0</v>
      </c>
      <c r="O710" t="n">
        <v>0</v>
      </c>
      <c r="P710" t="n">
        <v>0</v>
      </c>
      <c r="Q710" t="n">
        <v>0</v>
      </c>
      <c r="R710" s="2" t="inlineStr"/>
    </row>
    <row r="711" ht="15" customHeight="1">
      <c r="A711" t="inlineStr">
        <is>
          <t>A 28998-2023</t>
        </is>
      </c>
      <c r="B711" s="1" t="n">
        <v>45104</v>
      </c>
      <c r="C711" s="1" t="n">
        <v>45852</v>
      </c>
      <c r="D711" t="inlineStr">
        <is>
          <t>DALARNAS LÄN</t>
        </is>
      </c>
      <c r="E711" t="inlineStr">
        <is>
          <t>MALUNG-SÄLEN</t>
        </is>
      </c>
      <c r="G711" t="n">
        <v>3.2</v>
      </c>
      <c r="H711" t="n">
        <v>0</v>
      </c>
      <c r="I711" t="n">
        <v>0</v>
      </c>
      <c r="J711" t="n">
        <v>0</v>
      </c>
      <c r="K711" t="n">
        <v>0</v>
      </c>
      <c r="L711" t="n">
        <v>0</v>
      </c>
      <c r="M711" t="n">
        <v>0</v>
      </c>
      <c r="N711" t="n">
        <v>0</v>
      </c>
      <c r="O711" t="n">
        <v>0</v>
      </c>
      <c r="P711" t="n">
        <v>0</v>
      </c>
      <c r="Q711" t="n">
        <v>0</v>
      </c>
      <c r="R711" s="2" t="inlineStr"/>
    </row>
    <row r="712" ht="15" customHeight="1">
      <c r="A712" t="inlineStr">
        <is>
          <t>A 29378-2023</t>
        </is>
      </c>
      <c r="B712" s="1" t="n">
        <v>45106</v>
      </c>
      <c r="C712" s="1" t="n">
        <v>45852</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29362-2023</t>
        </is>
      </c>
      <c r="B713" s="1" t="n">
        <v>45106</v>
      </c>
      <c r="C713" s="1" t="n">
        <v>45852</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29381-2023</t>
        </is>
      </c>
      <c r="B714" s="1" t="n">
        <v>45106</v>
      </c>
      <c r="C714" s="1" t="n">
        <v>45852</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29473-2023</t>
        </is>
      </c>
      <c r="B715" s="1" t="n">
        <v>45106</v>
      </c>
      <c r="C715" s="1" t="n">
        <v>45852</v>
      </c>
      <c r="D715" t="inlineStr">
        <is>
          <t>DALARNAS LÄN</t>
        </is>
      </c>
      <c r="E715" t="inlineStr">
        <is>
          <t>MALUNG-SÄLEN</t>
        </is>
      </c>
      <c r="G715" t="n">
        <v>1.2</v>
      </c>
      <c r="H715" t="n">
        <v>0</v>
      </c>
      <c r="I715" t="n">
        <v>0</v>
      </c>
      <c r="J715" t="n">
        <v>0</v>
      </c>
      <c r="K715" t="n">
        <v>0</v>
      </c>
      <c r="L715" t="n">
        <v>0</v>
      </c>
      <c r="M715" t="n">
        <v>0</v>
      </c>
      <c r="N715" t="n">
        <v>0</v>
      </c>
      <c r="O715" t="n">
        <v>0</v>
      </c>
      <c r="P715" t="n">
        <v>0</v>
      </c>
      <c r="Q715" t="n">
        <v>0</v>
      </c>
      <c r="R715" s="2" t="inlineStr"/>
    </row>
    <row r="716" ht="15" customHeight="1">
      <c r="A716" t="inlineStr">
        <is>
          <t>A 29451-2023</t>
        </is>
      </c>
      <c r="B716" s="1" t="n">
        <v>45106</v>
      </c>
      <c r="C716" s="1" t="n">
        <v>45852</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29664-2023</t>
        </is>
      </c>
      <c r="B717" s="1" t="n">
        <v>45107</v>
      </c>
      <c r="C717" s="1" t="n">
        <v>45852</v>
      </c>
      <c r="D717" t="inlineStr">
        <is>
          <t>DALARNAS LÄN</t>
        </is>
      </c>
      <c r="E717" t="inlineStr">
        <is>
          <t>MALUNG-SÄLEN</t>
        </is>
      </c>
      <c r="G717" t="n">
        <v>5.6</v>
      </c>
      <c r="H717" t="n">
        <v>0</v>
      </c>
      <c r="I717" t="n">
        <v>0</v>
      </c>
      <c r="J717" t="n">
        <v>0</v>
      </c>
      <c r="K717" t="n">
        <v>0</v>
      </c>
      <c r="L717" t="n">
        <v>0</v>
      </c>
      <c r="M717" t="n">
        <v>0</v>
      </c>
      <c r="N717" t="n">
        <v>0</v>
      </c>
      <c r="O717" t="n">
        <v>0</v>
      </c>
      <c r="P717" t="n">
        <v>0</v>
      </c>
      <c r="Q717" t="n">
        <v>0</v>
      </c>
      <c r="R717" s="2" t="inlineStr"/>
    </row>
    <row r="718" ht="15" customHeight="1">
      <c r="A718" t="inlineStr">
        <is>
          <t>A 30098-2023</t>
        </is>
      </c>
      <c r="B718" s="1" t="n">
        <v>45110</v>
      </c>
      <c r="C718" s="1" t="n">
        <v>45852</v>
      </c>
      <c r="D718" t="inlineStr">
        <is>
          <t>DALARNAS LÄN</t>
        </is>
      </c>
      <c r="E718" t="inlineStr">
        <is>
          <t>MALUNG-SÄLEN</t>
        </is>
      </c>
      <c r="F718" t="inlineStr">
        <is>
          <t>Bergvik skog öst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30199-2023</t>
        </is>
      </c>
      <c r="B719" s="1" t="n">
        <v>45110</v>
      </c>
      <c r="C719" s="1" t="n">
        <v>45852</v>
      </c>
      <c r="D719" t="inlineStr">
        <is>
          <t>DALARNAS LÄN</t>
        </is>
      </c>
      <c r="E719" t="inlineStr">
        <is>
          <t>MALUNG-SÄLEN</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30326-2023</t>
        </is>
      </c>
      <c r="B720" s="1" t="n">
        <v>45111</v>
      </c>
      <c r="C720" s="1" t="n">
        <v>45852</v>
      </c>
      <c r="D720" t="inlineStr">
        <is>
          <t>DALARNAS LÄN</t>
        </is>
      </c>
      <c r="E720" t="inlineStr">
        <is>
          <t>MALUNG-SÄLEN</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30645-2023</t>
        </is>
      </c>
      <c r="B721" s="1" t="n">
        <v>45112</v>
      </c>
      <c r="C721" s="1" t="n">
        <v>45852</v>
      </c>
      <c r="D721" t="inlineStr">
        <is>
          <t>DALARNAS LÄN</t>
        </is>
      </c>
      <c r="E721" t="inlineStr">
        <is>
          <t>MALUNG-SÄLEN</t>
        </is>
      </c>
      <c r="F721" t="inlineStr">
        <is>
          <t>Allmännings- och besparingsskogar</t>
        </is>
      </c>
      <c r="G721" t="n">
        <v>29.5</v>
      </c>
      <c r="H721" t="n">
        <v>0</v>
      </c>
      <c r="I721" t="n">
        <v>0</v>
      </c>
      <c r="J721" t="n">
        <v>0</v>
      </c>
      <c r="K721" t="n">
        <v>0</v>
      </c>
      <c r="L721" t="n">
        <v>0</v>
      </c>
      <c r="M721" t="n">
        <v>0</v>
      </c>
      <c r="N721" t="n">
        <v>0</v>
      </c>
      <c r="O721" t="n">
        <v>0</v>
      </c>
      <c r="P721" t="n">
        <v>0</v>
      </c>
      <c r="Q721" t="n">
        <v>0</v>
      </c>
      <c r="R721" s="2" t="inlineStr"/>
    </row>
    <row r="722" ht="15" customHeight="1">
      <c r="A722" t="inlineStr">
        <is>
          <t>A 30646-2023</t>
        </is>
      </c>
      <c r="B722" s="1" t="n">
        <v>45112</v>
      </c>
      <c r="C722" s="1" t="n">
        <v>45852</v>
      </c>
      <c r="D722" t="inlineStr">
        <is>
          <t>DALARNAS LÄN</t>
        </is>
      </c>
      <c r="E722" t="inlineStr">
        <is>
          <t>MALUNG-SÄLEN</t>
        </is>
      </c>
      <c r="F722" t="inlineStr">
        <is>
          <t>Allmännings- och besparingsskogar</t>
        </is>
      </c>
      <c r="G722" t="n">
        <v>16.1</v>
      </c>
      <c r="H722" t="n">
        <v>0</v>
      </c>
      <c r="I722" t="n">
        <v>0</v>
      </c>
      <c r="J722" t="n">
        <v>0</v>
      </c>
      <c r="K722" t="n">
        <v>0</v>
      </c>
      <c r="L722" t="n">
        <v>0</v>
      </c>
      <c r="M722" t="n">
        <v>0</v>
      </c>
      <c r="N722" t="n">
        <v>0</v>
      </c>
      <c r="O722" t="n">
        <v>0</v>
      </c>
      <c r="P722" t="n">
        <v>0</v>
      </c>
      <c r="Q722" t="n">
        <v>0</v>
      </c>
      <c r="R722" s="2" t="inlineStr"/>
    </row>
    <row r="723" ht="15" customHeight="1">
      <c r="A723" t="inlineStr">
        <is>
          <t>A 30783-2023</t>
        </is>
      </c>
      <c r="B723" s="1" t="n">
        <v>45112</v>
      </c>
      <c r="C723" s="1" t="n">
        <v>45852</v>
      </c>
      <c r="D723" t="inlineStr">
        <is>
          <t>DALARNAS LÄN</t>
        </is>
      </c>
      <c r="E723" t="inlineStr">
        <is>
          <t>MALUNG-SÄLEN</t>
        </is>
      </c>
      <c r="G723" t="n">
        <v>2.7</v>
      </c>
      <c r="H723" t="n">
        <v>0</v>
      </c>
      <c r="I723" t="n">
        <v>0</v>
      </c>
      <c r="J723" t="n">
        <v>0</v>
      </c>
      <c r="K723" t="n">
        <v>0</v>
      </c>
      <c r="L723" t="n">
        <v>0</v>
      </c>
      <c r="M723" t="n">
        <v>0</v>
      </c>
      <c r="N723" t="n">
        <v>0</v>
      </c>
      <c r="O723" t="n">
        <v>0</v>
      </c>
      <c r="P723" t="n">
        <v>0</v>
      </c>
      <c r="Q723" t="n">
        <v>0</v>
      </c>
      <c r="R723" s="2" t="inlineStr"/>
    </row>
    <row r="724" ht="15" customHeight="1">
      <c r="A724" t="inlineStr">
        <is>
          <t>A 31292-2023</t>
        </is>
      </c>
      <c r="B724" s="1" t="n">
        <v>45114</v>
      </c>
      <c r="C724" s="1" t="n">
        <v>45852</v>
      </c>
      <c r="D724" t="inlineStr">
        <is>
          <t>DALARNAS LÄN</t>
        </is>
      </c>
      <c r="E724" t="inlineStr">
        <is>
          <t>MALUNG-SÄLEN</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31291-2023</t>
        </is>
      </c>
      <c r="B725" s="1" t="n">
        <v>45114</v>
      </c>
      <c r="C725" s="1" t="n">
        <v>45852</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31455-2023</t>
        </is>
      </c>
      <c r="B726" s="1" t="n">
        <v>45114</v>
      </c>
      <c r="C726" s="1" t="n">
        <v>45852</v>
      </c>
      <c r="D726" t="inlineStr">
        <is>
          <t>DALARNAS LÄN</t>
        </is>
      </c>
      <c r="E726" t="inlineStr">
        <is>
          <t>MALUNG-SÄLEN</t>
        </is>
      </c>
      <c r="G726" t="n">
        <v>5.7</v>
      </c>
      <c r="H726" t="n">
        <v>0</v>
      </c>
      <c r="I726" t="n">
        <v>0</v>
      </c>
      <c r="J726" t="n">
        <v>0</v>
      </c>
      <c r="K726" t="n">
        <v>0</v>
      </c>
      <c r="L726" t="n">
        <v>0</v>
      </c>
      <c r="M726" t="n">
        <v>0</v>
      </c>
      <c r="N726" t="n">
        <v>0</v>
      </c>
      <c r="O726" t="n">
        <v>0</v>
      </c>
      <c r="P726" t="n">
        <v>0</v>
      </c>
      <c r="Q726" t="n">
        <v>0</v>
      </c>
      <c r="R726" s="2" t="inlineStr"/>
    </row>
    <row r="727" ht="15" customHeight="1">
      <c r="A727" t="inlineStr">
        <is>
          <t>A 31423-2023</t>
        </is>
      </c>
      <c r="B727" s="1" t="n">
        <v>45114</v>
      </c>
      <c r="C727" s="1" t="n">
        <v>45852</v>
      </c>
      <c r="D727" t="inlineStr">
        <is>
          <t>DALARNAS LÄN</t>
        </is>
      </c>
      <c r="E727" t="inlineStr">
        <is>
          <t>MALUNG-SÄLEN</t>
        </is>
      </c>
      <c r="G727" t="n">
        <v>3.6</v>
      </c>
      <c r="H727" t="n">
        <v>0</v>
      </c>
      <c r="I727" t="n">
        <v>0</v>
      </c>
      <c r="J727" t="n">
        <v>0</v>
      </c>
      <c r="K727" t="n">
        <v>0</v>
      </c>
      <c r="L727" t="n">
        <v>0</v>
      </c>
      <c r="M727" t="n">
        <v>0</v>
      </c>
      <c r="N727" t="n">
        <v>0</v>
      </c>
      <c r="O727" t="n">
        <v>0</v>
      </c>
      <c r="P727" t="n">
        <v>0</v>
      </c>
      <c r="Q727" t="n">
        <v>0</v>
      </c>
      <c r="R727" s="2" t="inlineStr"/>
    </row>
    <row r="728" ht="15" customHeight="1">
      <c r="A728" t="inlineStr">
        <is>
          <t>A 33087-2023</t>
        </is>
      </c>
      <c r="B728" s="1" t="n">
        <v>45114</v>
      </c>
      <c r="C728" s="1" t="n">
        <v>45852</v>
      </c>
      <c r="D728" t="inlineStr">
        <is>
          <t>DALARNAS LÄN</t>
        </is>
      </c>
      <c r="E728" t="inlineStr">
        <is>
          <t>MALUNG-SÄLEN</t>
        </is>
      </c>
      <c r="G728" t="n">
        <v>8</v>
      </c>
      <c r="H728" t="n">
        <v>0</v>
      </c>
      <c r="I728" t="n">
        <v>0</v>
      </c>
      <c r="J728" t="n">
        <v>0</v>
      </c>
      <c r="K728" t="n">
        <v>0</v>
      </c>
      <c r="L728" t="n">
        <v>0</v>
      </c>
      <c r="M728" t="n">
        <v>0</v>
      </c>
      <c r="N728" t="n">
        <v>0</v>
      </c>
      <c r="O728" t="n">
        <v>0</v>
      </c>
      <c r="P728" t="n">
        <v>0</v>
      </c>
      <c r="Q728" t="n">
        <v>0</v>
      </c>
      <c r="R728" s="2" t="inlineStr"/>
    </row>
    <row r="729" ht="15" customHeight="1">
      <c r="A729" t="inlineStr">
        <is>
          <t>A 31845-2023</t>
        </is>
      </c>
      <c r="B729" s="1" t="n">
        <v>45118</v>
      </c>
      <c r="C729" s="1" t="n">
        <v>45852</v>
      </c>
      <c r="D729" t="inlineStr">
        <is>
          <t>DALARNAS LÄN</t>
        </is>
      </c>
      <c r="E729" t="inlineStr">
        <is>
          <t>MALUNG-SÄLEN</t>
        </is>
      </c>
      <c r="G729" t="n">
        <v>7.8</v>
      </c>
      <c r="H729" t="n">
        <v>0</v>
      </c>
      <c r="I729" t="n">
        <v>0</v>
      </c>
      <c r="J729" t="n">
        <v>0</v>
      </c>
      <c r="K729" t="n">
        <v>0</v>
      </c>
      <c r="L729" t="n">
        <v>0</v>
      </c>
      <c r="M729" t="n">
        <v>0</v>
      </c>
      <c r="N729" t="n">
        <v>0</v>
      </c>
      <c r="O729" t="n">
        <v>0</v>
      </c>
      <c r="P729" t="n">
        <v>0</v>
      </c>
      <c r="Q729" t="n">
        <v>0</v>
      </c>
      <c r="R729" s="2" t="inlineStr"/>
    </row>
    <row r="730" ht="15" customHeight="1">
      <c r="A730" t="inlineStr">
        <is>
          <t>A 31846-2023</t>
        </is>
      </c>
      <c r="B730" s="1" t="n">
        <v>45118</v>
      </c>
      <c r="C730" s="1" t="n">
        <v>45852</v>
      </c>
      <c r="D730" t="inlineStr">
        <is>
          <t>DALARNAS LÄN</t>
        </is>
      </c>
      <c r="E730" t="inlineStr">
        <is>
          <t>MALUNG-SÄLEN</t>
        </is>
      </c>
      <c r="G730" t="n">
        <v>6.9</v>
      </c>
      <c r="H730" t="n">
        <v>0</v>
      </c>
      <c r="I730" t="n">
        <v>0</v>
      </c>
      <c r="J730" t="n">
        <v>0</v>
      </c>
      <c r="K730" t="n">
        <v>0</v>
      </c>
      <c r="L730" t="n">
        <v>0</v>
      </c>
      <c r="M730" t="n">
        <v>0</v>
      </c>
      <c r="N730" t="n">
        <v>0</v>
      </c>
      <c r="O730" t="n">
        <v>0</v>
      </c>
      <c r="P730" t="n">
        <v>0</v>
      </c>
      <c r="Q730" t="n">
        <v>0</v>
      </c>
      <c r="R730" s="2" t="inlineStr"/>
    </row>
    <row r="731" ht="15" customHeight="1">
      <c r="A731" t="inlineStr">
        <is>
          <t>A 31886-2023</t>
        </is>
      </c>
      <c r="B731" s="1" t="n">
        <v>45118</v>
      </c>
      <c r="C731" s="1" t="n">
        <v>45852</v>
      </c>
      <c r="D731" t="inlineStr">
        <is>
          <t>DALARNAS LÄN</t>
        </is>
      </c>
      <c r="E731" t="inlineStr">
        <is>
          <t>MALUNG-SÄLEN</t>
        </is>
      </c>
      <c r="G731" t="n">
        <v>4.2</v>
      </c>
      <c r="H731" t="n">
        <v>0</v>
      </c>
      <c r="I731" t="n">
        <v>0</v>
      </c>
      <c r="J731" t="n">
        <v>0</v>
      </c>
      <c r="K731" t="n">
        <v>0</v>
      </c>
      <c r="L731" t="n">
        <v>0</v>
      </c>
      <c r="M731" t="n">
        <v>0</v>
      </c>
      <c r="N731" t="n">
        <v>0</v>
      </c>
      <c r="O731" t="n">
        <v>0</v>
      </c>
      <c r="P731" t="n">
        <v>0</v>
      </c>
      <c r="Q731" t="n">
        <v>0</v>
      </c>
      <c r="R731" s="2" t="inlineStr"/>
    </row>
    <row r="732" ht="15" customHeight="1">
      <c r="A732" t="inlineStr">
        <is>
          <t>A 32038-2023</t>
        </is>
      </c>
      <c r="B732" s="1" t="n">
        <v>45119</v>
      </c>
      <c r="C732" s="1" t="n">
        <v>45852</v>
      </c>
      <c r="D732" t="inlineStr">
        <is>
          <t>DALARNAS LÄN</t>
        </is>
      </c>
      <c r="E732" t="inlineStr">
        <is>
          <t>MALUNG-SÄLEN</t>
        </is>
      </c>
      <c r="G732" t="n">
        <v>0.7</v>
      </c>
      <c r="H732" t="n">
        <v>0</v>
      </c>
      <c r="I732" t="n">
        <v>0</v>
      </c>
      <c r="J732" t="n">
        <v>0</v>
      </c>
      <c r="K732" t="n">
        <v>0</v>
      </c>
      <c r="L732" t="n">
        <v>0</v>
      </c>
      <c r="M732" t="n">
        <v>0</v>
      </c>
      <c r="N732" t="n">
        <v>0</v>
      </c>
      <c r="O732" t="n">
        <v>0</v>
      </c>
      <c r="P732" t="n">
        <v>0</v>
      </c>
      <c r="Q732" t="n">
        <v>0</v>
      </c>
      <c r="R732" s="2" t="inlineStr"/>
    </row>
    <row r="733" ht="15" customHeight="1">
      <c r="A733" t="inlineStr">
        <is>
          <t>A 32602-2023</t>
        </is>
      </c>
      <c r="B733" s="1" t="n">
        <v>45121</v>
      </c>
      <c r="C733" s="1" t="n">
        <v>45852</v>
      </c>
      <c r="D733" t="inlineStr">
        <is>
          <t>DALARNAS LÄN</t>
        </is>
      </c>
      <c r="E733" t="inlineStr">
        <is>
          <t>MALUNG-SÄLEN</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32603-2023</t>
        </is>
      </c>
      <c r="B734" s="1" t="n">
        <v>45121</v>
      </c>
      <c r="C734" s="1" t="n">
        <v>45852</v>
      </c>
      <c r="D734" t="inlineStr">
        <is>
          <t>DALARNAS LÄN</t>
        </is>
      </c>
      <c r="E734" t="inlineStr">
        <is>
          <t>MALUNG-SÄLEN</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33367-2023</t>
        </is>
      </c>
      <c r="B735" s="1" t="n">
        <v>45128</v>
      </c>
      <c r="C735" s="1" t="n">
        <v>45852</v>
      </c>
      <c r="D735" t="inlineStr">
        <is>
          <t>DALARNAS LÄN</t>
        </is>
      </c>
      <c r="E735" t="inlineStr">
        <is>
          <t>MALUNG-SÄLEN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33372-2023</t>
        </is>
      </c>
      <c r="B736" s="1" t="n">
        <v>45128</v>
      </c>
      <c r="C736" s="1" t="n">
        <v>45852</v>
      </c>
      <c r="D736" t="inlineStr">
        <is>
          <t>DALARNAS LÄN</t>
        </is>
      </c>
      <c r="E736" t="inlineStr">
        <is>
          <t>MALUNG-SÄLEN</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33369-2023</t>
        </is>
      </c>
      <c r="B737" s="1" t="n">
        <v>45128</v>
      </c>
      <c r="C737" s="1" t="n">
        <v>45852</v>
      </c>
      <c r="D737" t="inlineStr">
        <is>
          <t>DALARNAS LÄN</t>
        </is>
      </c>
      <c r="E737" t="inlineStr">
        <is>
          <t>MALUNG-SÄLEN</t>
        </is>
      </c>
      <c r="F737" t="inlineStr">
        <is>
          <t>Kommuner</t>
        </is>
      </c>
      <c r="G737" t="n">
        <v>8.1</v>
      </c>
      <c r="H737" t="n">
        <v>0</v>
      </c>
      <c r="I737" t="n">
        <v>0</v>
      </c>
      <c r="J737" t="n">
        <v>0</v>
      </c>
      <c r="K737" t="n">
        <v>0</v>
      </c>
      <c r="L737" t="n">
        <v>0</v>
      </c>
      <c r="M737" t="n">
        <v>0</v>
      </c>
      <c r="N737" t="n">
        <v>0</v>
      </c>
      <c r="O737" t="n">
        <v>0</v>
      </c>
      <c r="P737" t="n">
        <v>0</v>
      </c>
      <c r="Q737" t="n">
        <v>0</v>
      </c>
      <c r="R737" s="2" t="inlineStr"/>
    </row>
    <row r="738" ht="15" customHeight="1">
      <c r="A738" t="inlineStr">
        <is>
          <t>A 33374-2023</t>
        </is>
      </c>
      <c r="B738" s="1" t="n">
        <v>45128</v>
      </c>
      <c r="C738" s="1" t="n">
        <v>45852</v>
      </c>
      <c r="D738" t="inlineStr">
        <is>
          <t>DALARNAS LÄN</t>
        </is>
      </c>
      <c r="E738" t="inlineStr">
        <is>
          <t>MALUNG-SÄLEN</t>
        </is>
      </c>
      <c r="F738" t="inlineStr">
        <is>
          <t>Kommuner</t>
        </is>
      </c>
      <c r="G738" t="n">
        <v>5.4</v>
      </c>
      <c r="H738" t="n">
        <v>0</v>
      </c>
      <c r="I738" t="n">
        <v>0</v>
      </c>
      <c r="J738" t="n">
        <v>0</v>
      </c>
      <c r="K738" t="n">
        <v>0</v>
      </c>
      <c r="L738" t="n">
        <v>0</v>
      </c>
      <c r="M738" t="n">
        <v>0</v>
      </c>
      <c r="N738" t="n">
        <v>0</v>
      </c>
      <c r="O738" t="n">
        <v>0</v>
      </c>
      <c r="P738" t="n">
        <v>0</v>
      </c>
      <c r="Q738" t="n">
        <v>0</v>
      </c>
      <c r="R738" s="2" t="inlineStr"/>
    </row>
    <row r="739" ht="15" customHeight="1">
      <c r="A739" t="inlineStr">
        <is>
          <t>A 33375-2023</t>
        </is>
      </c>
      <c r="B739" s="1" t="n">
        <v>45128</v>
      </c>
      <c r="C739" s="1" t="n">
        <v>45852</v>
      </c>
      <c r="D739" t="inlineStr">
        <is>
          <t>DALARNAS LÄN</t>
        </is>
      </c>
      <c r="E739" t="inlineStr">
        <is>
          <t>MALUNG-SÄLEN</t>
        </is>
      </c>
      <c r="F739" t="inlineStr">
        <is>
          <t>Kommuner</t>
        </is>
      </c>
      <c r="G739" t="n">
        <v>10.8</v>
      </c>
      <c r="H739" t="n">
        <v>0</v>
      </c>
      <c r="I739" t="n">
        <v>0</v>
      </c>
      <c r="J739" t="n">
        <v>0</v>
      </c>
      <c r="K739" t="n">
        <v>0</v>
      </c>
      <c r="L739" t="n">
        <v>0</v>
      </c>
      <c r="M739" t="n">
        <v>0</v>
      </c>
      <c r="N739" t="n">
        <v>0</v>
      </c>
      <c r="O739" t="n">
        <v>0</v>
      </c>
      <c r="P739" t="n">
        <v>0</v>
      </c>
      <c r="Q739" t="n">
        <v>0</v>
      </c>
      <c r="R739" s="2" t="inlineStr"/>
    </row>
    <row r="740" ht="15" customHeight="1">
      <c r="A740" t="inlineStr">
        <is>
          <t>A 33371-2023</t>
        </is>
      </c>
      <c r="B740" s="1" t="n">
        <v>45128</v>
      </c>
      <c r="C740" s="1" t="n">
        <v>45852</v>
      </c>
      <c r="D740" t="inlineStr">
        <is>
          <t>DALARNAS LÄN</t>
        </is>
      </c>
      <c r="E740" t="inlineStr">
        <is>
          <t>MALUNG-SÄLEN</t>
        </is>
      </c>
      <c r="F740" t="inlineStr">
        <is>
          <t>Kommuner</t>
        </is>
      </c>
      <c r="G740" t="n">
        <v>9.1</v>
      </c>
      <c r="H740" t="n">
        <v>0</v>
      </c>
      <c r="I740" t="n">
        <v>0</v>
      </c>
      <c r="J740" t="n">
        <v>0</v>
      </c>
      <c r="K740" t="n">
        <v>0</v>
      </c>
      <c r="L740" t="n">
        <v>0</v>
      </c>
      <c r="M740" t="n">
        <v>0</v>
      </c>
      <c r="N740" t="n">
        <v>0</v>
      </c>
      <c r="O740" t="n">
        <v>0</v>
      </c>
      <c r="P740" t="n">
        <v>0</v>
      </c>
      <c r="Q740" t="n">
        <v>0</v>
      </c>
      <c r="R740" s="2" t="inlineStr"/>
    </row>
    <row r="741" ht="15" customHeight="1">
      <c r="A741" t="inlineStr">
        <is>
          <t>A 33904-2023</t>
        </is>
      </c>
      <c r="B741" s="1" t="n">
        <v>45134</v>
      </c>
      <c r="C741" s="1" t="n">
        <v>45852</v>
      </c>
      <c r="D741" t="inlineStr">
        <is>
          <t>DALARNAS LÄN</t>
        </is>
      </c>
      <c r="E741" t="inlineStr">
        <is>
          <t>MALUNG-SÄLEN</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34332-2023</t>
        </is>
      </c>
      <c r="B742" s="1" t="n">
        <v>45139</v>
      </c>
      <c r="C742" s="1" t="n">
        <v>45852</v>
      </c>
      <c r="D742" t="inlineStr">
        <is>
          <t>DALARNAS LÄN</t>
        </is>
      </c>
      <c r="E742" t="inlineStr">
        <is>
          <t>MALUNG-SÄLEN</t>
        </is>
      </c>
      <c r="G742" t="n">
        <v>17</v>
      </c>
      <c r="H742" t="n">
        <v>0</v>
      </c>
      <c r="I742" t="n">
        <v>0</v>
      </c>
      <c r="J742" t="n">
        <v>0</v>
      </c>
      <c r="K742" t="n">
        <v>0</v>
      </c>
      <c r="L742" t="n">
        <v>0</v>
      </c>
      <c r="M742" t="n">
        <v>0</v>
      </c>
      <c r="N742" t="n">
        <v>0</v>
      </c>
      <c r="O742" t="n">
        <v>0</v>
      </c>
      <c r="P742" t="n">
        <v>0</v>
      </c>
      <c r="Q742" t="n">
        <v>0</v>
      </c>
      <c r="R742" s="2" t="inlineStr"/>
    </row>
    <row r="743" ht="15" customHeight="1">
      <c r="A743" t="inlineStr">
        <is>
          <t>A 34331-2023</t>
        </is>
      </c>
      <c r="B743" s="1" t="n">
        <v>45139</v>
      </c>
      <c r="C743" s="1" t="n">
        <v>45852</v>
      </c>
      <c r="D743" t="inlineStr">
        <is>
          <t>DALARNAS LÄN</t>
        </is>
      </c>
      <c r="E743" t="inlineStr">
        <is>
          <t>MALUNG-SÄLEN</t>
        </is>
      </c>
      <c r="G743" t="n">
        <v>12.3</v>
      </c>
      <c r="H743" t="n">
        <v>0</v>
      </c>
      <c r="I743" t="n">
        <v>0</v>
      </c>
      <c r="J743" t="n">
        <v>0</v>
      </c>
      <c r="K743" t="n">
        <v>0</v>
      </c>
      <c r="L743" t="n">
        <v>0</v>
      </c>
      <c r="M743" t="n">
        <v>0</v>
      </c>
      <c r="N743" t="n">
        <v>0</v>
      </c>
      <c r="O743" t="n">
        <v>0</v>
      </c>
      <c r="P743" t="n">
        <v>0</v>
      </c>
      <c r="Q743" t="n">
        <v>0</v>
      </c>
      <c r="R743" s="2" t="inlineStr"/>
    </row>
    <row r="744" ht="15" customHeight="1">
      <c r="A744" t="inlineStr">
        <is>
          <t>A 35498-2023</t>
        </is>
      </c>
      <c r="B744" s="1" t="n">
        <v>45146</v>
      </c>
      <c r="C744" s="1" t="n">
        <v>45852</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36024-2023</t>
        </is>
      </c>
      <c r="B745" s="1" t="n">
        <v>45149</v>
      </c>
      <c r="C745" s="1" t="n">
        <v>45852</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36338-2023</t>
        </is>
      </c>
      <c r="B746" s="1" t="n">
        <v>45152</v>
      </c>
      <c r="C746" s="1" t="n">
        <v>45852</v>
      </c>
      <c r="D746" t="inlineStr">
        <is>
          <t>DALARNAS LÄN</t>
        </is>
      </c>
      <c r="E746" t="inlineStr">
        <is>
          <t>MALUNG-SÄLEN</t>
        </is>
      </c>
      <c r="F746" t="inlineStr">
        <is>
          <t>Kommuner</t>
        </is>
      </c>
      <c r="G746" t="n">
        <v>22.9</v>
      </c>
      <c r="H746" t="n">
        <v>0</v>
      </c>
      <c r="I746" t="n">
        <v>0</v>
      </c>
      <c r="J746" t="n">
        <v>0</v>
      </c>
      <c r="K746" t="n">
        <v>0</v>
      </c>
      <c r="L746" t="n">
        <v>0</v>
      </c>
      <c r="M746" t="n">
        <v>0</v>
      </c>
      <c r="N746" t="n">
        <v>0</v>
      </c>
      <c r="O746" t="n">
        <v>0</v>
      </c>
      <c r="P746" t="n">
        <v>0</v>
      </c>
      <c r="Q746" t="n">
        <v>0</v>
      </c>
      <c r="R746" s="2" t="inlineStr"/>
    </row>
    <row r="747" ht="15" customHeight="1">
      <c r="A747" t="inlineStr">
        <is>
          <t>A 36466-2023</t>
        </is>
      </c>
      <c r="B747" s="1" t="n">
        <v>45152</v>
      </c>
      <c r="C747" s="1" t="n">
        <v>45852</v>
      </c>
      <c r="D747" t="inlineStr">
        <is>
          <t>DALARNAS LÄN</t>
        </is>
      </c>
      <c r="E747" t="inlineStr">
        <is>
          <t>MALUNG-SÄLEN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36539-2023</t>
        </is>
      </c>
      <c r="B748" s="1" t="n">
        <v>45153</v>
      </c>
      <c r="C748" s="1" t="n">
        <v>45852</v>
      </c>
      <c r="D748" t="inlineStr">
        <is>
          <t>DALARNAS LÄN</t>
        </is>
      </c>
      <c r="E748" t="inlineStr">
        <is>
          <t>MALUNG-SÄLEN</t>
        </is>
      </c>
      <c r="G748" t="n">
        <v>4.6</v>
      </c>
      <c r="H748" t="n">
        <v>0</v>
      </c>
      <c r="I748" t="n">
        <v>0</v>
      </c>
      <c r="J748" t="n">
        <v>0</v>
      </c>
      <c r="K748" t="n">
        <v>0</v>
      </c>
      <c r="L748" t="n">
        <v>0</v>
      </c>
      <c r="M748" t="n">
        <v>0</v>
      </c>
      <c r="N748" t="n">
        <v>0</v>
      </c>
      <c r="O748" t="n">
        <v>0</v>
      </c>
      <c r="P748" t="n">
        <v>0</v>
      </c>
      <c r="Q748" t="n">
        <v>0</v>
      </c>
      <c r="R748" s="2" t="inlineStr"/>
    </row>
    <row r="749" ht="15" customHeight="1">
      <c r="A749" t="inlineStr">
        <is>
          <t>A 37872-2023</t>
        </is>
      </c>
      <c r="B749" s="1" t="n">
        <v>45160</v>
      </c>
      <c r="C749" s="1" t="n">
        <v>45852</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38029-2023</t>
        </is>
      </c>
      <c r="B750" s="1" t="n">
        <v>45160</v>
      </c>
      <c r="C750" s="1" t="n">
        <v>45852</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38543-2023</t>
        </is>
      </c>
      <c r="B751" s="1" t="n">
        <v>45162</v>
      </c>
      <c r="C751" s="1" t="n">
        <v>45852</v>
      </c>
      <c r="D751" t="inlineStr">
        <is>
          <t>DALARNAS LÄN</t>
        </is>
      </c>
      <c r="E751" t="inlineStr">
        <is>
          <t>MALUNG-SÄLEN</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38560-2023</t>
        </is>
      </c>
      <c r="B752" s="1" t="n">
        <v>45162</v>
      </c>
      <c r="C752" s="1" t="n">
        <v>45852</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38569-2023</t>
        </is>
      </c>
      <c r="B753" s="1" t="n">
        <v>45162</v>
      </c>
      <c r="C753" s="1" t="n">
        <v>45852</v>
      </c>
      <c r="D753" t="inlineStr">
        <is>
          <t>DALARNAS LÄN</t>
        </is>
      </c>
      <c r="E753" t="inlineStr">
        <is>
          <t>MALUNG-SÄLEN</t>
        </is>
      </c>
      <c r="F753" t="inlineStr">
        <is>
          <t>Bergvik skog öst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38823-2023</t>
        </is>
      </c>
      <c r="B754" s="1" t="n">
        <v>45163</v>
      </c>
      <c r="C754" s="1" t="n">
        <v>45852</v>
      </c>
      <c r="D754" t="inlineStr">
        <is>
          <t>DALARNAS LÄN</t>
        </is>
      </c>
      <c r="E754" t="inlineStr">
        <is>
          <t>MALUNG-SÄLEN</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38791-2023</t>
        </is>
      </c>
      <c r="B755" s="1" t="n">
        <v>45163</v>
      </c>
      <c r="C755" s="1" t="n">
        <v>45852</v>
      </c>
      <c r="D755" t="inlineStr">
        <is>
          <t>DALARNAS LÄN</t>
        </is>
      </c>
      <c r="E755" t="inlineStr">
        <is>
          <t>MALUNG-SÄLEN</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38817-2023</t>
        </is>
      </c>
      <c r="B756" s="1" t="n">
        <v>45163</v>
      </c>
      <c r="C756" s="1" t="n">
        <v>45852</v>
      </c>
      <c r="D756" t="inlineStr">
        <is>
          <t>DALARNAS LÄN</t>
        </is>
      </c>
      <c r="E756" t="inlineStr">
        <is>
          <t>MALUNG-SÄLEN</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39588-2023</t>
        </is>
      </c>
      <c r="B757" s="1" t="n">
        <v>45167</v>
      </c>
      <c r="C757" s="1" t="n">
        <v>45852</v>
      </c>
      <c r="D757" t="inlineStr">
        <is>
          <t>DALARNAS LÄN</t>
        </is>
      </c>
      <c r="E757" t="inlineStr">
        <is>
          <t>MALUNG-SÄLEN</t>
        </is>
      </c>
      <c r="F757" t="inlineStr">
        <is>
          <t>Bergvik skog öst AB</t>
        </is>
      </c>
      <c r="G757" t="n">
        <v>6.6</v>
      </c>
      <c r="H757" t="n">
        <v>0</v>
      </c>
      <c r="I757" t="n">
        <v>0</v>
      </c>
      <c r="J757" t="n">
        <v>0</v>
      </c>
      <c r="K757" t="n">
        <v>0</v>
      </c>
      <c r="L757" t="n">
        <v>0</v>
      </c>
      <c r="M757" t="n">
        <v>0</v>
      </c>
      <c r="N757" t="n">
        <v>0</v>
      </c>
      <c r="O757" t="n">
        <v>0</v>
      </c>
      <c r="P757" t="n">
        <v>0</v>
      </c>
      <c r="Q757" t="n">
        <v>0</v>
      </c>
      <c r="R757" s="2" t="inlineStr"/>
    </row>
    <row r="758" ht="15" customHeight="1">
      <c r="A758" t="inlineStr">
        <is>
          <t>A 39982-2023</t>
        </is>
      </c>
      <c r="B758" s="1" t="n">
        <v>45168</v>
      </c>
      <c r="C758" s="1" t="n">
        <v>45852</v>
      </c>
      <c r="D758" t="inlineStr">
        <is>
          <t>DALARNAS LÄN</t>
        </is>
      </c>
      <c r="E758" t="inlineStr">
        <is>
          <t>MALUNG-SÄLEN</t>
        </is>
      </c>
      <c r="G758" t="n">
        <v>0.2</v>
      </c>
      <c r="H758" t="n">
        <v>0</v>
      </c>
      <c r="I758" t="n">
        <v>0</v>
      </c>
      <c r="J758" t="n">
        <v>0</v>
      </c>
      <c r="K758" t="n">
        <v>0</v>
      </c>
      <c r="L758" t="n">
        <v>0</v>
      </c>
      <c r="M758" t="n">
        <v>0</v>
      </c>
      <c r="N758" t="n">
        <v>0</v>
      </c>
      <c r="O758" t="n">
        <v>0</v>
      </c>
      <c r="P758" t="n">
        <v>0</v>
      </c>
      <c r="Q758" t="n">
        <v>0</v>
      </c>
      <c r="R758" s="2" t="inlineStr"/>
    </row>
    <row r="759" ht="15" customHeight="1">
      <c r="A759" t="inlineStr">
        <is>
          <t>A 39986-2023</t>
        </is>
      </c>
      <c r="B759" s="1" t="n">
        <v>45168</v>
      </c>
      <c r="C759" s="1" t="n">
        <v>45852</v>
      </c>
      <c r="D759" t="inlineStr">
        <is>
          <t>DALARNAS LÄN</t>
        </is>
      </c>
      <c r="E759" t="inlineStr">
        <is>
          <t>MALUNG-SÄLEN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39976-2023</t>
        </is>
      </c>
      <c r="B760" s="1" t="n">
        <v>45168</v>
      </c>
      <c r="C760" s="1" t="n">
        <v>45852</v>
      </c>
      <c r="D760" t="inlineStr">
        <is>
          <t>DALARNAS LÄN</t>
        </is>
      </c>
      <c r="E760" t="inlineStr">
        <is>
          <t>MALUNG-SÄLEN</t>
        </is>
      </c>
      <c r="G760" t="n">
        <v>2.2</v>
      </c>
      <c r="H760" t="n">
        <v>0</v>
      </c>
      <c r="I760" t="n">
        <v>0</v>
      </c>
      <c r="J760" t="n">
        <v>0</v>
      </c>
      <c r="K760" t="n">
        <v>0</v>
      </c>
      <c r="L760" t="n">
        <v>0</v>
      </c>
      <c r="M760" t="n">
        <v>0</v>
      </c>
      <c r="N760" t="n">
        <v>0</v>
      </c>
      <c r="O760" t="n">
        <v>0</v>
      </c>
      <c r="P760" t="n">
        <v>0</v>
      </c>
      <c r="Q760" t="n">
        <v>0</v>
      </c>
      <c r="R760" s="2" t="inlineStr"/>
    </row>
    <row r="761" ht="15" customHeight="1">
      <c r="A761" t="inlineStr">
        <is>
          <t>A 40198-2023</t>
        </is>
      </c>
      <c r="B761" s="1" t="n">
        <v>45169</v>
      </c>
      <c r="C761" s="1" t="n">
        <v>45852</v>
      </c>
      <c r="D761" t="inlineStr">
        <is>
          <t>DALARNAS LÄN</t>
        </is>
      </c>
      <c r="E761" t="inlineStr">
        <is>
          <t>MALUNG-SÄLEN</t>
        </is>
      </c>
      <c r="F761" t="inlineStr">
        <is>
          <t>Bergvik skog öst AB</t>
        </is>
      </c>
      <c r="G761" t="n">
        <v>5.7</v>
      </c>
      <c r="H761" t="n">
        <v>0</v>
      </c>
      <c r="I761" t="n">
        <v>0</v>
      </c>
      <c r="J761" t="n">
        <v>0</v>
      </c>
      <c r="K761" t="n">
        <v>0</v>
      </c>
      <c r="L761" t="n">
        <v>0</v>
      </c>
      <c r="M761" t="n">
        <v>0</v>
      </c>
      <c r="N761" t="n">
        <v>0</v>
      </c>
      <c r="O761" t="n">
        <v>0</v>
      </c>
      <c r="P761" t="n">
        <v>0</v>
      </c>
      <c r="Q761" t="n">
        <v>0</v>
      </c>
      <c r="R761" s="2" t="inlineStr"/>
    </row>
    <row r="762" ht="15" customHeight="1">
      <c r="A762" t="inlineStr">
        <is>
          <t>A 40227-2023</t>
        </is>
      </c>
      <c r="B762" s="1" t="n">
        <v>45169</v>
      </c>
      <c r="C762" s="1" t="n">
        <v>45852</v>
      </c>
      <c r="D762" t="inlineStr">
        <is>
          <t>DALARNAS LÄN</t>
        </is>
      </c>
      <c r="E762" t="inlineStr">
        <is>
          <t>MALUNG-SÄLEN</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40236-2023</t>
        </is>
      </c>
      <c r="B763" s="1" t="n">
        <v>45169</v>
      </c>
      <c r="C763" s="1" t="n">
        <v>45852</v>
      </c>
      <c r="D763" t="inlineStr">
        <is>
          <t>DALARNAS LÄN</t>
        </is>
      </c>
      <c r="E763" t="inlineStr">
        <is>
          <t>MALUNG-SÄLEN</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40694-2023</t>
        </is>
      </c>
      <c r="B764" s="1" t="n">
        <v>45170</v>
      </c>
      <c r="C764" s="1" t="n">
        <v>45852</v>
      </c>
      <c r="D764" t="inlineStr">
        <is>
          <t>DALARNAS LÄN</t>
        </is>
      </c>
      <c r="E764" t="inlineStr">
        <is>
          <t>MALUNG-SÄLEN</t>
        </is>
      </c>
      <c r="F764" t="inlineStr">
        <is>
          <t>Allmännings- och besparingsskogar</t>
        </is>
      </c>
      <c r="G764" t="n">
        <v>19</v>
      </c>
      <c r="H764" t="n">
        <v>0</v>
      </c>
      <c r="I764" t="n">
        <v>0</v>
      </c>
      <c r="J764" t="n">
        <v>0</v>
      </c>
      <c r="K764" t="n">
        <v>0</v>
      </c>
      <c r="L764" t="n">
        <v>0</v>
      </c>
      <c r="M764" t="n">
        <v>0</v>
      </c>
      <c r="N764" t="n">
        <v>0</v>
      </c>
      <c r="O764" t="n">
        <v>0</v>
      </c>
      <c r="P764" t="n">
        <v>0</v>
      </c>
      <c r="Q764" t="n">
        <v>0</v>
      </c>
      <c r="R764" s="2" t="inlineStr"/>
    </row>
    <row r="765" ht="15" customHeight="1">
      <c r="A765" t="inlineStr">
        <is>
          <t>A 40704-2023</t>
        </is>
      </c>
      <c r="B765" s="1" t="n">
        <v>45170</v>
      </c>
      <c r="C765" s="1" t="n">
        <v>45852</v>
      </c>
      <c r="D765" t="inlineStr">
        <is>
          <t>DALARNAS LÄN</t>
        </is>
      </c>
      <c r="E765" t="inlineStr">
        <is>
          <t>MALUNG-SÄLEN</t>
        </is>
      </c>
      <c r="F765" t="inlineStr">
        <is>
          <t>Allmännings- och besparingsskogar</t>
        </is>
      </c>
      <c r="G765" t="n">
        <v>27.9</v>
      </c>
      <c r="H765" t="n">
        <v>0</v>
      </c>
      <c r="I765" t="n">
        <v>0</v>
      </c>
      <c r="J765" t="n">
        <v>0</v>
      </c>
      <c r="K765" t="n">
        <v>0</v>
      </c>
      <c r="L765" t="n">
        <v>0</v>
      </c>
      <c r="M765" t="n">
        <v>0</v>
      </c>
      <c r="N765" t="n">
        <v>0</v>
      </c>
      <c r="O765" t="n">
        <v>0</v>
      </c>
      <c r="P765" t="n">
        <v>0</v>
      </c>
      <c r="Q765" t="n">
        <v>0</v>
      </c>
      <c r="R765" s="2" t="inlineStr"/>
    </row>
    <row r="766" ht="15" customHeight="1">
      <c r="A766" t="inlineStr">
        <is>
          <t>A 40670-2023</t>
        </is>
      </c>
      <c r="B766" s="1" t="n">
        <v>45170</v>
      </c>
      <c r="C766" s="1" t="n">
        <v>45852</v>
      </c>
      <c r="D766" t="inlineStr">
        <is>
          <t>DALARNAS LÄN</t>
        </is>
      </c>
      <c r="E766" t="inlineStr">
        <is>
          <t>MALUNG-SÄLEN</t>
        </is>
      </c>
      <c r="F766" t="inlineStr">
        <is>
          <t>Allmännings- och besparingsskogar</t>
        </is>
      </c>
      <c r="G766" t="n">
        <v>30.4</v>
      </c>
      <c r="H766" t="n">
        <v>0</v>
      </c>
      <c r="I766" t="n">
        <v>0</v>
      </c>
      <c r="J766" t="n">
        <v>0</v>
      </c>
      <c r="K766" t="n">
        <v>0</v>
      </c>
      <c r="L766" t="n">
        <v>0</v>
      </c>
      <c r="M766" t="n">
        <v>0</v>
      </c>
      <c r="N766" t="n">
        <v>0</v>
      </c>
      <c r="O766" t="n">
        <v>0</v>
      </c>
      <c r="P766" t="n">
        <v>0</v>
      </c>
      <c r="Q766" t="n">
        <v>0</v>
      </c>
      <c r="R766" s="2" t="inlineStr"/>
    </row>
    <row r="767" ht="15" customHeight="1">
      <c r="A767" t="inlineStr">
        <is>
          <t>A 40967-2023</t>
        </is>
      </c>
      <c r="B767" s="1" t="n">
        <v>45173</v>
      </c>
      <c r="C767" s="1" t="n">
        <v>45852</v>
      </c>
      <c r="D767" t="inlineStr">
        <is>
          <t>DALARNAS LÄN</t>
        </is>
      </c>
      <c r="E767" t="inlineStr">
        <is>
          <t>MALUNG-SÄLEN</t>
        </is>
      </c>
      <c r="G767" t="n">
        <v>0.6</v>
      </c>
      <c r="H767" t="n">
        <v>0</v>
      </c>
      <c r="I767" t="n">
        <v>0</v>
      </c>
      <c r="J767" t="n">
        <v>0</v>
      </c>
      <c r="K767" t="n">
        <v>0</v>
      </c>
      <c r="L767" t="n">
        <v>0</v>
      </c>
      <c r="M767" t="n">
        <v>0</v>
      </c>
      <c r="N767" t="n">
        <v>0</v>
      </c>
      <c r="O767" t="n">
        <v>0</v>
      </c>
      <c r="P767" t="n">
        <v>0</v>
      </c>
      <c r="Q767" t="n">
        <v>0</v>
      </c>
      <c r="R767" s="2" t="inlineStr"/>
    </row>
    <row r="768" ht="15" customHeight="1">
      <c r="A768" t="inlineStr">
        <is>
          <t>A 41007-2023</t>
        </is>
      </c>
      <c r="B768" s="1" t="n">
        <v>45173</v>
      </c>
      <c r="C768" s="1" t="n">
        <v>45852</v>
      </c>
      <c r="D768" t="inlineStr">
        <is>
          <t>DALARNAS LÄN</t>
        </is>
      </c>
      <c r="E768" t="inlineStr">
        <is>
          <t>MALUNG-SÄLEN</t>
        </is>
      </c>
      <c r="G768" t="n">
        <v>2.5</v>
      </c>
      <c r="H768" t="n">
        <v>0</v>
      </c>
      <c r="I768" t="n">
        <v>0</v>
      </c>
      <c r="J768" t="n">
        <v>0</v>
      </c>
      <c r="K768" t="n">
        <v>0</v>
      </c>
      <c r="L768" t="n">
        <v>0</v>
      </c>
      <c r="M768" t="n">
        <v>0</v>
      </c>
      <c r="N768" t="n">
        <v>0</v>
      </c>
      <c r="O768" t="n">
        <v>0</v>
      </c>
      <c r="P768" t="n">
        <v>0</v>
      </c>
      <c r="Q768" t="n">
        <v>0</v>
      </c>
      <c r="R768" s="2" t="inlineStr"/>
    </row>
    <row r="769" ht="15" customHeight="1">
      <c r="A769" t="inlineStr">
        <is>
          <t>A 41066-2023</t>
        </is>
      </c>
      <c r="B769" s="1" t="n">
        <v>45173</v>
      </c>
      <c r="C769" s="1" t="n">
        <v>45852</v>
      </c>
      <c r="D769" t="inlineStr">
        <is>
          <t>DALARNAS LÄN</t>
        </is>
      </c>
      <c r="E769" t="inlineStr">
        <is>
          <t>MALUNG-SÄLEN</t>
        </is>
      </c>
      <c r="G769" t="n">
        <v>10.6</v>
      </c>
      <c r="H769" t="n">
        <v>0</v>
      </c>
      <c r="I769" t="n">
        <v>0</v>
      </c>
      <c r="J769" t="n">
        <v>0</v>
      </c>
      <c r="K769" t="n">
        <v>0</v>
      </c>
      <c r="L769" t="n">
        <v>0</v>
      </c>
      <c r="M769" t="n">
        <v>0</v>
      </c>
      <c r="N769" t="n">
        <v>0</v>
      </c>
      <c r="O769" t="n">
        <v>0</v>
      </c>
      <c r="P769" t="n">
        <v>0</v>
      </c>
      <c r="Q769" t="n">
        <v>0</v>
      </c>
      <c r="R769" s="2" t="inlineStr"/>
    </row>
    <row r="770" ht="15" customHeight="1">
      <c r="A770" t="inlineStr">
        <is>
          <t>A 41077-2023</t>
        </is>
      </c>
      <c r="B770" s="1" t="n">
        <v>45173</v>
      </c>
      <c r="C770" s="1" t="n">
        <v>45852</v>
      </c>
      <c r="D770" t="inlineStr">
        <is>
          <t>DALARNAS LÄN</t>
        </is>
      </c>
      <c r="E770" t="inlineStr">
        <is>
          <t>MALUNG-SÄLEN</t>
        </is>
      </c>
      <c r="G770" t="n">
        <v>12.4</v>
      </c>
      <c r="H770" t="n">
        <v>0</v>
      </c>
      <c r="I770" t="n">
        <v>0</v>
      </c>
      <c r="J770" t="n">
        <v>0</v>
      </c>
      <c r="K770" t="n">
        <v>0</v>
      </c>
      <c r="L770" t="n">
        <v>0</v>
      </c>
      <c r="M770" t="n">
        <v>0</v>
      </c>
      <c r="N770" t="n">
        <v>0</v>
      </c>
      <c r="O770" t="n">
        <v>0</v>
      </c>
      <c r="P770" t="n">
        <v>0</v>
      </c>
      <c r="Q770" t="n">
        <v>0</v>
      </c>
      <c r="R770" s="2" t="inlineStr"/>
    </row>
    <row r="771" ht="15" customHeight="1">
      <c r="A771" t="inlineStr">
        <is>
          <t>A 40964-2023</t>
        </is>
      </c>
      <c r="B771" s="1" t="n">
        <v>45173</v>
      </c>
      <c r="C771" s="1" t="n">
        <v>45852</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41416-2023</t>
        </is>
      </c>
      <c r="B772" s="1" t="n">
        <v>45175</v>
      </c>
      <c r="C772" s="1" t="n">
        <v>45852</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41596-2023</t>
        </is>
      </c>
      <c r="B773" s="1" t="n">
        <v>45175</v>
      </c>
      <c r="C773" s="1" t="n">
        <v>45852</v>
      </c>
      <c r="D773" t="inlineStr">
        <is>
          <t>DALARNAS LÄN</t>
        </is>
      </c>
      <c r="E773" t="inlineStr">
        <is>
          <t>MALUNG-SÄLEN</t>
        </is>
      </c>
      <c r="G773" t="n">
        <v>0.9</v>
      </c>
      <c r="H773" t="n">
        <v>0</v>
      </c>
      <c r="I773" t="n">
        <v>0</v>
      </c>
      <c r="J773" t="n">
        <v>0</v>
      </c>
      <c r="K773" t="n">
        <v>0</v>
      </c>
      <c r="L773" t="n">
        <v>0</v>
      </c>
      <c r="M773" t="n">
        <v>0</v>
      </c>
      <c r="N773" t="n">
        <v>0</v>
      </c>
      <c r="O773" t="n">
        <v>0</v>
      </c>
      <c r="P773" t="n">
        <v>0</v>
      </c>
      <c r="Q773" t="n">
        <v>0</v>
      </c>
      <c r="R773" s="2" t="inlineStr"/>
    </row>
    <row r="774" ht="15" customHeight="1">
      <c r="A774" t="inlineStr">
        <is>
          <t>A 41583-2023</t>
        </is>
      </c>
      <c r="B774" s="1" t="n">
        <v>45175</v>
      </c>
      <c r="C774" s="1" t="n">
        <v>45852</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41590-2023</t>
        </is>
      </c>
      <c r="B775" s="1" t="n">
        <v>45175</v>
      </c>
      <c r="C775" s="1" t="n">
        <v>45852</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41828-2023</t>
        </is>
      </c>
      <c r="B776" s="1" t="n">
        <v>45176</v>
      </c>
      <c r="C776" s="1" t="n">
        <v>45852</v>
      </c>
      <c r="D776" t="inlineStr">
        <is>
          <t>DALARNAS LÄN</t>
        </is>
      </c>
      <c r="E776" t="inlineStr">
        <is>
          <t>MALUNG-SÄLEN</t>
        </is>
      </c>
      <c r="F776" t="inlineStr">
        <is>
          <t>Bergvik skog öst AB</t>
        </is>
      </c>
      <c r="G776" t="n">
        <v>10.9</v>
      </c>
      <c r="H776" t="n">
        <v>0</v>
      </c>
      <c r="I776" t="n">
        <v>0</v>
      </c>
      <c r="J776" t="n">
        <v>0</v>
      </c>
      <c r="K776" t="n">
        <v>0</v>
      </c>
      <c r="L776" t="n">
        <v>0</v>
      </c>
      <c r="M776" t="n">
        <v>0</v>
      </c>
      <c r="N776" t="n">
        <v>0</v>
      </c>
      <c r="O776" t="n">
        <v>0</v>
      </c>
      <c r="P776" t="n">
        <v>0</v>
      </c>
      <c r="Q776" t="n">
        <v>0</v>
      </c>
      <c r="R776" s="2" t="inlineStr"/>
    </row>
    <row r="777" ht="15" customHeight="1">
      <c r="A777" t="inlineStr">
        <is>
          <t>A 41946-2023</t>
        </is>
      </c>
      <c r="B777" s="1" t="n">
        <v>45177</v>
      </c>
      <c r="C777" s="1" t="n">
        <v>45852</v>
      </c>
      <c r="D777" t="inlineStr">
        <is>
          <t>DALARNAS LÄN</t>
        </is>
      </c>
      <c r="E777" t="inlineStr">
        <is>
          <t>MALUNG-SÄLEN</t>
        </is>
      </c>
      <c r="G777" t="n">
        <v>1.5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45852</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42548-2023</t>
        </is>
      </c>
      <c r="B779" s="1" t="n">
        <v>45181</v>
      </c>
      <c r="C779" s="1" t="n">
        <v>45852</v>
      </c>
      <c r="D779" t="inlineStr">
        <is>
          <t>DALARNAS LÄN</t>
        </is>
      </c>
      <c r="E779" t="inlineStr">
        <is>
          <t>MALUNG-SÄLEN</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43655-2023</t>
        </is>
      </c>
      <c r="B780" s="1" t="n">
        <v>45187</v>
      </c>
      <c r="C780" s="1" t="n">
        <v>45852</v>
      </c>
      <c r="D780" t="inlineStr">
        <is>
          <t>DALARNAS LÄN</t>
        </is>
      </c>
      <c r="E780" t="inlineStr">
        <is>
          <t>MALUNG-SÄLEN</t>
        </is>
      </c>
      <c r="F780" t="inlineStr">
        <is>
          <t>Allmännings- och besparingsskogar</t>
        </is>
      </c>
      <c r="G780" t="n">
        <v>4.6</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45852</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43808-2023</t>
        </is>
      </c>
      <c r="B782" s="1" t="n">
        <v>45187</v>
      </c>
      <c r="C782" s="1" t="n">
        <v>45852</v>
      </c>
      <c r="D782" t="inlineStr">
        <is>
          <t>DALARNAS LÄN</t>
        </is>
      </c>
      <c r="E782" t="inlineStr">
        <is>
          <t>MALUNG-SÄLEN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43823-2023</t>
        </is>
      </c>
      <c r="B783" s="1" t="n">
        <v>45187</v>
      </c>
      <c r="C783" s="1" t="n">
        <v>45852</v>
      </c>
      <c r="D783" t="inlineStr">
        <is>
          <t>DALARNAS LÄN</t>
        </is>
      </c>
      <c r="E783" t="inlineStr">
        <is>
          <t>MALUNG-SÄLEN</t>
        </is>
      </c>
      <c r="G783" t="n">
        <v>3.8</v>
      </c>
      <c r="H783" t="n">
        <v>0</v>
      </c>
      <c r="I783" t="n">
        <v>0</v>
      </c>
      <c r="J783" t="n">
        <v>0</v>
      </c>
      <c r="K783" t="n">
        <v>0</v>
      </c>
      <c r="L783" t="n">
        <v>0</v>
      </c>
      <c r="M783" t="n">
        <v>0</v>
      </c>
      <c r="N783" t="n">
        <v>0</v>
      </c>
      <c r="O783" t="n">
        <v>0</v>
      </c>
      <c r="P783" t="n">
        <v>0</v>
      </c>
      <c r="Q783" t="n">
        <v>0</v>
      </c>
      <c r="R783" s="2" t="inlineStr"/>
    </row>
    <row r="784" ht="15" customHeight="1">
      <c r="A784" t="inlineStr">
        <is>
          <t>A 43829-2023</t>
        </is>
      </c>
      <c r="B784" s="1" t="n">
        <v>45187</v>
      </c>
      <c r="C784" s="1" t="n">
        <v>45852</v>
      </c>
      <c r="D784" t="inlineStr">
        <is>
          <t>DALARNAS LÄN</t>
        </is>
      </c>
      <c r="E784" t="inlineStr">
        <is>
          <t>MALUNG-SÄLEN</t>
        </is>
      </c>
      <c r="G784" t="n">
        <v>1.4</v>
      </c>
      <c r="H784" t="n">
        <v>0</v>
      </c>
      <c r="I784" t="n">
        <v>0</v>
      </c>
      <c r="J784" t="n">
        <v>0</v>
      </c>
      <c r="K784" t="n">
        <v>0</v>
      </c>
      <c r="L784" t="n">
        <v>0</v>
      </c>
      <c r="M784" t="n">
        <v>0</v>
      </c>
      <c r="N784" t="n">
        <v>0</v>
      </c>
      <c r="O784" t="n">
        <v>0</v>
      </c>
      <c r="P784" t="n">
        <v>0</v>
      </c>
      <c r="Q784" t="n">
        <v>0</v>
      </c>
      <c r="R784" s="2" t="inlineStr"/>
    </row>
    <row r="785" ht="15" customHeight="1">
      <c r="A785" t="inlineStr">
        <is>
          <t>A 44139-2023</t>
        </is>
      </c>
      <c r="B785" s="1" t="n">
        <v>45188</v>
      </c>
      <c r="C785" s="1" t="n">
        <v>45852</v>
      </c>
      <c r="D785" t="inlineStr">
        <is>
          <t>DALARNAS LÄN</t>
        </is>
      </c>
      <c r="E785" t="inlineStr">
        <is>
          <t>MALUNG-SÄLEN</t>
        </is>
      </c>
      <c r="G785" t="n">
        <v>5.8</v>
      </c>
      <c r="H785" t="n">
        <v>0</v>
      </c>
      <c r="I785" t="n">
        <v>0</v>
      </c>
      <c r="J785" t="n">
        <v>0</v>
      </c>
      <c r="K785" t="n">
        <v>0</v>
      </c>
      <c r="L785" t="n">
        <v>0</v>
      </c>
      <c r="M785" t="n">
        <v>0</v>
      </c>
      <c r="N785" t="n">
        <v>0</v>
      </c>
      <c r="O785" t="n">
        <v>0</v>
      </c>
      <c r="P785" t="n">
        <v>0</v>
      </c>
      <c r="Q785" t="n">
        <v>0</v>
      </c>
      <c r="R785" s="2" t="inlineStr"/>
    </row>
    <row r="786" ht="15" customHeight="1">
      <c r="A786" t="inlineStr">
        <is>
          <t>A 44190-2023</t>
        </is>
      </c>
      <c r="B786" s="1" t="n">
        <v>45188</v>
      </c>
      <c r="C786" s="1" t="n">
        <v>45852</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45852</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45779-2023</t>
        </is>
      </c>
      <c r="B788" s="1" t="n">
        <v>45188</v>
      </c>
      <c r="C788" s="1" t="n">
        <v>45852</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44350-2023</t>
        </is>
      </c>
      <c r="B789" s="1" t="n">
        <v>45188</v>
      </c>
      <c r="C789" s="1" t="n">
        <v>45852</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44701-2023</t>
        </is>
      </c>
      <c r="B790" s="1" t="n">
        <v>45190</v>
      </c>
      <c r="C790" s="1" t="n">
        <v>45852</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44709-2023</t>
        </is>
      </c>
      <c r="B791" s="1" t="n">
        <v>45190</v>
      </c>
      <c r="C791" s="1" t="n">
        <v>45852</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44782-2023</t>
        </is>
      </c>
      <c r="B792" s="1" t="n">
        <v>45190</v>
      </c>
      <c r="C792" s="1" t="n">
        <v>45852</v>
      </c>
      <c r="D792" t="inlineStr">
        <is>
          <t>DALARNAS LÄN</t>
        </is>
      </c>
      <c r="E792" t="inlineStr">
        <is>
          <t>MALUNG-SÄLEN</t>
        </is>
      </c>
      <c r="G792" t="n">
        <v>0.5</v>
      </c>
      <c r="H792" t="n">
        <v>0</v>
      </c>
      <c r="I792" t="n">
        <v>0</v>
      </c>
      <c r="J792" t="n">
        <v>0</v>
      </c>
      <c r="K792" t="n">
        <v>0</v>
      </c>
      <c r="L792" t="n">
        <v>0</v>
      </c>
      <c r="M792" t="n">
        <v>0</v>
      </c>
      <c r="N792" t="n">
        <v>0</v>
      </c>
      <c r="O792" t="n">
        <v>0</v>
      </c>
      <c r="P792" t="n">
        <v>0</v>
      </c>
      <c r="Q792" t="n">
        <v>0</v>
      </c>
      <c r="R792" s="2" t="inlineStr"/>
    </row>
    <row r="793" ht="15" customHeight="1">
      <c r="A793" t="inlineStr">
        <is>
          <t>A 44844-2023</t>
        </is>
      </c>
      <c r="B793" s="1" t="n">
        <v>45190</v>
      </c>
      <c r="C793" s="1" t="n">
        <v>45852</v>
      </c>
      <c r="D793" t="inlineStr">
        <is>
          <t>DALARNAS LÄN</t>
        </is>
      </c>
      <c r="E793" t="inlineStr">
        <is>
          <t>MALUNG-SÄLEN</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44852-2023</t>
        </is>
      </c>
      <c r="B794" s="1" t="n">
        <v>45190</v>
      </c>
      <c r="C794" s="1" t="n">
        <v>45852</v>
      </c>
      <c r="D794" t="inlineStr">
        <is>
          <t>DALARNAS LÄN</t>
        </is>
      </c>
      <c r="E794" t="inlineStr">
        <is>
          <t>MALUNG-SÄLEN</t>
        </is>
      </c>
      <c r="F794" t="inlineStr">
        <is>
          <t>Allmännings- och besparingsskogar</t>
        </is>
      </c>
      <c r="G794" t="n">
        <v>21.8</v>
      </c>
      <c r="H794" t="n">
        <v>0</v>
      </c>
      <c r="I794" t="n">
        <v>0</v>
      </c>
      <c r="J794" t="n">
        <v>0</v>
      </c>
      <c r="K794" t="n">
        <v>0</v>
      </c>
      <c r="L794" t="n">
        <v>0</v>
      </c>
      <c r="M794" t="n">
        <v>0</v>
      </c>
      <c r="N794" t="n">
        <v>0</v>
      </c>
      <c r="O794" t="n">
        <v>0</v>
      </c>
      <c r="P794" t="n">
        <v>0</v>
      </c>
      <c r="Q794" t="n">
        <v>0</v>
      </c>
      <c r="R794" s="2" t="inlineStr"/>
    </row>
    <row r="795" ht="15" customHeight="1">
      <c r="A795" t="inlineStr">
        <is>
          <t>A 45197-2023</t>
        </is>
      </c>
      <c r="B795" s="1" t="n">
        <v>45191</v>
      </c>
      <c r="C795" s="1" t="n">
        <v>45852</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45207-2023</t>
        </is>
      </c>
      <c r="B796" s="1" t="n">
        <v>45191</v>
      </c>
      <c r="C796" s="1" t="n">
        <v>45852</v>
      </c>
      <c r="D796" t="inlineStr">
        <is>
          <t>DALARNAS LÄN</t>
        </is>
      </c>
      <c r="E796" t="inlineStr">
        <is>
          <t>MALUNG-SÄLEN</t>
        </is>
      </c>
      <c r="G796" t="n">
        <v>3.9</v>
      </c>
      <c r="H796" t="n">
        <v>0</v>
      </c>
      <c r="I796" t="n">
        <v>0</v>
      </c>
      <c r="J796" t="n">
        <v>0</v>
      </c>
      <c r="K796" t="n">
        <v>0</v>
      </c>
      <c r="L796" t="n">
        <v>0</v>
      </c>
      <c r="M796" t="n">
        <v>0</v>
      </c>
      <c r="N796" t="n">
        <v>0</v>
      </c>
      <c r="O796" t="n">
        <v>0</v>
      </c>
      <c r="P796" t="n">
        <v>0</v>
      </c>
      <c r="Q796" t="n">
        <v>0</v>
      </c>
      <c r="R796" s="2" t="inlineStr"/>
    </row>
    <row r="797" ht="15" customHeight="1">
      <c r="A797" t="inlineStr">
        <is>
          <t>A 45601-2023</t>
        </is>
      </c>
      <c r="B797" s="1" t="n">
        <v>45194</v>
      </c>
      <c r="C797" s="1" t="n">
        <v>45852</v>
      </c>
      <c r="D797" t="inlineStr">
        <is>
          <t>DALARNAS LÄN</t>
        </is>
      </c>
      <c r="E797" t="inlineStr">
        <is>
          <t>MALUNG-SÄLEN</t>
        </is>
      </c>
      <c r="G797" t="n">
        <v>0.4</v>
      </c>
      <c r="H797" t="n">
        <v>0</v>
      </c>
      <c r="I797" t="n">
        <v>0</v>
      </c>
      <c r="J797" t="n">
        <v>0</v>
      </c>
      <c r="K797" t="n">
        <v>0</v>
      </c>
      <c r="L797" t="n">
        <v>0</v>
      </c>
      <c r="M797" t="n">
        <v>0</v>
      </c>
      <c r="N797" t="n">
        <v>0</v>
      </c>
      <c r="O797" t="n">
        <v>0</v>
      </c>
      <c r="P797" t="n">
        <v>0</v>
      </c>
      <c r="Q797" t="n">
        <v>0</v>
      </c>
      <c r="R797" s="2" t="inlineStr"/>
    </row>
    <row r="798" ht="15" customHeight="1">
      <c r="A798" t="inlineStr">
        <is>
          <t>A 46574-2023</t>
        </is>
      </c>
      <c r="B798" s="1" t="n">
        <v>45194</v>
      </c>
      <c r="C798" s="1" t="n">
        <v>45852</v>
      </c>
      <c r="D798" t="inlineStr">
        <is>
          <t>DALARNAS LÄN</t>
        </is>
      </c>
      <c r="E798" t="inlineStr">
        <is>
          <t>MALUNG-SÄLEN</t>
        </is>
      </c>
      <c r="G798" t="n">
        <v>17.2</v>
      </c>
      <c r="H798" t="n">
        <v>0</v>
      </c>
      <c r="I798" t="n">
        <v>0</v>
      </c>
      <c r="J798" t="n">
        <v>0</v>
      </c>
      <c r="K798" t="n">
        <v>0</v>
      </c>
      <c r="L798" t="n">
        <v>0</v>
      </c>
      <c r="M798" t="n">
        <v>0</v>
      </c>
      <c r="N798" t="n">
        <v>0</v>
      </c>
      <c r="O798" t="n">
        <v>0</v>
      </c>
      <c r="P798" t="n">
        <v>0</v>
      </c>
      <c r="Q798" t="n">
        <v>0</v>
      </c>
      <c r="R798" s="2" t="inlineStr"/>
    </row>
    <row r="799" ht="15" customHeight="1">
      <c r="A799" t="inlineStr">
        <is>
          <t>A 45697-2023</t>
        </is>
      </c>
      <c r="B799" s="1" t="n">
        <v>45195</v>
      </c>
      <c r="C799" s="1" t="n">
        <v>45852</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45811-2023</t>
        </is>
      </c>
      <c r="B800" s="1" t="n">
        <v>45195</v>
      </c>
      <c r="C800" s="1" t="n">
        <v>45852</v>
      </c>
      <c r="D800" t="inlineStr">
        <is>
          <t>DALARNAS LÄN</t>
        </is>
      </c>
      <c r="E800" t="inlineStr">
        <is>
          <t>MALUNG-SÄLEN</t>
        </is>
      </c>
      <c r="G800" t="n">
        <v>4.4</v>
      </c>
      <c r="H800" t="n">
        <v>0</v>
      </c>
      <c r="I800" t="n">
        <v>0</v>
      </c>
      <c r="J800" t="n">
        <v>0</v>
      </c>
      <c r="K800" t="n">
        <v>0</v>
      </c>
      <c r="L800" t="n">
        <v>0</v>
      </c>
      <c r="M800" t="n">
        <v>0</v>
      </c>
      <c r="N800" t="n">
        <v>0</v>
      </c>
      <c r="O800" t="n">
        <v>0</v>
      </c>
      <c r="P800" t="n">
        <v>0</v>
      </c>
      <c r="Q800" t="n">
        <v>0</v>
      </c>
      <c r="R800" s="2" t="inlineStr"/>
    </row>
    <row r="801" ht="15" customHeight="1">
      <c r="A801" t="inlineStr">
        <is>
          <t>A 45830-2023</t>
        </is>
      </c>
      <c r="B801" s="1" t="n">
        <v>45195</v>
      </c>
      <c r="C801" s="1" t="n">
        <v>45852</v>
      </c>
      <c r="D801" t="inlineStr">
        <is>
          <t>DALARNAS LÄN</t>
        </is>
      </c>
      <c r="E801" t="inlineStr">
        <is>
          <t>MALUNG-SÄLEN</t>
        </is>
      </c>
      <c r="F801" t="inlineStr">
        <is>
          <t>Allmännings- och besparingsskogar</t>
        </is>
      </c>
      <c r="G801" t="n">
        <v>60.7</v>
      </c>
      <c r="H801" t="n">
        <v>0</v>
      </c>
      <c r="I801" t="n">
        <v>0</v>
      </c>
      <c r="J801" t="n">
        <v>0</v>
      </c>
      <c r="K801" t="n">
        <v>0</v>
      </c>
      <c r="L801" t="n">
        <v>0</v>
      </c>
      <c r="M801" t="n">
        <v>0</v>
      </c>
      <c r="N801" t="n">
        <v>0</v>
      </c>
      <c r="O801" t="n">
        <v>0</v>
      </c>
      <c r="P801" t="n">
        <v>0</v>
      </c>
      <c r="Q801" t="n">
        <v>0</v>
      </c>
      <c r="R801" s="2" t="inlineStr"/>
    </row>
    <row r="802" ht="15" customHeight="1">
      <c r="A802" t="inlineStr">
        <is>
          <t>A 45893-2023</t>
        </is>
      </c>
      <c r="B802" s="1" t="n">
        <v>45195</v>
      </c>
      <c r="C802" s="1" t="n">
        <v>45852</v>
      </c>
      <c r="D802" t="inlineStr">
        <is>
          <t>DALARNAS LÄN</t>
        </is>
      </c>
      <c r="E802" t="inlineStr">
        <is>
          <t>MALUNG-SÄLEN</t>
        </is>
      </c>
      <c r="G802" t="n">
        <v>15.6</v>
      </c>
      <c r="H802" t="n">
        <v>0</v>
      </c>
      <c r="I802" t="n">
        <v>0</v>
      </c>
      <c r="J802" t="n">
        <v>0</v>
      </c>
      <c r="K802" t="n">
        <v>0</v>
      </c>
      <c r="L802" t="n">
        <v>0</v>
      </c>
      <c r="M802" t="n">
        <v>0</v>
      </c>
      <c r="N802" t="n">
        <v>0</v>
      </c>
      <c r="O802" t="n">
        <v>0</v>
      </c>
      <c r="P802" t="n">
        <v>0</v>
      </c>
      <c r="Q802" t="n">
        <v>0</v>
      </c>
      <c r="R802" s="2" t="inlineStr"/>
    </row>
    <row r="803" ht="15" customHeight="1">
      <c r="A803" t="inlineStr">
        <is>
          <t>A 46287-2023</t>
        </is>
      </c>
      <c r="B803" s="1" t="n">
        <v>45197</v>
      </c>
      <c r="C803" s="1" t="n">
        <v>45852</v>
      </c>
      <c r="D803" t="inlineStr">
        <is>
          <t>DALARNAS LÄN</t>
        </is>
      </c>
      <c r="E803" t="inlineStr">
        <is>
          <t>MALUNG-SÄLEN</t>
        </is>
      </c>
      <c r="G803" t="n">
        <v>1.8</v>
      </c>
      <c r="H803" t="n">
        <v>0</v>
      </c>
      <c r="I803" t="n">
        <v>0</v>
      </c>
      <c r="J803" t="n">
        <v>0</v>
      </c>
      <c r="K803" t="n">
        <v>0</v>
      </c>
      <c r="L803" t="n">
        <v>0</v>
      </c>
      <c r="M803" t="n">
        <v>0</v>
      </c>
      <c r="N803" t="n">
        <v>0</v>
      </c>
      <c r="O803" t="n">
        <v>0</v>
      </c>
      <c r="P803" t="n">
        <v>0</v>
      </c>
      <c r="Q803" t="n">
        <v>0</v>
      </c>
      <c r="R803" s="2" t="inlineStr"/>
    </row>
    <row r="804" ht="15" customHeight="1">
      <c r="A804" t="inlineStr">
        <is>
          <t>A 46291-2023</t>
        </is>
      </c>
      <c r="B804" s="1" t="n">
        <v>45197</v>
      </c>
      <c r="C804" s="1" t="n">
        <v>45852</v>
      </c>
      <c r="D804" t="inlineStr">
        <is>
          <t>DALARNAS LÄN</t>
        </is>
      </c>
      <c r="E804" t="inlineStr">
        <is>
          <t>MALUNG-SÄLEN</t>
        </is>
      </c>
      <c r="G804" t="n">
        <v>2.8</v>
      </c>
      <c r="H804" t="n">
        <v>0</v>
      </c>
      <c r="I804" t="n">
        <v>0</v>
      </c>
      <c r="J804" t="n">
        <v>0</v>
      </c>
      <c r="K804" t="n">
        <v>0</v>
      </c>
      <c r="L804" t="n">
        <v>0</v>
      </c>
      <c r="M804" t="n">
        <v>0</v>
      </c>
      <c r="N804" t="n">
        <v>0</v>
      </c>
      <c r="O804" t="n">
        <v>0</v>
      </c>
      <c r="P804" t="n">
        <v>0</v>
      </c>
      <c r="Q804" t="n">
        <v>0</v>
      </c>
      <c r="R804" s="2" t="inlineStr"/>
    </row>
    <row r="805" ht="15" customHeight="1">
      <c r="A805" t="inlineStr">
        <is>
          <t>A 46631-2023</t>
        </is>
      </c>
      <c r="B805" s="1" t="n">
        <v>45198</v>
      </c>
      <c r="C805" s="1" t="n">
        <v>45852</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46659-2023</t>
        </is>
      </c>
      <c r="B806" s="1" t="n">
        <v>45198</v>
      </c>
      <c r="C806" s="1" t="n">
        <v>45852</v>
      </c>
      <c r="D806" t="inlineStr">
        <is>
          <t>DALARNAS LÄN</t>
        </is>
      </c>
      <c r="E806" t="inlineStr">
        <is>
          <t>MALUNG-SÄLEN</t>
        </is>
      </c>
      <c r="F806" t="inlineStr">
        <is>
          <t>Allmännings- och besparingsskogar</t>
        </is>
      </c>
      <c r="G806" t="n">
        <v>17.6</v>
      </c>
      <c r="H806" t="n">
        <v>0</v>
      </c>
      <c r="I806" t="n">
        <v>0</v>
      </c>
      <c r="J806" t="n">
        <v>0</v>
      </c>
      <c r="K806" t="n">
        <v>0</v>
      </c>
      <c r="L806" t="n">
        <v>0</v>
      </c>
      <c r="M806" t="n">
        <v>0</v>
      </c>
      <c r="N806" t="n">
        <v>0</v>
      </c>
      <c r="O806" t="n">
        <v>0</v>
      </c>
      <c r="P806" t="n">
        <v>0</v>
      </c>
      <c r="Q806" t="n">
        <v>0</v>
      </c>
      <c r="R806" s="2" t="inlineStr"/>
    </row>
    <row r="807" ht="15" customHeight="1">
      <c r="A807" t="inlineStr">
        <is>
          <t>A 46702-2023</t>
        </is>
      </c>
      <c r="B807" s="1" t="n">
        <v>45198</v>
      </c>
      <c r="C807" s="1" t="n">
        <v>45852</v>
      </c>
      <c r="D807" t="inlineStr">
        <is>
          <t>DALARNAS LÄN</t>
        </is>
      </c>
      <c r="E807" t="inlineStr">
        <is>
          <t>MALUNG-SÄLEN</t>
        </is>
      </c>
      <c r="F807" t="inlineStr">
        <is>
          <t>Allmännings- och besparingsskogar</t>
        </is>
      </c>
      <c r="G807" t="n">
        <v>7.3</v>
      </c>
      <c r="H807" t="n">
        <v>0</v>
      </c>
      <c r="I807" t="n">
        <v>0</v>
      </c>
      <c r="J807" t="n">
        <v>0</v>
      </c>
      <c r="K807" t="n">
        <v>0</v>
      </c>
      <c r="L807" t="n">
        <v>0</v>
      </c>
      <c r="M807" t="n">
        <v>0</v>
      </c>
      <c r="N807" t="n">
        <v>0</v>
      </c>
      <c r="O807" t="n">
        <v>0</v>
      </c>
      <c r="P807" t="n">
        <v>0</v>
      </c>
      <c r="Q807" t="n">
        <v>0</v>
      </c>
      <c r="R807" s="2" t="inlineStr"/>
    </row>
    <row r="808" ht="15" customHeight="1">
      <c r="A808" t="inlineStr">
        <is>
          <t>A 46624-2023</t>
        </is>
      </c>
      <c r="B808" s="1" t="n">
        <v>45198</v>
      </c>
      <c r="C808" s="1" t="n">
        <v>45852</v>
      </c>
      <c r="D808" t="inlineStr">
        <is>
          <t>DALARNAS LÄN</t>
        </is>
      </c>
      <c r="E808" t="inlineStr">
        <is>
          <t>MALUNG-SÄLEN</t>
        </is>
      </c>
      <c r="F808" t="inlineStr">
        <is>
          <t>Allmännings- och besparingsskogar</t>
        </is>
      </c>
      <c r="G808" t="n">
        <v>11</v>
      </c>
      <c r="H808" t="n">
        <v>0</v>
      </c>
      <c r="I808" t="n">
        <v>0</v>
      </c>
      <c r="J808" t="n">
        <v>0</v>
      </c>
      <c r="K808" t="n">
        <v>0</v>
      </c>
      <c r="L808" t="n">
        <v>0</v>
      </c>
      <c r="M808" t="n">
        <v>0</v>
      </c>
      <c r="N808" t="n">
        <v>0</v>
      </c>
      <c r="O808" t="n">
        <v>0</v>
      </c>
      <c r="P808" t="n">
        <v>0</v>
      </c>
      <c r="Q808" t="n">
        <v>0</v>
      </c>
      <c r="R808" s="2" t="inlineStr"/>
    </row>
    <row r="809" ht="15" customHeight="1">
      <c r="A809" t="inlineStr">
        <is>
          <t>A 46956-2023</t>
        </is>
      </c>
      <c r="B809" s="1" t="n">
        <v>45201</v>
      </c>
      <c r="C809" s="1" t="n">
        <v>45852</v>
      </c>
      <c r="D809" t="inlineStr">
        <is>
          <t>DALARNAS LÄN</t>
        </is>
      </c>
      <c r="E809" t="inlineStr">
        <is>
          <t>MALUNG-SÄLEN</t>
        </is>
      </c>
      <c r="G809" t="n">
        <v>5.8</v>
      </c>
      <c r="H809" t="n">
        <v>0</v>
      </c>
      <c r="I809" t="n">
        <v>0</v>
      </c>
      <c r="J809" t="n">
        <v>0</v>
      </c>
      <c r="K809" t="n">
        <v>0</v>
      </c>
      <c r="L809" t="n">
        <v>0</v>
      </c>
      <c r="M809" t="n">
        <v>0</v>
      </c>
      <c r="N809" t="n">
        <v>0</v>
      </c>
      <c r="O809" t="n">
        <v>0</v>
      </c>
      <c r="P809" t="n">
        <v>0</v>
      </c>
      <c r="Q809" t="n">
        <v>0</v>
      </c>
      <c r="R809" s="2" t="inlineStr"/>
    </row>
    <row r="810" ht="15" customHeight="1">
      <c r="A810" t="inlineStr">
        <is>
          <t>A 48156-2023</t>
        </is>
      </c>
      <c r="B810" s="1" t="n">
        <v>45201</v>
      </c>
      <c r="C810" s="1" t="n">
        <v>45852</v>
      </c>
      <c r="D810" t="inlineStr">
        <is>
          <t>DALARNAS LÄN</t>
        </is>
      </c>
      <c r="E810" t="inlineStr">
        <is>
          <t>MALUNG-SÄLEN</t>
        </is>
      </c>
      <c r="G810" t="n">
        <v>1.5</v>
      </c>
      <c r="H810" t="n">
        <v>0</v>
      </c>
      <c r="I810" t="n">
        <v>0</v>
      </c>
      <c r="J810" t="n">
        <v>0</v>
      </c>
      <c r="K810" t="n">
        <v>0</v>
      </c>
      <c r="L810" t="n">
        <v>0</v>
      </c>
      <c r="M810" t="n">
        <v>0</v>
      </c>
      <c r="N810" t="n">
        <v>0</v>
      </c>
      <c r="O810" t="n">
        <v>0</v>
      </c>
      <c r="P810" t="n">
        <v>0</v>
      </c>
      <c r="Q810" t="n">
        <v>0</v>
      </c>
      <c r="R810" s="2" t="inlineStr"/>
    </row>
    <row r="811" ht="15" customHeight="1">
      <c r="A811" t="inlineStr">
        <is>
          <t>A 47351-2023</t>
        </is>
      </c>
      <c r="B811" s="1" t="n">
        <v>45202</v>
      </c>
      <c r="C811" s="1" t="n">
        <v>45852</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47379-2023</t>
        </is>
      </c>
      <c r="B812" s="1" t="n">
        <v>45202</v>
      </c>
      <c r="C812" s="1" t="n">
        <v>45852</v>
      </c>
      <c r="D812" t="inlineStr">
        <is>
          <t>DALARNAS LÄN</t>
        </is>
      </c>
      <c r="E812" t="inlineStr">
        <is>
          <t>MALUNG-SÄLEN</t>
        </is>
      </c>
      <c r="G812" t="n">
        <v>5.9</v>
      </c>
      <c r="H812" t="n">
        <v>0</v>
      </c>
      <c r="I812" t="n">
        <v>0</v>
      </c>
      <c r="J812" t="n">
        <v>0</v>
      </c>
      <c r="K812" t="n">
        <v>0</v>
      </c>
      <c r="L812" t="n">
        <v>0</v>
      </c>
      <c r="M812" t="n">
        <v>0</v>
      </c>
      <c r="N812" t="n">
        <v>0</v>
      </c>
      <c r="O812" t="n">
        <v>0</v>
      </c>
      <c r="P812" t="n">
        <v>0</v>
      </c>
      <c r="Q812" t="n">
        <v>0</v>
      </c>
      <c r="R812" s="2" t="inlineStr"/>
    </row>
    <row r="813" ht="15" customHeight="1">
      <c r="A813" t="inlineStr">
        <is>
          <t>A 47513-2023</t>
        </is>
      </c>
      <c r="B813" s="1" t="n">
        <v>45203</v>
      </c>
      <c r="C813" s="1" t="n">
        <v>45852</v>
      </c>
      <c r="D813" t="inlineStr">
        <is>
          <t>DALARNAS LÄN</t>
        </is>
      </c>
      <c r="E813" t="inlineStr">
        <is>
          <t>MALUNG-SÄLEN</t>
        </is>
      </c>
      <c r="G813" t="n">
        <v>3</v>
      </c>
      <c r="H813" t="n">
        <v>0</v>
      </c>
      <c r="I813" t="n">
        <v>0</v>
      </c>
      <c r="J813" t="n">
        <v>0</v>
      </c>
      <c r="K813" t="n">
        <v>0</v>
      </c>
      <c r="L813" t="n">
        <v>0</v>
      </c>
      <c r="M813" t="n">
        <v>0</v>
      </c>
      <c r="N813" t="n">
        <v>0</v>
      </c>
      <c r="O813" t="n">
        <v>0</v>
      </c>
      <c r="P813" t="n">
        <v>0</v>
      </c>
      <c r="Q813" t="n">
        <v>0</v>
      </c>
      <c r="R813" s="2" t="inlineStr"/>
    </row>
    <row r="814" ht="15" customHeight="1">
      <c r="A814" t="inlineStr">
        <is>
          <t>A 47603-2023</t>
        </is>
      </c>
      <c r="B814" s="1" t="n">
        <v>45203</v>
      </c>
      <c r="C814" s="1" t="n">
        <v>45852</v>
      </c>
      <c r="D814" t="inlineStr">
        <is>
          <t>DALARNAS LÄN</t>
        </is>
      </c>
      <c r="E814" t="inlineStr">
        <is>
          <t>MALUNG-SÄLEN</t>
        </is>
      </c>
      <c r="G814" t="n">
        <v>1.7</v>
      </c>
      <c r="H814" t="n">
        <v>0</v>
      </c>
      <c r="I814" t="n">
        <v>0</v>
      </c>
      <c r="J814" t="n">
        <v>0</v>
      </c>
      <c r="K814" t="n">
        <v>0</v>
      </c>
      <c r="L814" t="n">
        <v>0</v>
      </c>
      <c r="M814" t="n">
        <v>0</v>
      </c>
      <c r="N814" t="n">
        <v>0</v>
      </c>
      <c r="O814" t="n">
        <v>0</v>
      </c>
      <c r="P814" t="n">
        <v>0</v>
      </c>
      <c r="Q814" t="n">
        <v>0</v>
      </c>
      <c r="R814" s="2" t="inlineStr"/>
    </row>
    <row r="815" ht="15" customHeight="1">
      <c r="A815" t="inlineStr">
        <is>
          <t>A 47957-2023</t>
        </is>
      </c>
      <c r="B815" s="1" t="n">
        <v>45204</v>
      </c>
      <c r="C815" s="1" t="n">
        <v>45852</v>
      </c>
      <c r="D815" t="inlineStr">
        <is>
          <t>DALARNAS LÄN</t>
        </is>
      </c>
      <c r="E815" t="inlineStr">
        <is>
          <t>MALUNG-SÄLEN</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47963-2023</t>
        </is>
      </c>
      <c r="B816" s="1" t="n">
        <v>45204</v>
      </c>
      <c r="C816" s="1" t="n">
        <v>45852</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47976-2023</t>
        </is>
      </c>
      <c r="B817" s="1" t="n">
        <v>45204</v>
      </c>
      <c r="C817" s="1" t="n">
        <v>45852</v>
      </c>
      <c r="D817" t="inlineStr">
        <is>
          <t>DALARNAS LÄN</t>
        </is>
      </c>
      <c r="E817" t="inlineStr">
        <is>
          <t>MALUNG-SÄLEN</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47971-2023</t>
        </is>
      </c>
      <c r="B818" s="1" t="n">
        <v>45204</v>
      </c>
      <c r="C818" s="1" t="n">
        <v>45852</v>
      </c>
      <c r="D818" t="inlineStr">
        <is>
          <t>DALARNAS LÄN</t>
        </is>
      </c>
      <c r="E818" t="inlineStr">
        <is>
          <t>MALUNG-SÄLEN</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47979-2023</t>
        </is>
      </c>
      <c r="B819" s="1" t="n">
        <v>45204</v>
      </c>
      <c r="C819" s="1" t="n">
        <v>45852</v>
      </c>
      <c r="D819" t="inlineStr">
        <is>
          <t>DALARNAS LÄN</t>
        </is>
      </c>
      <c r="E819" t="inlineStr">
        <is>
          <t>MALUNG-SÄLEN</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48135-2023</t>
        </is>
      </c>
      <c r="B820" s="1" t="n">
        <v>45205</v>
      </c>
      <c r="C820" s="1" t="n">
        <v>45852</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48363-2023</t>
        </is>
      </c>
      <c r="B821" s="1" t="n">
        <v>45205</v>
      </c>
      <c r="C821" s="1" t="n">
        <v>45852</v>
      </c>
      <c r="D821" t="inlineStr">
        <is>
          <t>DALARNAS LÄN</t>
        </is>
      </c>
      <c r="E821" t="inlineStr">
        <is>
          <t>MALUNG-SÄLEN</t>
        </is>
      </c>
      <c r="G821" t="n">
        <v>2.4</v>
      </c>
      <c r="H821" t="n">
        <v>0</v>
      </c>
      <c r="I821" t="n">
        <v>0</v>
      </c>
      <c r="J821" t="n">
        <v>0</v>
      </c>
      <c r="K821" t="n">
        <v>0</v>
      </c>
      <c r="L821" t="n">
        <v>0</v>
      </c>
      <c r="M821" t="n">
        <v>0</v>
      </c>
      <c r="N821" t="n">
        <v>0</v>
      </c>
      <c r="O821" t="n">
        <v>0</v>
      </c>
      <c r="P821" t="n">
        <v>0</v>
      </c>
      <c r="Q821" t="n">
        <v>0</v>
      </c>
      <c r="R821" s="2" t="inlineStr"/>
    </row>
    <row r="822" ht="15" customHeight="1">
      <c r="A822" t="inlineStr">
        <is>
          <t>A 48272-2023</t>
        </is>
      </c>
      <c r="B822" s="1" t="n">
        <v>45205</v>
      </c>
      <c r="C822" s="1" t="n">
        <v>45852</v>
      </c>
      <c r="D822" t="inlineStr">
        <is>
          <t>DALARNAS LÄN</t>
        </is>
      </c>
      <c r="E822" t="inlineStr">
        <is>
          <t>MALUNG-SÄLEN</t>
        </is>
      </c>
      <c r="G822" t="n">
        <v>2.1</v>
      </c>
      <c r="H822" t="n">
        <v>0</v>
      </c>
      <c r="I822" t="n">
        <v>0</v>
      </c>
      <c r="J822" t="n">
        <v>0</v>
      </c>
      <c r="K822" t="n">
        <v>0</v>
      </c>
      <c r="L822" t="n">
        <v>0</v>
      </c>
      <c r="M822" t="n">
        <v>0</v>
      </c>
      <c r="N822" t="n">
        <v>0</v>
      </c>
      <c r="O822" t="n">
        <v>0</v>
      </c>
      <c r="P822" t="n">
        <v>0</v>
      </c>
      <c r="Q822" t="n">
        <v>0</v>
      </c>
      <c r="R822" s="2" t="inlineStr"/>
    </row>
    <row r="823" ht="15" customHeight="1">
      <c r="A823" t="inlineStr">
        <is>
          <t>A 49480-2023</t>
        </is>
      </c>
      <c r="B823" s="1" t="n">
        <v>45211</v>
      </c>
      <c r="C823" s="1" t="n">
        <v>45852</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50039-2023</t>
        </is>
      </c>
      <c r="B824" s="1" t="n">
        <v>45215</v>
      </c>
      <c r="C824" s="1" t="n">
        <v>45852</v>
      </c>
      <c r="D824" t="inlineStr">
        <is>
          <t>DALARNAS LÄN</t>
        </is>
      </c>
      <c r="E824" t="inlineStr">
        <is>
          <t>MALUNG-SÄLEN</t>
        </is>
      </c>
      <c r="G824" t="n">
        <v>1.1</v>
      </c>
      <c r="H824" t="n">
        <v>0</v>
      </c>
      <c r="I824" t="n">
        <v>0</v>
      </c>
      <c r="J824" t="n">
        <v>0</v>
      </c>
      <c r="K824" t="n">
        <v>0</v>
      </c>
      <c r="L824" t="n">
        <v>0</v>
      </c>
      <c r="M824" t="n">
        <v>0</v>
      </c>
      <c r="N824" t="n">
        <v>0</v>
      </c>
      <c r="O824" t="n">
        <v>0</v>
      </c>
      <c r="P824" t="n">
        <v>0</v>
      </c>
      <c r="Q824" t="n">
        <v>0</v>
      </c>
      <c r="R824" s="2" t="inlineStr"/>
    </row>
    <row r="825" ht="15" customHeight="1">
      <c r="A825" t="inlineStr">
        <is>
          <t>A 50029-2023</t>
        </is>
      </c>
      <c r="B825" s="1" t="n">
        <v>45215</v>
      </c>
      <c r="C825" s="1" t="n">
        <v>45852</v>
      </c>
      <c r="D825" t="inlineStr">
        <is>
          <t>DALARNAS LÄN</t>
        </is>
      </c>
      <c r="E825" t="inlineStr">
        <is>
          <t>MALUNG-SÄLEN</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52028-2023</t>
        </is>
      </c>
      <c r="B826" s="1" t="n">
        <v>45216</v>
      </c>
      <c r="C826" s="1" t="n">
        <v>45852</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51975-2023</t>
        </is>
      </c>
      <c r="B827" s="1" t="n">
        <v>45219</v>
      </c>
      <c r="C827" s="1" t="n">
        <v>45852</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51301-2023</t>
        </is>
      </c>
      <c r="B828" s="1" t="n">
        <v>45219</v>
      </c>
      <c r="C828" s="1" t="n">
        <v>45852</v>
      </c>
      <c r="D828" t="inlineStr">
        <is>
          <t>DALARNAS LÄN</t>
        </is>
      </c>
      <c r="E828" t="inlineStr">
        <is>
          <t>MALUNG-SÄLEN</t>
        </is>
      </c>
      <c r="G828" t="n">
        <v>6.2</v>
      </c>
      <c r="H828" t="n">
        <v>0</v>
      </c>
      <c r="I828" t="n">
        <v>0</v>
      </c>
      <c r="J828" t="n">
        <v>0</v>
      </c>
      <c r="K828" t="n">
        <v>0</v>
      </c>
      <c r="L828" t="n">
        <v>0</v>
      </c>
      <c r="M828" t="n">
        <v>0</v>
      </c>
      <c r="N828" t="n">
        <v>0</v>
      </c>
      <c r="O828" t="n">
        <v>0</v>
      </c>
      <c r="P828" t="n">
        <v>0</v>
      </c>
      <c r="Q828" t="n">
        <v>0</v>
      </c>
      <c r="R828" s="2" t="inlineStr"/>
    </row>
    <row r="829" ht="15" customHeight="1">
      <c r="A829" t="inlineStr">
        <is>
          <t>A 51295-2023</t>
        </is>
      </c>
      <c r="B829" s="1" t="n">
        <v>45219</v>
      </c>
      <c r="C829" s="1" t="n">
        <v>45852</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52004-2023</t>
        </is>
      </c>
      <c r="B830" s="1" t="n">
        <v>45219</v>
      </c>
      <c r="C830" s="1" t="n">
        <v>45852</v>
      </c>
      <c r="D830" t="inlineStr">
        <is>
          <t>DALARNAS LÄN</t>
        </is>
      </c>
      <c r="E830" t="inlineStr">
        <is>
          <t>MALUNG-SÄLEN</t>
        </is>
      </c>
      <c r="G830" t="n">
        <v>1.6</v>
      </c>
      <c r="H830" t="n">
        <v>0</v>
      </c>
      <c r="I830" t="n">
        <v>0</v>
      </c>
      <c r="J830" t="n">
        <v>0</v>
      </c>
      <c r="K830" t="n">
        <v>0</v>
      </c>
      <c r="L830" t="n">
        <v>0</v>
      </c>
      <c r="M830" t="n">
        <v>0</v>
      </c>
      <c r="N830" t="n">
        <v>0</v>
      </c>
      <c r="O830" t="n">
        <v>0</v>
      </c>
      <c r="P830" t="n">
        <v>0</v>
      </c>
      <c r="Q830" t="n">
        <v>0</v>
      </c>
      <c r="R830" s="2" t="inlineStr"/>
    </row>
    <row r="831" ht="15" customHeight="1">
      <c r="A831" t="inlineStr">
        <is>
          <t>A 51452-2023</t>
        </is>
      </c>
      <c r="B831" s="1" t="n">
        <v>45220</v>
      </c>
      <c r="C831" s="1" t="n">
        <v>45852</v>
      </c>
      <c r="D831" t="inlineStr">
        <is>
          <t>DALARNAS LÄN</t>
        </is>
      </c>
      <c r="E831" t="inlineStr">
        <is>
          <t>MALUNG-SÄLEN</t>
        </is>
      </c>
      <c r="G831" t="n">
        <v>6.4</v>
      </c>
      <c r="H831" t="n">
        <v>0</v>
      </c>
      <c r="I831" t="n">
        <v>0</v>
      </c>
      <c r="J831" t="n">
        <v>0</v>
      </c>
      <c r="K831" t="n">
        <v>0</v>
      </c>
      <c r="L831" t="n">
        <v>0</v>
      </c>
      <c r="M831" t="n">
        <v>0</v>
      </c>
      <c r="N831" t="n">
        <v>0</v>
      </c>
      <c r="O831" t="n">
        <v>0</v>
      </c>
      <c r="P831" t="n">
        <v>0</v>
      </c>
      <c r="Q831" t="n">
        <v>0</v>
      </c>
      <c r="R831" s="2" t="inlineStr"/>
    </row>
    <row r="832" ht="15" customHeight="1">
      <c r="A832" t="inlineStr">
        <is>
          <t>A 51900-2023</t>
        </is>
      </c>
      <c r="B832" s="1" t="n">
        <v>45223</v>
      </c>
      <c r="C832" s="1" t="n">
        <v>45852</v>
      </c>
      <c r="D832" t="inlineStr">
        <is>
          <t>DALARNAS LÄN</t>
        </is>
      </c>
      <c r="E832" t="inlineStr">
        <is>
          <t>MALUNG-SÄLEN</t>
        </is>
      </c>
      <c r="F832" t="inlineStr">
        <is>
          <t>Allmännings- och besparingsskogar</t>
        </is>
      </c>
      <c r="G832" t="n">
        <v>12.4</v>
      </c>
      <c r="H832" t="n">
        <v>0</v>
      </c>
      <c r="I832" t="n">
        <v>0</v>
      </c>
      <c r="J832" t="n">
        <v>0</v>
      </c>
      <c r="K832" t="n">
        <v>0</v>
      </c>
      <c r="L832" t="n">
        <v>0</v>
      </c>
      <c r="M832" t="n">
        <v>0</v>
      </c>
      <c r="N832" t="n">
        <v>0</v>
      </c>
      <c r="O832" t="n">
        <v>0</v>
      </c>
      <c r="P832" t="n">
        <v>0</v>
      </c>
      <c r="Q832" t="n">
        <v>0</v>
      </c>
      <c r="R832" s="2" t="inlineStr"/>
    </row>
    <row r="833" ht="15" customHeight="1">
      <c r="A833" t="inlineStr">
        <is>
          <t>A 52085-2023</t>
        </is>
      </c>
      <c r="B833" s="1" t="n">
        <v>45223</v>
      </c>
      <c r="C833" s="1" t="n">
        <v>45852</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51901-2023</t>
        </is>
      </c>
      <c r="B834" s="1" t="n">
        <v>45223</v>
      </c>
      <c r="C834" s="1" t="n">
        <v>45852</v>
      </c>
      <c r="D834" t="inlineStr">
        <is>
          <t>DALARNAS LÄN</t>
        </is>
      </c>
      <c r="E834" t="inlineStr">
        <is>
          <t>MALUNG-SÄLEN</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52065-2023</t>
        </is>
      </c>
      <c r="B835" s="1" t="n">
        <v>45223</v>
      </c>
      <c r="C835" s="1" t="n">
        <v>45852</v>
      </c>
      <c r="D835" t="inlineStr">
        <is>
          <t>DALARNAS LÄN</t>
        </is>
      </c>
      <c r="E835" t="inlineStr">
        <is>
          <t>MALUNG-SÄLEN</t>
        </is>
      </c>
      <c r="G835" t="n">
        <v>18.4</v>
      </c>
      <c r="H835" t="n">
        <v>0</v>
      </c>
      <c r="I835" t="n">
        <v>0</v>
      </c>
      <c r="J835" t="n">
        <v>0</v>
      </c>
      <c r="K835" t="n">
        <v>0</v>
      </c>
      <c r="L835" t="n">
        <v>0</v>
      </c>
      <c r="M835" t="n">
        <v>0</v>
      </c>
      <c r="N835" t="n">
        <v>0</v>
      </c>
      <c r="O835" t="n">
        <v>0</v>
      </c>
      <c r="P835" t="n">
        <v>0</v>
      </c>
      <c r="Q835" t="n">
        <v>0</v>
      </c>
      <c r="R835" s="2" t="inlineStr"/>
    </row>
    <row r="836" ht="15" customHeight="1">
      <c r="A836" t="inlineStr">
        <is>
          <t>A 52323-2023</t>
        </is>
      </c>
      <c r="B836" s="1" t="n">
        <v>45224</v>
      </c>
      <c r="C836" s="1" t="n">
        <v>45852</v>
      </c>
      <c r="D836" t="inlineStr">
        <is>
          <t>DALARNAS LÄN</t>
        </is>
      </c>
      <c r="E836" t="inlineStr">
        <is>
          <t>MALUNG-SÄLEN</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52418-2023</t>
        </is>
      </c>
      <c r="B837" s="1" t="n">
        <v>45225</v>
      </c>
      <c r="C837" s="1" t="n">
        <v>45852</v>
      </c>
      <c r="D837" t="inlineStr">
        <is>
          <t>DALARNAS LÄN</t>
        </is>
      </c>
      <c r="E837" t="inlineStr">
        <is>
          <t>MALUNG-SÄLEN</t>
        </is>
      </c>
      <c r="G837" t="n">
        <v>2.8</v>
      </c>
      <c r="H837" t="n">
        <v>0</v>
      </c>
      <c r="I837" t="n">
        <v>0</v>
      </c>
      <c r="J837" t="n">
        <v>0</v>
      </c>
      <c r="K837" t="n">
        <v>0</v>
      </c>
      <c r="L837" t="n">
        <v>0</v>
      </c>
      <c r="M837" t="n">
        <v>0</v>
      </c>
      <c r="N837" t="n">
        <v>0</v>
      </c>
      <c r="O837" t="n">
        <v>0</v>
      </c>
      <c r="P837" t="n">
        <v>0</v>
      </c>
      <c r="Q837" t="n">
        <v>0</v>
      </c>
      <c r="R837" s="2" t="inlineStr"/>
    </row>
    <row r="838" ht="15" customHeight="1">
      <c r="A838" t="inlineStr">
        <is>
          <t>A 52429-2023</t>
        </is>
      </c>
      <c r="B838" s="1" t="n">
        <v>45225</v>
      </c>
      <c r="C838" s="1" t="n">
        <v>45852</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52557-2023</t>
        </is>
      </c>
      <c r="B839" s="1" t="n">
        <v>45225</v>
      </c>
      <c r="C839" s="1" t="n">
        <v>45852</v>
      </c>
      <c r="D839" t="inlineStr">
        <is>
          <t>DALARNAS LÄN</t>
        </is>
      </c>
      <c r="E839" t="inlineStr">
        <is>
          <t>MALUNG-SÄLEN</t>
        </is>
      </c>
      <c r="F839" t="inlineStr">
        <is>
          <t>Allmännings- och besparingsskogar</t>
        </is>
      </c>
      <c r="G839" t="n">
        <v>38.6</v>
      </c>
      <c r="H839" t="n">
        <v>0</v>
      </c>
      <c r="I839" t="n">
        <v>0</v>
      </c>
      <c r="J839" t="n">
        <v>0</v>
      </c>
      <c r="K839" t="n">
        <v>0</v>
      </c>
      <c r="L839" t="n">
        <v>0</v>
      </c>
      <c r="M839" t="n">
        <v>0</v>
      </c>
      <c r="N839" t="n">
        <v>0</v>
      </c>
      <c r="O839" t="n">
        <v>0</v>
      </c>
      <c r="P839" t="n">
        <v>0</v>
      </c>
      <c r="Q839" t="n">
        <v>0</v>
      </c>
      <c r="R839" s="2" t="inlineStr"/>
    </row>
    <row r="840" ht="15" customHeight="1">
      <c r="A840" t="inlineStr">
        <is>
          <t>A 52576-2023</t>
        </is>
      </c>
      <c r="B840" s="1" t="n">
        <v>45225</v>
      </c>
      <c r="C840" s="1" t="n">
        <v>45852</v>
      </c>
      <c r="D840" t="inlineStr">
        <is>
          <t>DALARNAS LÄN</t>
        </is>
      </c>
      <c r="E840" t="inlineStr">
        <is>
          <t>MALUNG-SÄLEN</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52526-2023</t>
        </is>
      </c>
      <c r="B841" s="1" t="n">
        <v>45225</v>
      </c>
      <c r="C841" s="1" t="n">
        <v>45852</v>
      </c>
      <c r="D841" t="inlineStr">
        <is>
          <t>DALARNAS LÄN</t>
        </is>
      </c>
      <c r="E841" t="inlineStr">
        <is>
          <t>MALUNG-SÄLEN</t>
        </is>
      </c>
      <c r="F841" t="inlineStr">
        <is>
          <t>Allmännings- och besparingsskogar</t>
        </is>
      </c>
      <c r="G841" t="n">
        <v>13.7</v>
      </c>
      <c r="H841" t="n">
        <v>0</v>
      </c>
      <c r="I841" t="n">
        <v>0</v>
      </c>
      <c r="J841" t="n">
        <v>0</v>
      </c>
      <c r="K841" t="n">
        <v>0</v>
      </c>
      <c r="L841" t="n">
        <v>0</v>
      </c>
      <c r="M841" t="n">
        <v>0</v>
      </c>
      <c r="N841" t="n">
        <v>0</v>
      </c>
      <c r="O841" t="n">
        <v>0</v>
      </c>
      <c r="P841" t="n">
        <v>0</v>
      </c>
      <c r="Q841" t="n">
        <v>0</v>
      </c>
      <c r="R841" s="2" t="inlineStr"/>
    </row>
    <row r="842" ht="15" customHeight="1">
      <c r="A842" t="inlineStr">
        <is>
          <t>A 52552-2023</t>
        </is>
      </c>
      <c r="B842" s="1" t="n">
        <v>45225</v>
      </c>
      <c r="C842" s="1" t="n">
        <v>45852</v>
      </c>
      <c r="D842" t="inlineStr">
        <is>
          <t>DALARNAS LÄN</t>
        </is>
      </c>
      <c r="E842" t="inlineStr">
        <is>
          <t>MALUNG-SÄLEN</t>
        </is>
      </c>
      <c r="F842" t="inlineStr">
        <is>
          <t>Allmännings- och besparingsskogar</t>
        </is>
      </c>
      <c r="G842" t="n">
        <v>6.8</v>
      </c>
      <c r="H842" t="n">
        <v>0</v>
      </c>
      <c r="I842" t="n">
        <v>0</v>
      </c>
      <c r="J842" t="n">
        <v>0</v>
      </c>
      <c r="K842" t="n">
        <v>0</v>
      </c>
      <c r="L842" t="n">
        <v>0</v>
      </c>
      <c r="M842" t="n">
        <v>0</v>
      </c>
      <c r="N842" t="n">
        <v>0</v>
      </c>
      <c r="O842" t="n">
        <v>0</v>
      </c>
      <c r="P842" t="n">
        <v>0</v>
      </c>
      <c r="Q842" t="n">
        <v>0</v>
      </c>
      <c r="R842" s="2" t="inlineStr"/>
    </row>
    <row r="843" ht="15" customHeight="1">
      <c r="A843" t="inlineStr">
        <is>
          <t>A 52579-2023</t>
        </is>
      </c>
      <c r="B843" s="1" t="n">
        <v>45225</v>
      </c>
      <c r="C843" s="1" t="n">
        <v>45852</v>
      </c>
      <c r="D843" t="inlineStr">
        <is>
          <t>DALARNAS LÄN</t>
        </is>
      </c>
      <c r="E843" t="inlineStr">
        <is>
          <t>MALUNG-SÄLEN</t>
        </is>
      </c>
      <c r="G843" t="n">
        <v>0.5</v>
      </c>
      <c r="H843" t="n">
        <v>0</v>
      </c>
      <c r="I843" t="n">
        <v>0</v>
      </c>
      <c r="J843" t="n">
        <v>0</v>
      </c>
      <c r="K843" t="n">
        <v>0</v>
      </c>
      <c r="L843" t="n">
        <v>0</v>
      </c>
      <c r="M843" t="n">
        <v>0</v>
      </c>
      <c r="N843" t="n">
        <v>0</v>
      </c>
      <c r="O843" t="n">
        <v>0</v>
      </c>
      <c r="P843" t="n">
        <v>0</v>
      </c>
      <c r="Q843" t="n">
        <v>0</v>
      </c>
      <c r="R843" s="2" t="inlineStr"/>
    </row>
    <row r="844" ht="15" customHeight="1">
      <c r="A844" t="inlineStr">
        <is>
          <t>A 52507-2023</t>
        </is>
      </c>
      <c r="B844" s="1" t="n">
        <v>45225</v>
      </c>
      <c r="C844" s="1" t="n">
        <v>45852</v>
      </c>
      <c r="D844" t="inlineStr">
        <is>
          <t>DALARNAS LÄN</t>
        </is>
      </c>
      <c r="E844" t="inlineStr">
        <is>
          <t>MALUNG-SÄLEN</t>
        </is>
      </c>
      <c r="G844" t="n">
        <v>2.5</v>
      </c>
      <c r="H844" t="n">
        <v>0</v>
      </c>
      <c r="I844" t="n">
        <v>0</v>
      </c>
      <c r="J844" t="n">
        <v>0</v>
      </c>
      <c r="K844" t="n">
        <v>0</v>
      </c>
      <c r="L844" t="n">
        <v>0</v>
      </c>
      <c r="M844" t="n">
        <v>0</v>
      </c>
      <c r="N844" t="n">
        <v>0</v>
      </c>
      <c r="O844" t="n">
        <v>0</v>
      </c>
      <c r="P844" t="n">
        <v>0</v>
      </c>
      <c r="Q844" t="n">
        <v>0</v>
      </c>
      <c r="R844" s="2" t="inlineStr"/>
    </row>
    <row r="845" ht="15" customHeight="1">
      <c r="A845" t="inlineStr">
        <is>
          <t>A 52578-2023</t>
        </is>
      </c>
      <c r="B845" s="1" t="n">
        <v>45225</v>
      </c>
      <c r="C845" s="1" t="n">
        <v>45852</v>
      </c>
      <c r="D845" t="inlineStr">
        <is>
          <t>DALARNAS LÄN</t>
        </is>
      </c>
      <c r="E845" t="inlineStr">
        <is>
          <t>MALUNG-SÄLEN</t>
        </is>
      </c>
      <c r="F845" t="inlineStr">
        <is>
          <t>Allmännings- och besparingsskogar</t>
        </is>
      </c>
      <c r="G845" t="n">
        <v>52.2</v>
      </c>
      <c r="H845" t="n">
        <v>0</v>
      </c>
      <c r="I845" t="n">
        <v>0</v>
      </c>
      <c r="J845" t="n">
        <v>0</v>
      </c>
      <c r="K845" t="n">
        <v>0</v>
      </c>
      <c r="L845" t="n">
        <v>0</v>
      </c>
      <c r="M845" t="n">
        <v>0</v>
      </c>
      <c r="N845" t="n">
        <v>0</v>
      </c>
      <c r="O845" t="n">
        <v>0</v>
      </c>
      <c r="P845" t="n">
        <v>0</v>
      </c>
      <c r="Q845" t="n">
        <v>0</v>
      </c>
      <c r="R845" s="2" t="inlineStr"/>
    </row>
    <row r="846" ht="15" customHeight="1">
      <c r="A846" t="inlineStr">
        <is>
          <t>A 52582-2023</t>
        </is>
      </c>
      <c r="B846" s="1" t="n">
        <v>45225</v>
      </c>
      <c r="C846" s="1" t="n">
        <v>45852</v>
      </c>
      <c r="D846" t="inlineStr">
        <is>
          <t>DALARNAS LÄN</t>
        </is>
      </c>
      <c r="E846" t="inlineStr">
        <is>
          <t>MALUNG-SÄLEN</t>
        </is>
      </c>
      <c r="G846" t="n">
        <v>0.6</v>
      </c>
      <c r="H846" t="n">
        <v>0</v>
      </c>
      <c r="I846" t="n">
        <v>0</v>
      </c>
      <c r="J846" t="n">
        <v>0</v>
      </c>
      <c r="K846" t="n">
        <v>0</v>
      </c>
      <c r="L846" t="n">
        <v>0</v>
      </c>
      <c r="M846" t="n">
        <v>0</v>
      </c>
      <c r="N846" t="n">
        <v>0</v>
      </c>
      <c r="O846" t="n">
        <v>0</v>
      </c>
      <c r="P846" t="n">
        <v>0</v>
      </c>
      <c r="Q846" t="n">
        <v>0</v>
      </c>
      <c r="R846" s="2" t="inlineStr"/>
    </row>
    <row r="847" ht="15" customHeight="1">
      <c r="A847" t="inlineStr">
        <is>
          <t>A 54454-2023</t>
        </is>
      </c>
      <c r="B847" s="1" t="n">
        <v>45226</v>
      </c>
      <c r="C847" s="1" t="n">
        <v>45852</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52871-2023</t>
        </is>
      </c>
      <c r="B848" s="1" t="n">
        <v>45226</v>
      </c>
      <c r="C848" s="1" t="n">
        <v>45852</v>
      </c>
      <c r="D848" t="inlineStr">
        <is>
          <t>DALARNAS LÄN</t>
        </is>
      </c>
      <c r="E848" t="inlineStr">
        <is>
          <t>MALUNG-SÄLEN</t>
        </is>
      </c>
      <c r="G848" t="n">
        <v>1</v>
      </c>
      <c r="H848" t="n">
        <v>0</v>
      </c>
      <c r="I848" t="n">
        <v>0</v>
      </c>
      <c r="J848" t="n">
        <v>0</v>
      </c>
      <c r="K848" t="n">
        <v>0</v>
      </c>
      <c r="L848" t="n">
        <v>0</v>
      </c>
      <c r="M848" t="n">
        <v>0</v>
      </c>
      <c r="N848" t="n">
        <v>0</v>
      </c>
      <c r="O848" t="n">
        <v>0</v>
      </c>
      <c r="P848" t="n">
        <v>0</v>
      </c>
      <c r="Q848" t="n">
        <v>0</v>
      </c>
      <c r="R848" s="2" t="inlineStr"/>
    </row>
    <row r="849" ht="15" customHeight="1">
      <c r="A849" t="inlineStr">
        <is>
          <t>A 52942-2023</t>
        </is>
      </c>
      <c r="B849" s="1" t="n">
        <v>45226</v>
      </c>
      <c r="C849" s="1" t="n">
        <v>45852</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52987-2023</t>
        </is>
      </c>
      <c r="B850" s="1" t="n">
        <v>45226</v>
      </c>
      <c r="C850" s="1" t="n">
        <v>45852</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52884-2023</t>
        </is>
      </c>
      <c r="B851" s="1" t="n">
        <v>45226</v>
      </c>
      <c r="C851" s="1" t="n">
        <v>45852</v>
      </c>
      <c r="D851" t="inlineStr">
        <is>
          <t>DALARNAS LÄN</t>
        </is>
      </c>
      <c r="E851" t="inlineStr">
        <is>
          <t>MALUNG-SÄLEN</t>
        </is>
      </c>
      <c r="G851" t="n">
        <v>5.6</v>
      </c>
      <c r="H851" t="n">
        <v>0</v>
      </c>
      <c r="I851" t="n">
        <v>0</v>
      </c>
      <c r="J851" t="n">
        <v>0</v>
      </c>
      <c r="K851" t="n">
        <v>0</v>
      </c>
      <c r="L851" t="n">
        <v>0</v>
      </c>
      <c r="M851" t="n">
        <v>0</v>
      </c>
      <c r="N851" t="n">
        <v>0</v>
      </c>
      <c r="O851" t="n">
        <v>0</v>
      </c>
      <c r="P851" t="n">
        <v>0</v>
      </c>
      <c r="Q851" t="n">
        <v>0</v>
      </c>
      <c r="R851" s="2" t="inlineStr"/>
    </row>
    <row r="852" ht="15" customHeight="1">
      <c r="A852" t="inlineStr">
        <is>
          <t>A 52857-2023</t>
        </is>
      </c>
      <c r="B852" s="1" t="n">
        <v>45226</v>
      </c>
      <c r="C852" s="1" t="n">
        <v>45852</v>
      </c>
      <c r="D852" t="inlineStr">
        <is>
          <t>DALARNAS LÄN</t>
        </is>
      </c>
      <c r="E852" t="inlineStr">
        <is>
          <t>MALUNG-SÄLEN</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53146-2023</t>
        </is>
      </c>
      <c r="B853" s="1" t="n">
        <v>45229</v>
      </c>
      <c r="C853" s="1" t="n">
        <v>45852</v>
      </c>
      <c r="D853" t="inlineStr">
        <is>
          <t>DALARNAS LÄN</t>
        </is>
      </c>
      <c r="E853" t="inlineStr">
        <is>
          <t>MALUNG-SÄLEN</t>
        </is>
      </c>
      <c r="F853" t="inlineStr">
        <is>
          <t>Övriga statliga verk och myndigheter</t>
        </is>
      </c>
      <c r="G853" t="n">
        <v>0.3</v>
      </c>
      <c r="H853" t="n">
        <v>0</v>
      </c>
      <c r="I853" t="n">
        <v>0</v>
      </c>
      <c r="J853" t="n">
        <v>0</v>
      </c>
      <c r="K853" t="n">
        <v>0</v>
      </c>
      <c r="L853" t="n">
        <v>0</v>
      </c>
      <c r="M853" t="n">
        <v>0</v>
      </c>
      <c r="N853" t="n">
        <v>0</v>
      </c>
      <c r="O853" t="n">
        <v>0</v>
      </c>
      <c r="P853" t="n">
        <v>0</v>
      </c>
      <c r="Q853" t="n">
        <v>0</v>
      </c>
      <c r="R853" s="2" t="inlineStr"/>
    </row>
    <row r="854" ht="15" customHeight="1">
      <c r="A854" t="inlineStr">
        <is>
          <t>A 53149-2023</t>
        </is>
      </c>
      <c r="B854" s="1" t="n">
        <v>45229</v>
      </c>
      <c r="C854" s="1" t="n">
        <v>45852</v>
      </c>
      <c r="D854" t="inlineStr">
        <is>
          <t>DALARNAS LÄN</t>
        </is>
      </c>
      <c r="E854" t="inlineStr">
        <is>
          <t>MALUNG-SÄLEN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53316-2023</t>
        </is>
      </c>
      <c r="B855" s="1" t="n">
        <v>45229</v>
      </c>
      <c r="C855" s="1" t="n">
        <v>45852</v>
      </c>
      <c r="D855" t="inlineStr">
        <is>
          <t>DALARNAS LÄN</t>
        </is>
      </c>
      <c r="E855" t="inlineStr">
        <is>
          <t>MALUNG-SÄLEN</t>
        </is>
      </c>
      <c r="F855" t="inlineStr">
        <is>
          <t>Bergvik skog öst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53881-2023</t>
        </is>
      </c>
      <c r="B856" s="1" t="n">
        <v>45231</v>
      </c>
      <c r="C856" s="1" t="n">
        <v>45852</v>
      </c>
      <c r="D856" t="inlineStr">
        <is>
          <t>DALARNAS LÄN</t>
        </is>
      </c>
      <c r="E856" t="inlineStr">
        <is>
          <t>MALUNG-SÄLEN</t>
        </is>
      </c>
      <c r="F856" t="inlineStr">
        <is>
          <t>Bergvik skog öst AB</t>
        </is>
      </c>
      <c r="G856" t="n">
        <v>2.1</v>
      </c>
      <c r="H856" t="n">
        <v>0</v>
      </c>
      <c r="I856" t="n">
        <v>0</v>
      </c>
      <c r="J856" t="n">
        <v>0</v>
      </c>
      <c r="K856" t="n">
        <v>0</v>
      </c>
      <c r="L856" t="n">
        <v>0</v>
      </c>
      <c r="M856" t="n">
        <v>0</v>
      </c>
      <c r="N856" t="n">
        <v>0</v>
      </c>
      <c r="O856" t="n">
        <v>0</v>
      </c>
      <c r="P856" t="n">
        <v>0</v>
      </c>
      <c r="Q856" t="n">
        <v>0</v>
      </c>
      <c r="R856" s="2" t="inlineStr"/>
    </row>
    <row r="857" ht="15" customHeight="1">
      <c r="A857" t="inlineStr">
        <is>
          <t>A 54000-2023</t>
        </is>
      </c>
      <c r="B857" s="1" t="n">
        <v>45231</v>
      </c>
      <c r="C857" s="1" t="n">
        <v>45852</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53918-2023</t>
        </is>
      </c>
      <c r="B858" s="1" t="n">
        <v>45231</v>
      </c>
      <c r="C858" s="1" t="n">
        <v>45852</v>
      </c>
      <c r="D858" t="inlineStr">
        <is>
          <t>DALARNAS LÄN</t>
        </is>
      </c>
      <c r="E858" t="inlineStr">
        <is>
          <t>MALUNG-SÄLEN</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53984-2023</t>
        </is>
      </c>
      <c r="B859" s="1" t="n">
        <v>45231</v>
      </c>
      <c r="C859" s="1" t="n">
        <v>45852</v>
      </c>
      <c r="D859" t="inlineStr">
        <is>
          <t>DALARNAS LÄN</t>
        </is>
      </c>
      <c r="E859" t="inlineStr">
        <is>
          <t>MALUNG-SÄLEN</t>
        </is>
      </c>
      <c r="G859" t="n">
        <v>2.4</v>
      </c>
      <c r="H859" t="n">
        <v>0</v>
      </c>
      <c r="I859" t="n">
        <v>0</v>
      </c>
      <c r="J859" t="n">
        <v>0</v>
      </c>
      <c r="K859" t="n">
        <v>0</v>
      </c>
      <c r="L859" t="n">
        <v>0</v>
      </c>
      <c r="M859" t="n">
        <v>0</v>
      </c>
      <c r="N859" t="n">
        <v>0</v>
      </c>
      <c r="O859" t="n">
        <v>0</v>
      </c>
      <c r="P859" t="n">
        <v>0</v>
      </c>
      <c r="Q859" t="n">
        <v>0</v>
      </c>
      <c r="R859" s="2" t="inlineStr"/>
    </row>
    <row r="860" ht="15" customHeight="1">
      <c r="A860" t="inlineStr">
        <is>
          <t>A 54490-2023</t>
        </is>
      </c>
      <c r="B860" s="1" t="n">
        <v>45233</v>
      </c>
      <c r="C860" s="1" t="n">
        <v>45852</v>
      </c>
      <c r="D860" t="inlineStr">
        <is>
          <t>DALARNAS LÄN</t>
        </is>
      </c>
      <c r="E860" t="inlineStr">
        <is>
          <t>MALUNG-SÄLEN</t>
        </is>
      </c>
      <c r="G860" t="n">
        <v>5.7</v>
      </c>
      <c r="H860" t="n">
        <v>0</v>
      </c>
      <c r="I860" t="n">
        <v>0</v>
      </c>
      <c r="J860" t="n">
        <v>0</v>
      </c>
      <c r="K860" t="n">
        <v>0</v>
      </c>
      <c r="L860" t="n">
        <v>0</v>
      </c>
      <c r="M860" t="n">
        <v>0</v>
      </c>
      <c r="N860" t="n">
        <v>0</v>
      </c>
      <c r="O860" t="n">
        <v>0</v>
      </c>
      <c r="P860" t="n">
        <v>0</v>
      </c>
      <c r="Q860" t="n">
        <v>0</v>
      </c>
      <c r="R860" s="2" t="inlineStr"/>
    </row>
    <row r="861" ht="15" customHeight="1">
      <c r="A861" t="inlineStr">
        <is>
          <t>A 54842-2023</t>
        </is>
      </c>
      <c r="B861" s="1" t="n">
        <v>45236</v>
      </c>
      <c r="C861" s="1" t="n">
        <v>45852</v>
      </c>
      <c r="D861" t="inlineStr">
        <is>
          <t>DALARNAS LÄN</t>
        </is>
      </c>
      <c r="E861" t="inlineStr">
        <is>
          <t>MALUNG-SÄLEN</t>
        </is>
      </c>
      <c r="G861" t="n">
        <v>2</v>
      </c>
      <c r="H861" t="n">
        <v>0</v>
      </c>
      <c r="I861" t="n">
        <v>0</v>
      </c>
      <c r="J861" t="n">
        <v>0</v>
      </c>
      <c r="K861" t="n">
        <v>0</v>
      </c>
      <c r="L861" t="n">
        <v>0</v>
      </c>
      <c r="M861" t="n">
        <v>0</v>
      </c>
      <c r="N861" t="n">
        <v>0</v>
      </c>
      <c r="O861" t="n">
        <v>0</v>
      </c>
      <c r="P861" t="n">
        <v>0</v>
      </c>
      <c r="Q861" t="n">
        <v>0</v>
      </c>
      <c r="R861" s="2" t="inlineStr"/>
    </row>
    <row r="862" ht="15" customHeight="1">
      <c r="A862" t="inlineStr">
        <is>
          <t>A 54874-2023</t>
        </is>
      </c>
      <c r="B862" s="1" t="n">
        <v>45236</v>
      </c>
      <c r="C862" s="1" t="n">
        <v>45852</v>
      </c>
      <c r="D862" t="inlineStr">
        <is>
          <t>DALARNAS LÄN</t>
        </is>
      </c>
      <c r="E862" t="inlineStr">
        <is>
          <t>MALUNG-SÄLEN</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55209-2023</t>
        </is>
      </c>
      <c r="B863" s="1" t="n">
        <v>45237</v>
      </c>
      <c r="C863" s="1" t="n">
        <v>45852</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55204-2023</t>
        </is>
      </c>
      <c r="B864" s="1" t="n">
        <v>45237</v>
      </c>
      <c r="C864" s="1" t="n">
        <v>45852</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55280-2023</t>
        </is>
      </c>
      <c r="B865" s="1" t="n">
        <v>45237</v>
      </c>
      <c r="C865" s="1" t="n">
        <v>45852</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55202-2023</t>
        </is>
      </c>
      <c r="B866" s="1" t="n">
        <v>45237</v>
      </c>
      <c r="C866" s="1" t="n">
        <v>45852</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56552-2023</t>
        </is>
      </c>
      <c r="B867" s="1" t="n">
        <v>45237</v>
      </c>
      <c r="C867" s="1" t="n">
        <v>45852</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55579-2023</t>
        </is>
      </c>
      <c r="B868" s="1" t="n">
        <v>45238</v>
      </c>
      <c r="C868" s="1" t="n">
        <v>45852</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55572-2023</t>
        </is>
      </c>
      <c r="B869" s="1" t="n">
        <v>45238</v>
      </c>
      <c r="C869" s="1" t="n">
        <v>45852</v>
      </c>
      <c r="D869" t="inlineStr">
        <is>
          <t>DALARNAS LÄN</t>
        </is>
      </c>
      <c r="E869" t="inlineStr">
        <is>
          <t>MALUNG-SÄLEN</t>
        </is>
      </c>
      <c r="G869" t="n">
        <v>1.8</v>
      </c>
      <c r="H869" t="n">
        <v>0</v>
      </c>
      <c r="I869" t="n">
        <v>0</v>
      </c>
      <c r="J869" t="n">
        <v>0</v>
      </c>
      <c r="K869" t="n">
        <v>0</v>
      </c>
      <c r="L869" t="n">
        <v>0</v>
      </c>
      <c r="M869" t="n">
        <v>0</v>
      </c>
      <c r="N869" t="n">
        <v>0</v>
      </c>
      <c r="O869" t="n">
        <v>0</v>
      </c>
      <c r="P869" t="n">
        <v>0</v>
      </c>
      <c r="Q869" t="n">
        <v>0</v>
      </c>
      <c r="R869" s="2" t="inlineStr"/>
    </row>
    <row r="870" ht="15" customHeight="1">
      <c r="A870" t="inlineStr">
        <is>
          <t>A 55583-2023</t>
        </is>
      </c>
      <c r="B870" s="1" t="n">
        <v>45238</v>
      </c>
      <c r="C870" s="1" t="n">
        <v>45852</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55599-2023</t>
        </is>
      </c>
      <c r="B871" s="1" t="n">
        <v>45238</v>
      </c>
      <c r="C871" s="1" t="n">
        <v>45852</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56388-2023</t>
        </is>
      </c>
      <c r="B872" s="1" t="n">
        <v>45243</v>
      </c>
      <c r="C872" s="1" t="n">
        <v>45852</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56395-2023</t>
        </is>
      </c>
      <c r="B873" s="1" t="n">
        <v>45243</v>
      </c>
      <c r="C873" s="1" t="n">
        <v>45852</v>
      </c>
      <c r="D873" t="inlineStr">
        <is>
          <t>DALARNAS LÄN</t>
        </is>
      </c>
      <c r="E873" t="inlineStr">
        <is>
          <t>MALUNG-SÄLEN</t>
        </is>
      </c>
      <c r="G873" t="n">
        <v>3.9</v>
      </c>
      <c r="H873" t="n">
        <v>0</v>
      </c>
      <c r="I873" t="n">
        <v>0</v>
      </c>
      <c r="J873" t="n">
        <v>0</v>
      </c>
      <c r="K873" t="n">
        <v>0</v>
      </c>
      <c r="L873" t="n">
        <v>0</v>
      </c>
      <c r="M873" t="n">
        <v>0</v>
      </c>
      <c r="N873" t="n">
        <v>0</v>
      </c>
      <c r="O873" t="n">
        <v>0</v>
      </c>
      <c r="P873" t="n">
        <v>0</v>
      </c>
      <c r="Q873" t="n">
        <v>0</v>
      </c>
      <c r="R873" s="2" t="inlineStr"/>
    </row>
    <row r="874" ht="15" customHeight="1">
      <c r="A874" t="inlineStr">
        <is>
          <t>A 56444-2023</t>
        </is>
      </c>
      <c r="B874" s="1" t="n">
        <v>45243</v>
      </c>
      <c r="C874" s="1" t="n">
        <v>45852</v>
      </c>
      <c r="D874" t="inlineStr">
        <is>
          <t>DALARNAS LÄN</t>
        </is>
      </c>
      <c r="E874" t="inlineStr">
        <is>
          <t>MALUNG-SÄLEN</t>
        </is>
      </c>
      <c r="G874" t="n">
        <v>5.6</v>
      </c>
      <c r="H874" t="n">
        <v>0</v>
      </c>
      <c r="I874" t="n">
        <v>0</v>
      </c>
      <c r="J874" t="n">
        <v>0</v>
      </c>
      <c r="K874" t="n">
        <v>0</v>
      </c>
      <c r="L874" t="n">
        <v>0</v>
      </c>
      <c r="M874" t="n">
        <v>0</v>
      </c>
      <c r="N874" t="n">
        <v>0</v>
      </c>
      <c r="O874" t="n">
        <v>0</v>
      </c>
      <c r="P874" t="n">
        <v>0</v>
      </c>
      <c r="Q874" t="n">
        <v>0</v>
      </c>
      <c r="R874" s="2" t="inlineStr"/>
    </row>
    <row r="875" ht="15" customHeight="1">
      <c r="A875" t="inlineStr">
        <is>
          <t>A 56412-2023</t>
        </is>
      </c>
      <c r="B875" s="1" t="n">
        <v>45243</v>
      </c>
      <c r="C875" s="1" t="n">
        <v>45852</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56405-2023</t>
        </is>
      </c>
      <c r="B876" s="1" t="n">
        <v>45243</v>
      </c>
      <c r="C876" s="1" t="n">
        <v>45852</v>
      </c>
      <c r="D876" t="inlineStr">
        <is>
          <t>DALARNAS LÄN</t>
        </is>
      </c>
      <c r="E876" t="inlineStr">
        <is>
          <t>MALUNG-SÄLEN</t>
        </is>
      </c>
      <c r="G876" t="n">
        <v>3</v>
      </c>
      <c r="H876" t="n">
        <v>0</v>
      </c>
      <c r="I876" t="n">
        <v>0</v>
      </c>
      <c r="J876" t="n">
        <v>0</v>
      </c>
      <c r="K876" t="n">
        <v>0</v>
      </c>
      <c r="L876" t="n">
        <v>0</v>
      </c>
      <c r="M876" t="n">
        <v>0</v>
      </c>
      <c r="N876" t="n">
        <v>0</v>
      </c>
      <c r="O876" t="n">
        <v>0</v>
      </c>
      <c r="P876" t="n">
        <v>0</v>
      </c>
      <c r="Q876" t="n">
        <v>0</v>
      </c>
      <c r="R876" s="2" t="inlineStr"/>
    </row>
    <row r="877" ht="15" customHeight="1">
      <c r="A877" t="inlineStr">
        <is>
          <t>A 56436-2023</t>
        </is>
      </c>
      <c r="B877" s="1" t="n">
        <v>45243</v>
      </c>
      <c r="C877" s="1" t="n">
        <v>45852</v>
      </c>
      <c r="D877" t="inlineStr">
        <is>
          <t>DALARNAS LÄN</t>
        </is>
      </c>
      <c r="E877" t="inlineStr">
        <is>
          <t>MALUNG-SÄLEN</t>
        </is>
      </c>
      <c r="G877" t="n">
        <v>3.3</v>
      </c>
      <c r="H877" t="n">
        <v>0</v>
      </c>
      <c r="I877" t="n">
        <v>0</v>
      </c>
      <c r="J877" t="n">
        <v>0</v>
      </c>
      <c r="K877" t="n">
        <v>0</v>
      </c>
      <c r="L877" t="n">
        <v>0</v>
      </c>
      <c r="M877" t="n">
        <v>0</v>
      </c>
      <c r="N877" t="n">
        <v>0</v>
      </c>
      <c r="O877" t="n">
        <v>0</v>
      </c>
      <c r="P877" t="n">
        <v>0</v>
      </c>
      <c r="Q877" t="n">
        <v>0</v>
      </c>
      <c r="R877" s="2" t="inlineStr"/>
    </row>
    <row r="878" ht="15" customHeight="1">
      <c r="A878" t="inlineStr">
        <is>
          <t>A 56745-2023</t>
        </is>
      </c>
      <c r="B878" s="1" t="n">
        <v>45244</v>
      </c>
      <c r="C878" s="1" t="n">
        <v>45852</v>
      </c>
      <c r="D878" t="inlineStr">
        <is>
          <t>DALARNAS LÄN</t>
        </is>
      </c>
      <c r="E878" t="inlineStr">
        <is>
          <t>MALUNG-SÄLEN</t>
        </is>
      </c>
      <c r="G878" t="n">
        <v>2</v>
      </c>
      <c r="H878" t="n">
        <v>0</v>
      </c>
      <c r="I878" t="n">
        <v>0</v>
      </c>
      <c r="J878" t="n">
        <v>0</v>
      </c>
      <c r="K878" t="n">
        <v>0</v>
      </c>
      <c r="L878" t="n">
        <v>0</v>
      </c>
      <c r="M878" t="n">
        <v>0</v>
      </c>
      <c r="N878" t="n">
        <v>0</v>
      </c>
      <c r="O878" t="n">
        <v>0</v>
      </c>
      <c r="P878" t="n">
        <v>0</v>
      </c>
      <c r="Q878" t="n">
        <v>0</v>
      </c>
      <c r="R878" s="2" t="inlineStr"/>
    </row>
    <row r="879" ht="15" customHeight="1">
      <c r="A879" t="inlineStr">
        <is>
          <t>A 56715-2023</t>
        </is>
      </c>
      <c r="B879" s="1" t="n">
        <v>45244</v>
      </c>
      <c r="C879" s="1" t="n">
        <v>45852</v>
      </c>
      <c r="D879" t="inlineStr">
        <is>
          <t>DALARNAS LÄN</t>
        </is>
      </c>
      <c r="E879" t="inlineStr">
        <is>
          <t>MALUNG-SÄLEN</t>
        </is>
      </c>
      <c r="G879" t="n">
        <v>0.9</v>
      </c>
      <c r="H879" t="n">
        <v>0</v>
      </c>
      <c r="I879" t="n">
        <v>0</v>
      </c>
      <c r="J879" t="n">
        <v>0</v>
      </c>
      <c r="K879" t="n">
        <v>0</v>
      </c>
      <c r="L879" t="n">
        <v>0</v>
      </c>
      <c r="M879" t="n">
        <v>0</v>
      </c>
      <c r="N879" t="n">
        <v>0</v>
      </c>
      <c r="O879" t="n">
        <v>0</v>
      </c>
      <c r="P879" t="n">
        <v>0</v>
      </c>
      <c r="Q879" t="n">
        <v>0</v>
      </c>
      <c r="R879" s="2" t="inlineStr"/>
    </row>
    <row r="880" ht="15" customHeight="1">
      <c r="A880" t="inlineStr">
        <is>
          <t>A 57322-2023</t>
        </is>
      </c>
      <c r="B880" s="1" t="n">
        <v>45245</v>
      </c>
      <c r="C880" s="1" t="n">
        <v>45852</v>
      </c>
      <c r="D880" t="inlineStr">
        <is>
          <t>DALARNAS LÄN</t>
        </is>
      </c>
      <c r="E880" t="inlineStr">
        <is>
          <t>MALUNG-SÄLEN</t>
        </is>
      </c>
      <c r="G880" t="n">
        <v>2.8</v>
      </c>
      <c r="H880" t="n">
        <v>0</v>
      </c>
      <c r="I880" t="n">
        <v>0</v>
      </c>
      <c r="J880" t="n">
        <v>0</v>
      </c>
      <c r="K880" t="n">
        <v>0</v>
      </c>
      <c r="L880" t="n">
        <v>0</v>
      </c>
      <c r="M880" t="n">
        <v>0</v>
      </c>
      <c r="N880" t="n">
        <v>0</v>
      </c>
      <c r="O880" t="n">
        <v>0</v>
      </c>
      <c r="P880" t="n">
        <v>0</v>
      </c>
      <c r="Q880" t="n">
        <v>0</v>
      </c>
      <c r="R880" s="2" t="inlineStr"/>
    </row>
    <row r="881" ht="15" customHeight="1">
      <c r="A881" t="inlineStr">
        <is>
          <t>A 57331-2023</t>
        </is>
      </c>
      <c r="B881" s="1" t="n">
        <v>45245</v>
      </c>
      <c r="C881" s="1" t="n">
        <v>45852</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58363-2023</t>
        </is>
      </c>
      <c r="B882" s="1" t="n">
        <v>45245</v>
      </c>
      <c r="C882" s="1" t="n">
        <v>45852</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58375-2023</t>
        </is>
      </c>
      <c r="B883" s="1" t="n">
        <v>45245</v>
      </c>
      <c r="C883" s="1" t="n">
        <v>45852</v>
      </c>
      <c r="D883" t="inlineStr">
        <is>
          <t>DALARNAS LÄN</t>
        </is>
      </c>
      <c r="E883" t="inlineStr">
        <is>
          <t>MALUNG-SÄLEN</t>
        </is>
      </c>
      <c r="G883" t="n">
        <v>3.1</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v>
      </c>
      <c r="C884" s="1" t="n">
        <v>45852</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57829-2023</t>
        </is>
      </c>
      <c r="B885" s="1" t="n">
        <v>45247</v>
      </c>
      <c r="C885" s="1" t="n">
        <v>45852</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58788-2023</t>
        </is>
      </c>
      <c r="B886" s="1" t="n">
        <v>45247</v>
      </c>
      <c r="C886" s="1" t="n">
        <v>45852</v>
      </c>
      <c r="D886" t="inlineStr">
        <is>
          <t>DALARNAS LÄN</t>
        </is>
      </c>
      <c r="E886" t="inlineStr">
        <is>
          <t>MALUNG-SÄLEN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57895-2023</t>
        </is>
      </c>
      <c r="B887" s="1" t="n">
        <v>45247</v>
      </c>
      <c r="C887" s="1" t="n">
        <v>45852</v>
      </c>
      <c r="D887" t="inlineStr">
        <is>
          <t>DALARNAS LÄN</t>
        </is>
      </c>
      <c r="E887" t="inlineStr">
        <is>
          <t>MALUNG-SÄLEN</t>
        </is>
      </c>
      <c r="G887" t="n">
        <v>1.3</v>
      </c>
      <c r="H887" t="n">
        <v>0</v>
      </c>
      <c r="I887" t="n">
        <v>0</v>
      </c>
      <c r="J887" t="n">
        <v>0</v>
      </c>
      <c r="K887" t="n">
        <v>0</v>
      </c>
      <c r="L887" t="n">
        <v>0</v>
      </c>
      <c r="M887" t="n">
        <v>0</v>
      </c>
      <c r="N887" t="n">
        <v>0</v>
      </c>
      <c r="O887" t="n">
        <v>0</v>
      </c>
      <c r="P887" t="n">
        <v>0</v>
      </c>
      <c r="Q887" t="n">
        <v>0</v>
      </c>
      <c r="R887" s="2" t="inlineStr"/>
    </row>
    <row r="888" ht="15" customHeight="1">
      <c r="A888" t="inlineStr">
        <is>
          <t>A 58779-2023</t>
        </is>
      </c>
      <c r="B888" s="1" t="n">
        <v>45252</v>
      </c>
      <c r="C888" s="1" t="n">
        <v>45852</v>
      </c>
      <c r="D888" t="inlineStr">
        <is>
          <t>DALARNAS LÄN</t>
        </is>
      </c>
      <c r="E888" t="inlineStr">
        <is>
          <t>MALUNG-SÄLEN</t>
        </is>
      </c>
      <c r="G888" t="n">
        <v>5.7</v>
      </c>
      <c r="H888" t="n">
        <v>0</v>
      </c>
      <c r="I888" t="n">
        <v>0</v>
      </c>
      <c r="J888" t="n">
        <v>0</v>
      </c>
      <c r="K888" t="n">
        <v>0</v>
      </c>
      <c r="L888" t="n">
        <v>0</v>
      </c>
      <c r="M888" t="n">
        <v>0</v>
      </c>
      <c r="N888" t="n">
        <v>0</v>
      </c>
      <c r="O888" t="n">
        <v>0</v>
      </c>
      <c r="P888" t="n">
        <v>0</v>
      </c>
      <c r="Q888" t="n">
        <v>0</v>
      </c>
      <c r="R888" s="2" t="inlineStr"/>
    </row>
    <row r="889" ht="15" customHeight="1">
      <c r="A889" t="inlineStr">
        <is>
          <t>A 58954-2023</t>
        </is>
      </c>
      <c r="B889" s="1" t="n">
        <v>45252</v>
      </c>
      <c r="C889" s="1" t="n">
        <v>45852</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58956-2023</t>
        </is>
      </c>
      <c r="B890" s="1" t="n">
        <v>45252</v>
      </c>
      <c r="C890" s="1" t="n">
        <v>45852</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59088-2023</t>
        </is>
      </c>
      <c r="B891" s="1" t="n">
        <v>45252</v>
      </c>
      <c r="C891" s="1" t="n">
        <v>45852</v>
      </c>
      <c r="D891" t="inlineStr">
        <is>
          <t>DALARNAS LÄN</t>
        </is>
      </c>
      <c r="E891" t="inlineStr">
        <is>
          <t>MALUNG-SÄLEN</t>
        </is>
      </c>
      <c r="G891" t="n">
        <v>5.8</v>
      </c>
      <c r="H891" t="n">
        <v>0</v>
      </c>
      <c r="I891" t="n">
        <v>0</v>
      </c>
      <c r="J891" t="n">
        <v>0</v>
      </c>
      <c r="K891" t="n">
        <v>0</v>
      </c>
      <c r="L891" t="n">
        <v>0</v>
      </c>
      <c r="M891" t="n">
        <v>0</v>
      </c>
      <c r="N891" t="n">
        <v>0</v>
      </c>
      <c r="O891" t="n">
        <v>0</v>
      </c>
      <c r="P891" t="n">
        <v>0</v>
      </c>
      <c r="Q891" t="n">
        <v>0</v>
      </c>
      <c r="R891" s="2" t="inlineStr"/>
    </row>
    <row r="892" ht="15" customHeight="1">
      <c r="A892" t="inlineStr">
        <is>
          <t>A 59089-2023</t>
        </is>
      </c>
      <c r="B892" s="1" t="n">
        <v>45252</v>
      </c>
      <c r="C892" s="1" t="n">
        <v>45852</v>
      </c>
      <c r="D892" t="inlineStr">
        <is>
          <t>DALARNAS LÄN</t>
        </is>
      </c>
      <c r="E892" t="inlineStr">
        <is>
          <t>MALUNG-SÄLEN</t>
        </is>
      </c>
      <c r="G892" t="n">
        <v>6.2</v>
      </c>
      <c r="H892" t="n">
        <v>0</v>
      </c>
      <c r="I892" t="n">
        <v>0</v>
      </c>
      <c r="J892" t="n">
        <v>0</v>
      </c>
      <c r="K892" t="n">
        <v>0</v>
      </c>
      <c r="L892" t="n">
        <v>0</v>
      </c>
      <c r="M892" t="n">
        <v>0</v>
      </c>
      <c r="N892" t="n">
        <v>0</v>
      </c>
      <c r="O892" t="n">
        <v>0</v>
      </c>
      <c r="P892" t="n">
        <v>0</v>
      </c>
      <c r="Q892" t="n">
        <v>0</v>
      </c>
      <c r="R892" s="2" t="inlineStr"/>
    </row>
    <row r="893" ht="15" customHeight="1">
      <c r="A893" t="inlineStr">
        <is>
          <t>A 59179-2023</t>
        </is>
      </c>
      <c r="B893" s="1" t="n">
        <v>45253</v>
      </c>
      <c r="C893" s="1" t="n">
        <v>45852</v>
      </c>
      <c r="D893" t="inlineStr">
        <is>
          <t>DALARNAS LÄN</t>
        </is>
      </c>
      <c r="E893" t="inlineStr">
        <is>
          <t>MALUNG-SÄLEN</t>
        </is>
      </c>
      <c r="F893" t="inlineStr">
        <is>
          <t>Bergvik skog öst AB</t>
        </is>
      </c>
      <c r="G893" t="n">
        <v>3.7</v>
      </c>
      <c r="H893" t="n">
        <v>0</v>
      </c>
      <c r="I893" t="n">
        <v>0</v>
      </c>
      <c r="J893" t="n">
        <v>0</v>
      </c>
      <c r="K893" t="n">
        <v>0</v>
      </c>
      <c r="L893" t="n">
        <v>0</v>
      </c>
      <c r="M893" t="n">
        <v>0</v>
      </c>
      <c r="N893" t="n">
        <v>0</v>
      </c>
      <c r="O893" t="n">
        <v>0</v>
      </c>
      <c r="P893" t="n">
        <v>0</v>
      </c>
      <c r="Q893" t="n">
        <v>0</v>
      </c>
      <c r="R893" s="2" t="inlineStr"/>
    </row>
    <row r="894" ht="15" customHeight="1">
      <c r="A894" t="inlineStr">
        <is>
          <t>A 59290-2023</t>
        </is>
      </c>
      <c r="B894" s="1" t="n">
        <v>45253</v>
      </c>
      <c r="C894" s="1" t="n">
        <v>45852</v>
      </c>
      <c r="D894" t="inlineStr">
        <is>
          <t>DALARNAS LÄN</t>
        </is>
      </c>
      <c r="E894" t="inlineStr">
        <is>
          <t>MALUNG-SÄLEN</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59450-2023</t>
        </is>
      </c>
      <c r="B895" s="1" t="n">
        <v>45254</v>
      </c>
      <c r="C895" s="1" t="n">
        <v>45852</v>
      </c>
      <c r="D895" t="inlineStr">
        <is>
          <t>DALARNAS LÄN</t>
        </is>
      </c>
      <c r="E895" t="inlineStr">
        <is>
          <t>MALUNG-SÄLEN</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59862-2023</t>
        </is>
      </c>
      <c r="B896" s="1" t="n">
        <v>45257</v>
      </c>
      <c r="C896" s="1" t="n">
        <v>45852</v>
      </c>
      <c r="D896" t="inlineStr">
        <is>
          <t>DALARNAS LÄN</t>
        </is>
      </c>
      <c r="E896" t="inlineStr">
        <is>
          <t>MALUNG-SÄLEN</t>
        </is>
      </c>
      <c r="F896" t="inlineStr">
        <is>
          <t>Bergvik skog öst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59966-2023</t>
        </is>
      </c>
      <c r="B897" s="1" t="n">
        <v>45257</v>
      </c>
      <c r="C897" s="1" t="n">
        <v>45852</v>
      </c>
      <c r="D897" t="inlineStr">
        <is>
          <t>DALARNAS LÄN</t>
        </is>
      </c>
      <c r="E897" t="inlineStr">
        <is>
          <t>MALUNG-SÄLEN</t>
        </is>
      </c>
      <c r="F897" t="inlineStr">
        <is>
          <t>Övriga statliga verk och myndigheter</t>
        </is>
      </c>
      <c r="G897" t="n">
        <v>3.2</v>
      </c>
      <c r="H897" t="n">
        <v>0</v>
      </c>
      <c r="I897" t="n">
        <v>0</v>
      </c>
      <c r="J897" t="n">
        <v>0</v>
      </c>
      <c r="K897" t="n">
        <v>0</v>
      </c>
      <c r="L897" t="n">
        <v>0</v>
      </c>
      <c r="M897" t="n">
        <v>0</v>
      </c>
      <c r="N897" t="n">
        <v>0</v>
      </c>
      <c r="O897" t="n">
        <v>0</v>
      </c>
      <c r="P897" t="n">
        <v>0</v>
      </c>
      <c r="Q897" t="n">
        <v>0</v>
      </c>
      <c r="R897" s="2" t="inlineStr"/>
    </row>
    <row r="898" ht="15" customHeight="1">
      <c r="A898" t="inlineStr">
        <is>
          <t>A 59915-2023</t>
        </is>
      </c>
      <c r="B898" s="1" t="n">
        <v>45257</v>
      </c>
      <c r="C898" s="1" t="n">
        <v>45852</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59954-2023</t>
        </is>
      </c>
      <c r="B899" s="1" t="n">
        <v>45257</v>
      </c>
      <c r="C899" s="1" t="n">
        <v>45852</v>
      </c>
      <c r="D899" t="inlineStr">
        <is>
          <t>DALARNAS LÄN</t>
        </is>
      </c>
      <c r="E899" t="inlineStr">
        <is>
          <t>MALUNG-SÄLEN</t>
        </is>
      </c>
      <c r="G899" t="n">
        <v>10.1</v>
      </c>
      <c r="H899" t="n">
        <v>0</v>
      </c>
      <c r="I899" t="n">
        <v>0</v>
      </c>
      <c r="J899" t="n">
        <v>0</v>
      </c>
      <c r="K899" t="n">
        <v>0</v>
      </c>
      <c r="L899" t="n">
        <v>0</v>
      </c>
      <c r="M899" t="n">
        <v>0</v>
      </c>
      <c r="N899" t="n">
        <v>0</v>
      </c>
      <c r="O899" t="n">
        <v>0</v>
      </c>
      <c r="P899" t="n">
        <v>0</v>
      </c>
      <c r="Q899" t="n">
        <v>0</v>
      </c>
      <c r="R899" s="2" t="inlineStr"/>
    </row>
    <row r="900" ht="15" customHeight="1">
      <c r="A900" t="inlineStr">
        <is>
          <t>A 60769-2023</t>
        </is>
      </c>
      <c r="B900" s="1" t="n">
        <v>45260</v>
      </c>
      <c r="C900" s="1" t="n">
        <v>45852</v>
      </c>
      <c r="D900" t="inlineStr">
        <is>
          <t>DALARNAS LÄN</t>
        </is>
      </c>
      <c r="E900" t="inlineStr">
        <is>
          <t>MALUNG-SÄLEN</t>
        </is>
      </c>
      <c r="G900" t="n">
        <v>2.1</v>
      </c>
      <c r="H900" t="n">
        <v>0</v>
      </c>
      <c r="I900" t="n">
        <v>0</v>
      </c>
      <c r="J900" t="n">
        <v>0</v>
      </c>
      <c r="K900" t="n">
        <v>0</v>
      </c>
      <c r="L900" t="n">
        <v>0</v>
      </c>
      <c r="M900" t="n">
        <v>0</v>
      </c>
      <c r="N900" t="n">
        <v>0</v>
      </c>
      <c r="O900" t="n">
        <v>0</v>
      </c>
      <c r="P900" t="n">
        <v>0</v>
      </c>
      <c r="Q900" t="n">
        <v>0</v>
      </c>
      <c r="R900" s="2" t="inlineStr"/>
    </row>
    <row r="901" ht="15" customHeight="1">
      <c r="A901" t="inlineStr">
        <is>
          <t>A 60858-2023</t>
        </is>
      </c>
      <c r="B901" s="1" t="n">
        <v>45260</v>
      </c>
      <c r="C901" s="1" t="n">
        <v>45852</v>
      </c>
      <c r="D901" t="inlineStr">
        <is>
          <t>DALARNAS LÄN</t>
        </is>
      </c>
      <c r="E901" t="inlineStr">
        <is>
          <t>MALUNG-SÄLEN</t>
        </is>
      </c>
      <c r="G901" t="n">
        <v>8.9</v>
      </c>
      <c r="H901" t="n">
        <v>0</v>
      </c>
      <c r="I901" t="n">
        <v>0</v>
      </c>
      <c r="J901" t="n">
        <v>0</v>
      </c>
      <c r="K901" t="n">
        <v>0</v>
      </c>
      <c r="L901" t="n">
        <v>0</v>
      </c>
      <c r="M901" t="n">
        <v>0</v>
      </c>
      <c r="N901" t="n">
        <v>0</v>
      </c>
      <c r="O901" t="n">
        <v>0</v>
      </c>
      <c r="P901" t="n">
        <v>0</v>
      </c>
      <c r="Q901" t="n">
        <v>0</v>
      </c>
      <c r="R901" s="2" t="inlineStr"/>
    </row>
    <row r="902" ht="15" customHeight="1">
      <c r="A902" t="inlineStr">
        <is>
          <t>A 60857-2023</t>
        </is>
      </c>
      <c r="B902" s="1" t="n">
        <v>45260</v>
      </c>
      <c r="C902" s="1" t="n">
        <v>45852</v>
      </c>
      <c r="D902" t="inlineStr">
        <is>
          <t>DALARNAS LÄN</t>
        </is>
      </c>
      <c r="E902" t="inlineStr">
        <is>
          <t>MALUNG-SÄLEN</t>
        </is>
      </c>
      <c r="G902" t="n">
        <v>8</v>
      </c>
      <c r="H902" t="n">
        <v>0</v>
      </c>
      <c r="I902" t="n">
        <v>0</v>
      </c>
      <c r="J902" t="n">
        <v>0</v>
      </c>
      <c r="K902" t="n">
        <v>0</v>
      </c>
      <c r="L902" t="n">
        <v>0</v>
      </c>
      <c r="M902" t="n">
        <v>0</v>
      </c>
      <c r="N902" t="n">
        <v>0</v>
      </c>
      <c r="O902" t="n">
        <v>0</v>
      </c>
      <c r="P902" t="n">
        <v>0</v>
      </c>
      <c r="Q902" t="n">
        <v>0</v>
      </c>
      <c r="R902" s="2" t="inlineStr"/>
    </row>
    <row r="903" ht="15" customHeight="1">
      <c r="A903" t="inlineStr">
        <is>
          <t>A 61696-2023</t>
        </is>
      </c>
      <c r="B903" s="1" t="n">
        <v>45264</v>
      </c>
      <c r="C903" s="1" t="n">
        <v>45852</v>
      </c>
      <c r="D903" t="inlineStr">
        <is>
          <t>DALARNAS LÄN</t>
        </is>
      </c>
      <c r="E903" t="inlineStr">
        <is>
          <t>MALUNG-SÄLEN</t>
        </is>
      </c>
      <c r="G903" t="n">
        <v>3.8</v>
      </c>
      <c r="H903" t="n">
        <v>0</v>
      </c>
      <c r="I903" t="n">
        <v>0</v>
      </c>
      <c r="J903" t="n">
        <v>0</v>
      </c>
      <c r="K903" t="n">
        <v>0</v>
      </c>
      <c r="L903" t="n">
        <v>0</v>
      </c>
      <c r="M903" t="n">
        <v>0</v>
      </c>
      <c r="N903" t="n">
        <v>0</v>
      </c>
      <c r="O903" t="n">
        <v>0</v>
      </c>
      <c r="P903" t="n">
        <v>0</v>
      </c>
      <c r="Q903" t="n">
        <v>0</v>
      </c>
      <c r="R903" s="2" t="inlineStr"/>
    </row>
    <row r="904" ht="15" customHeight="1">
      <c r="A904" t="inlineStr">
        <is>
          <t>A 61890-2023</t>
        </is>
      </c>
      <c r="B904" s="1" t="n">
        <v>45266</v>
      </c>
      <c r="C904" s="1" t="n">
        <v>45852</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61980-2023</t>
        </is>
      </c>
      <c r="B905" s="1" t="n">
        <v>45266</v>
      </c>
      <c r="C905" s="1" t="n">
        <v>45852</v>
      </c>
      <c r="D905" t="inlineStr">
        <is>
          <t>DALARNAS LÄN</t>
        </is>
      </c>
      <c r="E905" t="inlineStr">
        <is>
          <t>MALUNG-SÄLEN</t>
        </is>
      </c>
      <c r="G905" t="n">
        <v>3.6</v>
      </c>
      <c r="H905" t="n">
        <v>0</v>
      </c>
      <c r="I905" t="n">
        <v>0</v>
      </c>
      <c r="J905" t="n">
        <v>0</v>
      </c>
      <c r="K905" t="n">
        <v>0</v>
      </c>
      <c r="L905" t="n">
        <v>0</v>
      </c>
      <c r="M905" t="n">
        <v>0</v>
      </c>
      <c r="N905" t="n">
        <v>0</v>
      </c>
      <c r="O905" t="n">
        <v>0</v>
      </c>
      <c r="P905" t="n">
        <v>0</v>
      </c>
      <c r="Q905" t="n">
        <v>0</v>
      </c>
      <c r="R905" s="2" t="inlineStr"/>
    </row>
    <row r="906" ht="15" customHeight="1">
      <c r="A906" t="inlineStr">
        <is>
          <t>A 61930-2023</t>
        </is>
      </c>
      <c r="B906" s="1" t="n">
        <v>45266</v>
      </c>
      <c r="C906" s="1" t="n">
        <v>45852</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62264-2023</t>
        </is>
      </c>
      <c r="B907" s="1" t="n">
        <v>45267</v>
      </c>
      <c r="C907" s="1" t="n">
        <v>45852</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62588-2023</t>
        </is>
      </c>
      <c r="B908" s="1" t="n">
        <v>45270</v>
      </c>
      <c r="C908" s="1" t="n">
        <v>45852</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v>
      </c>
      <c r="C909" s="1" t="n">
        <v>45852</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62792-2023</t>
        </is>
      </c>
      <c r="B910" s="1" t="n">
        <v>45271</v>
      </c>
      <c r="C910" s="1" t="n">
        <v>45852</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63007-2023</t>
        </is>
      </c>
      <c r="B911" s="1" t="n">
        <v>45272</v>
      </c>
      <c r="C911" s="1" t="n">
        <v>45852</v>
      </c>
      <c r="D911" t="inlineStr">
        <is>
          <t>DALARNAS LÄN</t>
        </is>
      </c>
      <c r="E911" t="inlineStr">
        <is>
          <t>MALUNG-SÄLEN</t>
        </is>
      </c>
      <c r="G911" t="n">
        <v>2</v>
      </c>
      <c r="H911" t="n">
        <v>0</v>
      </c>
      <c r="I911" t="n">
        <v>0</v>
      </c>
      <c r="J911" t="n">
        <v>0</v>
      </c>
      <c r="K911" t="n">
        <v>0</v>
      </c>
      <c r="L911" t="n">
        <v>0</v>
      </c>
      <c r="M911" t="n">
        <v>0</v>
      </c>
      <c r="N911" t="n">
        <v>0</v>
      </c>
      <c r="O911" t="n">
        <v>0</v>
      </c>
      <c r="P911" t="n">
        <v>0</v>
      </c>
      <c r="Q911" t="n">
        <v>0</v>
      </c>
      <c r="R911" s="2" t="inlineStr"/>
    </row>
    <row r="912" ht="15" customHeight="1">
      <c r="A912" t="inlineStr">
        <is>
          <t>A 63103-2023</t>
        </is>
      </c>
      <c r="B912" s="1" t="n">
        <v>45273</v>
      </c>
      <c r="C912" s="1" t="n">
        <v>45852</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64424-2023</t>
        </is>
      </c>
      <c r="B913" s="1" t="n">
        <v>45280</v>
      </c>
      <c r="C913" s="1" t="n">
        <v>45852</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12-2024</t>
        </is>
      </c>
      <c r="B914" s="1" t="n">
        <v>45293</v>
      </c>
      <c r="C914" s="1" t="n">
        <v>45852</v>
      </c>
      <c r="D914" t="inlineStr">
        <is>
          <t>DALARNAS LÄN</t>
        </is>
      </c>
      <c r="E914" t="inlineStr">
        <is>
          <t>MALUNG-SÄLEN</t>
        </is>
      </c>
      <c r="G914" t="n">
        <v>2.4</v>
      </c>
      <c r="H914" t="n">
        <v>0</v>
      </c>
      <c r="I914" t="n">
        <v>0</v>
      </c>
      <c r="J914" t="n">
        <v>0</v>
      </c>
      <c r="K914" t="n">
        <v>0</v>
      </c>
      <c r="L914" t="n">
        <v>0</v>
      </c>
      <c r="M914" t="n">
        <v>0</v>
      </c>
      <c r="N914" t="n">
        <v>0</v>
      </c>
      <c r="O914" t="n">
        <v>0</v>
      </c>
      <c r="P914" t="n">
        <v>0</v>
      </c>
      <c r="Q914" t="n">
        <v>0</v>
      </c>
      <c r="R914" s="2" t="inlineStr"/>
    </row>
    <row r="915" ht="15" customHeight="1">
      <c r="A915" t="inlineStr">
        <is>
          <t>A 113-2024</t>
        </is>
      </c>
      <c r="B915" s="1" t="n">
        <v>45294</v>
      </c>
      <c r="C915" s="1" t="n">
        <v>45852</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114-2024</t>
        </is>
      </c>
      <c r="B916" s="1" t="n">
        <v>45294</v>
      </c>
      <c r="C916" s="1" t="n">
        <v>45852</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568-2024</t>
        </is>
      </c>
      <c r="B917" s="1" t="n">
        <v>45299</v>
      </c>
      <c r="C917" s="1" t="n">
        <v>45852</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971-2024</t>
        </is>
      </c>
      <c r="B918" s="1" t="n">
        <v>45301</v>
      </c>
      <c r="C918" s="1" t="n">
        <v>45852</v>
      </c>
      <c r="D918" t="inlineStr">
        <is>
          <t>DALARNAS LÄN</t>
        </is>
      </c>
      <c r="E918" t="inlineStr">
        <is>
          <t>MALUNG-SÄLEN</t>
        </is>
      </c>
      <c r="G918" t="n">
        <v>4.7</v>
      </c>
      <c r="H918" t="n">
        <v>0</v>
      </c>
      <c r="I918" t="n">
        <v>0</v>
      </c>
      <c r="J918" t="n">
        <v>0</v>
      </c>
      <c r="K918" t="n">
        <v>0</v>
      </c>
      <c r="L918" t="n">
        <v>0</v>
      </c>
      <c r="M918" t="n">
        <v>0</v>
      </c>
      <c r="N918" t="n">
        <v>0</v>
      </c>
      <c r="O918" t="n">
        <v>0</v>
      </c>
      <c r="P918" t="n">
        <v>0</v>
      </c>
      <c r="Q918" t="n">
        <v>0</v>
      </c>
      <c r="R918" s="2" t="inlineStr"/>
    </row>
    <row r="919" ht="15" customHeight="1">
      <c r="A919" t="inlineStr">
        <is>
          <t>A 979-2024</t>
        </is>
      </c>
      <c r="B919" s="1" t="n">
        <v>45301</v>
      </c>
      <c r="C919" s="1" t="n">
        <v>45852</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906-2024</t>
        </is>
      </c>
      <c r="B920" s="1" t="n">
        <v>45301</v>
      </c>
      <c r="C920" s="1" t="n">
        <v>45852</v>
      </c>
      <c r="D920" t="inlineStr">
        <is>
          <t>DALARNAS LÄN</t>
        </is>
      </c>
      <c r="E920" t="inlineStr">
        <is>
          <t>MALUNG-SÄLEN</t>
        </is>
      </c>
      <c r="G920" t="n">
        <v>10.4</v>
      </c>
      <c r="H920" t="n">
        <v>0</v>
      </c>
      <c r="I920" t="n">
        <v>0</v>
      </c>
      <c r="J920" t="n">
        <v>0</v>
      </c>
      <c r="K920" t="n">
        <v>0</v>
      </c>
      <c r="L920" t="n">
        <v>0</v>
      </c>
      <c r="M920" t="n">
        <v>0</v>
      </c>
      <c r="N920" t="n">
        <v>0</v>
      </c>
      <c r="O920" t="n">
        <v>0</v>
      </c>
      <c r="P920" t="n">
        <v>0</v>
      </c>
      <c r="Q920" t="n">
        <v>0</v>
      </c>
      <c r="R920" s="2" t="inlineStr"/>
    </row>
    <row r="921" ht="15" customHeight="1">
      <c r="A921" t="inlineStr">
        <is>
          <t>A 917-2024</t>
        </is>
      </c>
      <c r="B921" s="1" t="n">
        <v>45301</v>
      </c>
      <c r="C921" s="1" t="n">
        <v>45852</v>
      </c>
      <c r="D921" t="inlineStr">
        <is>
          <t>DALARNAS LÄN</t>
        </is>
      </c>
      <c r="E921" t="inlineStr">
        <is>
          <t>MALUNG-SÄLEN</t>
        </is>
      </c>
      <c r="G921" t="n">
        <v>3.7</v>
      </c>
      <c r="H921" t="n">
        <v>0</v>
      </c>
      <c r="I921" t="n">
        <v>0</v>
      </c>
      <c r="J921" t="n">
        <v>0</v>
      </c>
      <c r="K921" t="n">
        <v>0</v>
      </c>
      <c r="L921" t="n">
        <v>0</v>
      </c>
      <c r="M921" t="n">
        <v>0</v>
      </c>
      <c r="N921" t="n">
        <v>0</v>
      </c>
      <c r="O921" t="n">
        <v>0</v>
      </c>
      <c r="P921" t="n">
        <v>0</v>
      </c>
      <c r="Q921" t="n">
        <v>0</v>
      </c>
      <c r="R921" s="2" t="inlineStr"/>
    </row>
    <row r="922" ht="15" customHeight="1">
      <c r="A922" t="inlineStr">
        <is>
          <t>A 984-2024</t>
        </is>
      </c>
      <c r="B922" s="1" t="n">
        <v>45301</v>
      </c>
      <c r="C922" s="1" t="n">
        <v>45852</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1206-2024</t>
        </is>
      </c>
      <c r="B923" s="1" t="n">
        <v>45302</v>
      </c>
      <c r="C923" s="1" t="n">
        <v>45852</v>
      </c>
      <c r="D923" t="inlineStr">
        <is>
          <t>DALARNAS LÄN</t>
        </is>
      </c>
      <c r="E923" t="inlineStr">
        <is>
          <t>MALUNG-SÄLEN</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1212-2024</t>
        </is>
      </c>
      <c r="B924" s="1" t="n">
        <v>45302</v>
      </c>
      <c r="C924" s="1" t="n">
        <v>45852</v>
      </c>
      <c r="D924" t="inlineStr">
        <is>
          <t>DALARNAS LÄN</t>
        </is>
      </c>
      <c r="E924" t="inlineStr">
        <is>
          <t>MALUNG-SÄLEN</t>
        </is>
      </c>
      <c r="F924" t="inlineStr">
        <is>
          <t>Allmännings- och besparingsskogar</t>
        </is>
      </c>
      <c r="G924" t="n">
        <v>6.6</v>
      </c>
      <c r="H924" t="n">
        <v>0</v>
      </c>
      <c r="I924" t="n">
        <v>0</v>
      </c>
      <c r="J924" t="n">
        <v>0</v>
      </c>
      <c r="K924" t="n">
        <v>0</v>
      </c>
      <c r="L924" t="n">
        <v>0</v>
      </c>
      <c r="M924" t="n">
        <v>0</v>
      </c>
      <c r="N924" t="n">
        <v>0</v>
      </c>
      <c r="O924" t="n">
        <v>0</v>
      </c>
      <c r="P924" t="n">
        <v>0</v>
      </c>
      <c r="Q924" t="n">
        <v>0</v>
      </c>
      <c r="R924" s="2" t="inlineStr"/>
    </row>
    <row r="925" ht="15" customHeight="1">
      <c r="A925" t="inlineStr">
        <is>
          <t>A 1400-2024</t>
        </is>
      </c>
      <c r="B925" s="1" t="n">
        <v>45303</v>
      </c>
      <c r="C925" s="1" t="n">
        <v>45852</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1891-2024</t>
        </is>
      </c>
      <c r="B926" s="1" t="n">
        <v>45308</v>
      </c>
      <c r="C926" s="1" t="n">
        <v>45852</v>
      </c>
      <c r="D926" t="inlineStr">
        <is>
          <t>DALARNAS LÄN</t>
        </is>
      </c>
      <c r="E926" t="inlineStr">
        <is>
          <t>MALUNG-SÄLEN</t>
        </is>
      </c>
      <c r="G926" t="n">
        <v>5.6</v>
      </c>
      <c r="H926" t="n">
        <v>0</v>
      </c>
      <c r="I926" t="n">
        <v>0</v>
      </c>
      <c r="J926" t="n">
        <v>0</v>
      </c>
      <c r="K926" t="n">
        <v>0</v>
      </c>
      <c r="L926" t="n">
        <v>0</v>
      </c>
      <c r="M926" t="n">
        <v>0</v>
      </c>
      <c r="N926" t="n">
        <v>0</v>
      </c>
      <c r="O926" t="n">
        <v>0</v>
      </c>
      <c r="P926" t="n">
        <v>0</v>
      </c>
      <c r="Q926" t="n">
        <v>0</v>
      </c>
      <c r="R926" s="2" t="inlineStr"/>
    </row>
    <row r="927" ht="15" customHeight="1">
      <c r="A927" t="inlineStr">
        <is>
          <t>A 2002-2024</t>
        </is>
      </c>
      <c r="B927" s="1" t="n">
        <v>45308</v>
      </c>
      <c r="C927" s="1" t="n">
        <v>45852</v>
      </c>
      <c r="D927" t="inlineStr">
        <is>
          <t>DALARNAS LÄN</t>
        </is>
      </c>
      <c r="E927" t="inlineStr">
        <is>
          <t>MALUNG-SÄLEN</t>
        </is>
      </c>
      <c r="F927" t="inlineStr">
        <is>
          <t>Övriga statliga verk och myndigheter</t>
        </is>
      </c>
      <c r="G927" t="n">
        <v>0.7</v>
      </c>
      <c r="H927" t="n">
        <v>0</v>
      </c>
      <c r="I927" t="n">
        <v>0</v>
      </c>
      <c r="J927" t="n">
        <v>0</v>
      </c>
      <c r="K927" t="n">
        <v>0</v>
      </c>
      <c r="L927" t="n">
        <v>0</v>
      </c>
      <c r="M927" t="n">
        <v>0</v>
      </c>
      <c r="N927" t="n">
        <v>0</v>
      </c>
      <c r="O927" t="n">
        <v>0</v>
      </c>
      <c r="P927" t="n">
        <v>0</v>
      </c>
      <c r="Q927" t="n">
        <v>0</v>
      </c>
      <c r="R927" s="2" t="inlineStr"/>
    </row>
    <row r="928" ht="15" customHeight="1">
      <c r="A928" t="inlineStr">
        <is>
          <t>A 2467-2024</t>
        </is>
      </c>
      <c r="B928" s="1" t="n">
        <v>45313</v>
      </c>
      <c r="C928" s="1" t="n">
        <v>45852</v>
      </c>
      <c r="D928" t="inlineStr">
        <is>
          <t>DALARNAS LÄN</t>
        </is>
      </c>
      <c r="E928" t="inlineStr">
        <is>
          <t>MALUNG-SÄLEN</t>
        </is>
      </c>
      <c r="G928" t="n">
        <v>4.1</v>
      </c>
      <c r="H928" t="n">
        <v>0</v>
      </c>
      <c r="I928" t="n">
        <v>0</v>
      </c>
      <c r="J928" t="n">
        <v>0</v>
      </c>
      <c r="K928" t="n">
        <v>0</v>
      </c>
      <c r="L928" t="n">
        <v>0</v>
      </c>
      <c r="M928" t="n">
        <v>0</v>
      </c>
      <c r="N928" t="n">
        <v>0</v>
      </c>
      <c r="O928" t="n">
        <v>0</v>
      </c>
      <c r="P928" t="n">
        <v>0</v>
      </c>
      <c r="Q928" t="n">
        <v>0</v>
      </c>
      <c r="R928" s="2" t="inlineStr"/>
    </row>
    <row r="929" ht="15" customHeight="1">
      <c r="A929" t="inlineStr">
        <is>
          <t>A 2790-2024</t>
        </is>
      </c>
      <c r="B929" s="1" t="n">
        <v>45314</v>
      </c>
      <c r="C929" s="1" t="n">
        <v>45852</v>
      </c>
      <c r="D929" t="inlineStr">
        <is>
          <t>DALARNAS LÄN</t>
        </is>
      </c>
      <c r="E929" t="inlineStr">
        <is>
          <t>MALUNG-SÄLEN</t>
        </is>
      </c>
      <c r="G929" t="n">
        <v>2.7</v>
      </c>
      <c r="H929" t="n">
        <v>0</v>
      </c>
      <c r="I929" t="n">
        <v>0</v>
      </c>
      <c r="J929" t="n">
        <v>0</v>
      </c>
      <c r="K929" t="n">
        <v>0</v>
      </c>
      <c r="L929" t="n">
        <v>0</v>
      </c>
      <c r="M929" t="n">
        <v>0</v>
      </c>
      <c r="N929" t="n">
        <v>0</v>
      </c>
      <c r="O929" t="n">
        <v>0</v>
      </c>
      <c r="P929" t="n">
        <v>0</v>
      </c>
      <c r="Q929" t="n">
        <v>0</v>
      </c>
      <c r="R929" s="2" t="inlineStr"/>
    </row>
    <row r="930" ht="15" customHeight="1">
      <c r="A930" t="inlineStr">
        <is>
          <t>A 2936-2024</t>
        </is>
      </c>
      <c r="B930" s="1" t="n">
        <v>45315</v>
      </c>
      <c r="C930" s="1" t="n">
        <v>45852</v>
      </c>
      <c r="D930" t="inlineStr">
        <is>
          <t>DALARNAS LÄN</t>
        </is>
      </c>
      <c r="E930" t="inlineStr">
        <is>
          <t>MALUNG-SÄLEN</t>
        </is>
      </c>
      <c r="G930" t="n">
        <v>4.4</v>
      </c>
      <c r="H930" t="n">
        <v>0</v>
      </c>
      <c r="I930" t="n">
        <v>0</v>
      </c>
      <c r="J930" t="n">
        <v>0</v>
      </c>
      <c r="K930" t="n">
        <v>0</v>
      </c>
      <c r="L930" t="n">
        <v>0</v>
      </c>
      <c r="M930" t="n">
        <v>0</v>
      </c>
      <c r="N930" t="n">
        <v>0</v>
      </c>
      <c r="O930" t="n">
        <v>0</v>
      </c>
      <c r="P930" t="n">
        <v>0</v>
      </c>
      <c r="Q930" t="n">
        <v>0</v>
      </c>
      <c r="R930" s="2" t="inlineStr"/>
    </row>
    <row r="931" ht="15" customHeight="1">
      <c r="A931" t="inlineStr">
        <is>
          <t>A 3789-2024</t>
        </is>
      </c>
      <c r="B931" s="1" t="n">
        <v>45321</v>
      </c>
      <c r="C931" s="1" t="n">
        <v>45852</v>
      </c>
      <c r="D931" t="inlineStr">
        <is>
          <t>DALARNAS LÄN</t>
        </is>
      </c>
      <c r="E931" t="inlineStr">
        <is>
          <t>MALUNG-SÄLEN</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3794-2024</t>
        </is>
      </c>
      <c r="B932" s="1" t="n">
        <v>45321</v>
      </c>
      <c r="C932" s="1" t="n">
        <v>45852</v>
      </c>
      <c r="D932" t="inlineStr">
        <is>
          <t>DALARNAS LÄN</t>
        </is>
      </c>
      <c r="E932" t="inlineStr">
        <is>
          <t>MALUNG-SÄLEN</t>
        </is>
      </c>
      <c r="F932" t="inlineStr">
        <is>
          <t>Bergvik skog öst AB</t>
        </is>
      </c>
      <c r="G932" t="n">
        <v>5</v>
      </c>
      <c r="H932" t="n">
        <v>0</v>
      </c>
      <c r="I932" t="n">
        <v>0</v>
      </c>
      <c r="J932" t="n">
        <v>0</v>
      </c>
      <c r="K932" t="n">
        <v>0</v>
      </c>
      <c r="L932" t="n">
        <v>0</v>
      </c>
      <c r="M932" t="n">
        <v>0</v>
      </c>
      <c r="N932" t="n">
        <v>0</v>
      </c>
      <c r="O932" t="n">
        <v>0</v>
      </c>
      <c r="P932" t="n">
        <v>0</v>
      </c>
      <c r="Q932" t="n">
        <v>0</v>
      </c>
      <c r="R932" s="2" t="inlineStr"/>
    </row>
    <row r="933" ht="15" customHeight="1">
      <c r="A933" t="inlineStr">
        <is>
          <t>A 3792-2024</t>
        </is>
      </c>
      <c r="B933" s="1" t="n">
        <v>45321</v>
      </c>
      <c r="C933" s="1" t="n">
        <v>45852</v>
      </c>
      <c r="D933" t="inlineStr">
        <is>
          <t>DALARNAS LÄN</t>
        </is>
      </c>
      <c r="E933" t="inlineStr">
        <is>
          <t>MALUNG-SÄLEN</t>
        </is>
      </c>
      <c r="F933" t="inlineStr">
        <is>
          <t>Bergvik skog öst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3849-2024</t>
        </is>
      </c>
      <c r="B934" s="1" t="n">
        <v>45322</v>
      </c>
      <c r="C934" s="1" t="n">
        <v>45852</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3853-2024</t>
        </is>
      </c>
      <c r="B935" s="1" t="n">
        <v>45322</v>
      </c>
      <c r="C935" s="1" t="n">
        <v>45852</v>
      </c>
      <c r="D935" t="inlineStr">
        <is>
          <t>DALARNAS LÄN</t>
        </is>
      </c>
      <c r="E935" t="inlineStr">
        <is>
          <t>MALUNG-SÄLEN</t>
        </is>
      </c>
      <c r="G935" t="n">
        <v>1.7</v>
      </c>
      <c r="H935" t="n">
        <v>0</v>
      </c>
      <c r="I935" t="n">
        <v>0</v>
      </c>
      <c r="J935" t="n">
        <v>0</v>
      </c>
      <c r="K935" t="n">
        <v>0</v>
      </c>
      <c r="L935" t="n">
        <v>0</v>
      </c>
      <c r="M935" t="n">
        <v>0</v>
      </c>
      <c r="N935" t="n">
        <v>0</v>
      </c>
      <c r="O935" t="n">
        <v>0</v>
      </c>
      <c r="P935" t="n">
        <v>0</v>
      </c>
      <c r="Q935" t="n">
        <v>0</v>
      </c>
      <c r="R935" s="2" t="inlineStr"/>
    </row>
    <row r="936" ht="15" customHeight="1">
      <c r="A936" t="inlineStr">
        <is>
          <t>A 4271-2024</t>
        </is>
      </c>
      <c r="B936" s="1" t="n">
        <v>45324</v>
      </c>
      <c r="C936" s="1" t="n">
        <v>45852</v>
      </c>
      <c r="D936" t="inlineStr">
        <is>
          <t>DALARNAS LÄN</t>
        </is>
      </c>
      <c r="E936" t="inlineStr">
        <is>
          <t>MALUNG-SÄLEN</t>
        </is>
      </c>
      <c r="G936" t="n">
        <v>14.9</v>
      </c>
      <c r="H936" t="n">
        <v>0</v>
      </c>
      <c r="I936" t="n">
        <v>0</v>
      </c>
      <c r="J936" t="n">
        <v>0</v>
      </c>
      <c r="K936" t="n">
        <v>0</v>
      </c>
      <c r="L936" t="n">
        <v>0</v>
      </c>
      <c r="M936" t="n">
        <v>0</v>
      </c>
      <c r="N936" t="n">
        <v>0</v>
      </c>
      <c r="O936" t="n">
        <v>0</v>
      </c>
      <c r="P936" t="n">
        <v>0</v>
      </c>
      <c r="Q936" t="n">
        <v>0</v>
      </c>
      <c r="R936" s="2" t="inlineStr"/>
    </row>
    <row r="937" ht="15" customHeight="1">
      <c r="A937" t="inlineStr">
        <is>
          <t>A 5573-2024</t>
        </is>
      </c>
      <c r="B937" s="1" t="n">
        <v>45334</v>
      </c>
      <c r="C937" s="1" t="n">
        <v>45852</v>
      </c>
      <c r="D937" t="inlineStr">
        <is>
          <t>DALARNAS LÄN</t>
        </is>
      </c>
      <c r="E937" t="inlineStr">
        <is>
          <t>MALUNG-SÄLEN</t>
        </is>
      </c>
      <c r="G937" t="n">
        <v>2.4</v>
      </c>
      <c r="H937" t="n">
        <v>0</v>
      </c>
      <c r="I937" t="n">
        <v>0</v>
      </c>
      <c r="J937" t="n">
        <v>0</v>
      </c>
      <c r="K937" t="n">
        <v>0</v>
      </c>
      <c r="L937" t="n">
        <v>0</v>
      </c>
      <c r="M937" t="n">
        <v>0</v>
      </c>
      <c r="N937" t="n">
        <v>0</v>
      </c>
      <c r="O937" t="n">
        <v>0</v>
      </c>
      <c r="P937" t="n">
        <v>0</v>
      </c>
      <c r="Q937" t="n">
        <v>0</v>
      </c>
      <c r="R937" s="2" t="inlineStr"/>
    </row>
    <row r="938" ht="15" customHeight="1">
      <c r="A938" t="inlineStr">
        <is>
          <t>A 5577-2024</t>
        </is>
      </c>
      <c r="B938" s="1" t="n">
        <v>45334</v>
      </c>
      <c r="C938" s="1" t="n">
        <v>45852</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5931-2024</t>
        </is>
      </c>
      <c r="B939" s="1" t="n">
        <v>45335</v>
      </c>
      <c r="C939" s="1" t="n">
        <v>45852</v>
      </c>
      <c r="D939" t="inlineStr">
        <is>
          <t>DALARNAS LÄN</t>
        </is>
      </c>
      <c r="E939" t="inlineStr">
        <is>
          <t>MALUNG-SÄLEN</t>
        </is>
      </c>
      <c r="G939" t="n">
        <v>6.6</v>
      </c>
      <c r="H939" t="n">
        <v>0</v>
      </c>
      <c r="I939" t="n">
        <v>0</v>
      </c>
      <c r="J939" t="n">
        <v>0</v>
      </c>
      <c r="K939" t="n">
        <v>0</v>
      </c>
      <c r="L939" t="n">
        <v>0</v>
      </c>
      <c r="M939" t="n">
        <v>0</v>
      </c>
      <c r="N939" t="n">
        <v>0</v>
      </c>
      <c r="O939" t="n">
        <v>0</v>
      </c>
      <c r="P939" t="n">
        <v>0</v>
      </c>
      <c r="Q939" t="n">
        <v>0</v>
      </c>
      <c r="R939" s="2" t="inlineStr"/>
    </row>
    <row r="940" ht="15" customHeight="1">
      <c r="A940" t="inlineStr">
        <is>
          <t>A 5992-2024</t>
        </is>
      </c>
      <c r="B940" s="1" t="n">
        <v>45336</v>
      </c>
      <c r="C940" s="1" t="n">
        <v>45852</v>
      </c>
      <c r="D940" t="inlineStr">
        <is>
          <t>DALARNAS LÄN</t>
        </is>
      </c>
      <c r="E940" t="inlineStr">
        <is>
          <t>MALUNG-SÄLEN</t>
        </is>
      </c>
      <c r="G940" t="n">
        <v>2.1</v>
      </c>
      <c r="H940" t="n">
        <v>0</v>
      </c>
      <c r="I940" t="n">
        <v>0</v>
      </c>
      <c r="J940" t="n">
        <v>0</v>
      </c>
      <c r="K940" t="n">
        <v>0</v>
      </c>
      <c r="L940" t="n">
        <v>0</v>
      </c>
      <c r="M940" t="n">
        <v>0</v>
      </c>
      <c r="N940" t="n">
        <v>0</v>
      </c>
      <c r="O940" t="n">
        <v>0</v>
      </c>
      <c r="P940" t="n">
        <v>0</v>
      </c>
      <c r="Q940" t="n">
        <v>0</v>
      </c>
      <c r="R940" s="2" t="inlineStr"/>
    </row>
    <row r="941" ht="15" customHeight="1">
      <c r="A941" t="inlineStr">
        <is>
          <t>A 6407-2024</t>
        </is>
      </c>
      <c r="B941" s="1" t="n">
        <v>45338</v>
      </c>
      <c r="C941" s="1" t="n">
        <v>45852</v>
      </c>
      <c r="D941" t="inlineStr">
        <is>
          <t>DALARNAS LÄN</t>
        </is>
      </c>
      <c r="E941" t="inlineStr">
        <is>
          <t>MALUNG-SÄLEN</t>
        </is>
      </c>
      <c r="F941" t="inlineStr">
        <is>
          <t>Kommuner</t>
        </is>
      </c>
      <c r="G941" t="n">
        <v>7.1</v>
      </c>
      <c r="H941" t="n">
        <v>0</v>
      </c>
      <c r="I941" t="n">
        <v>0</v>
      </c>
      <c r="J941" t="n">
        <v>0</v>
      </c>
      <c r="K941" t="n">
        <v>0</v>
      </c>
      <c r="L941" t="n">
        <v>0</v>
      </c>
      <c r="M941" t="n">
        <v>0</v>
      </c>
      <c r="N941" t="n">
        <v>0</v>
      </c>
      <c r="O941" t="n">
        <v>0</v>
      </c>
      <c r="P941" t="n">
        <v>0</v>
      </c>
      <c r="Q941" t="n">
        <v>0</v>
      </c>
      <c r="R941" s="2" t="inlineStr"/>
    </row>
    <row r="942" ht="15" customHeight="1">
      <c r="A942" t="inlineStr">
        <is>
          <t>A 6496-2024</t>
        </is>
      </c>
      <c r="B942" s="1" t="n">
        <v>45339</v>
      </c>
      <c r="C942" s="1" t="n">
        <v>45852</v>
      </c>
      <c r="D942" t="inlineStr">
        <is>
          <t>DALARNAS LÄN</t>
        </is>
      </c>
      <c r="E942" t="inlineStr">
        <is>
          <t>MALUNG-SÄLEN</t>
        </is>
      </c>
      <c r="G942" t="n">
        <v>2.6</v>
      </c>
      <c r="H942" t="n">
        <v>0</v>
      </c>
      <c r="I942" t="n">
        <v>0</v>
      </c>
      <c r="J942" t="n">
        <v>0</v>
      </c>
      <c r="K942" t="n">
        <v>0</v>
      </c>
      <c r="L942" t="n">
        <v>0</v>
      </c>
      <c r="M942" t="n">
        <v>0</v>
      </c>
      <c r="N942" t="n">
        <v>0</v>
      </c>
      <c r="O942" t="n">
        <v>0</v>
      </c>
      <c r="P942" t="n">
        <v>0</v>
      </c>
      <c r="Q942" t="n">
        <v>0</v>
      </c>
      <c r="R942" s="2" t="inlineStr"/>
    </row>
    <row r="943" ht="15" customHeight="1">
      <c r="A943" t="inlineStr">
        <is>
          <t>A 7330-2024</t>
        </is>
      </c>
      <c r="B943" s="1" t="n">
        <v>45345</v>
      </c>
      <c r="C943" s="1" t="n">
        <v>45852</v>
      </c>
      <c r="D943" t="inlineStr">
        <is>
          <t>DALARNAS LÄN</t>
        </is>
      </c>
      <c r="E943" t="inlineStr">
        <is>
          <t>MALUNG-SÄLEN</t>
        </is>
      </c>
      <c r="G943" t="n">
        <v>3.9</v>
      </c>
      <c r="H943" t="n">
        <v>0</v>
      </c>
      <c r="I943" t="n">
        <v>0</v>
      </c>
      <c r="J943" t="n">
        <v>0</v>
      </c>
      <c r="K943" t="n">
        <v>0</v>
      </c>
      <c r="L943" t="n">
        <v>0</v>
      </c>
      <c r="M943" t="n">
        <v>0</v>
      </c>
      <c r="N943" t="n">
        <v>0</v>
      </c>
      <c r="O943" t="n">
        <v>0</v>
      </c>
      <c r="P943" t="n">
        <v>0</v>
      </c>
      <c r="Q943" t="n">
        <v>0</v>
      </c>
      <c r="R943" s="2" t="inlineStr"/>
    </row>
    <row r="944" ht="15" customHeight="1">
      <c r="A944" t="inlineStr">
        <is>
          <t>A 7427-2024</t>
        </is>
      </c>
      <c r="B944" s="1" t="n">
        <v>45345</v>
      </c>
      <c r="C944" s="1" t="n">
        <v>45852</v>
      </c>
      <c r="D944" t="inlineStr">
        <is>
          <t>DALARNAS LÄN</t>
        </is>
      </c>
      <c r="E944" t="inlineStr">
        <is>
          <t>MALUNG-SÄLEN</t>
        </is>
      </c>
      <c r="G944" t="n">
        <v>8</v>
      </c>
      <c r="H944" t="n">
        <v>0</v>
      </c>
      <c r="I944" t="n">
        <v>0</v>
      </c>
      <c r="J944" t="n">
        <v>0</v>
      </c>
      <c r="K944" t="n">
        <v>0</v>
      </c>
      <c r="L944" t="n">
        <v>0</v>
      </c>
      <c r="M944" t="n">
        <v>0</v>
      </c>
      <c r="N944" t="n">
        <v>0</v>
      </c>
      <c r="O944" t="n">
        <v>0</v>
      </c>
      <c r="P944" t="n">
        <v>0</v>
      </c>
      <c r="Q944" t="n">
        <v>0</v>
      </c>
      <c r="R944" s="2" t="inlineStr"/>
    </row>
    <row r="945" ht="15" customHeight="1">
      <c r="A945" t="inlineStr">
        <is>
          <t>A 8588-2024</t>
        </is>
      </c>
      <c r="B945" s="1" t="n">
        <v>45352</v>
      </c>
      <c r="C945" s="1" t="n">
        <v>45852</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8568-2024</t>
        </is>
      </c>
      <c r="B946" s="1" t="n">
        <v>45352</v>
      </c>
      <c r="C946" s="1" t="n">
        <v>45852</v>
      </c>
      <c r="D946" t="inlineStr">
        <is>
          <t>DALARNAS LÄN</t>
        </is>
      </c>
      <c r="E946" t="inlineStr">
        <is>
          <t>MALUNG-SÄLEN</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8583-2024</t>
        </is>
      </c>
      <c r="B947" s="1" t="n">
        <v>45352</v>
      </c>
      <c r="C947" s="1" t="n">
        <v>45852</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8825-2024</t>
        </is>
      </c>
      <c r="B948" s="1" t="n">
        <v>45355</v>
      </c>
      <c r="C948" s="1" t="n">
        <v>45852</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8824-2024</t>
        </is>
      </c>
      <c r="B949" s="1" t="n">
        <v>45355</v>
      </c>
      <c r="C949" s="1" t="n">
        <v>45852</v>
      </c>
      <c r="D949" t="inlineStr">
        <is>
          <t>DALARNAS LÄN</t>
        </is>
      </c>
      <c r="E949" t="inlineStr">
        <is>
          <t>MALUNG-SÄLEN</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8907-2024</t>
        </is>
      </c>
      <c r="B950" s="1" t="n">
        <v>45357</v>
      </c>
      <c r="C950" s="1" t="n">
        <v>45852</v>
      </c>
      <c r="D950" t="inlineStr">
        <is>
          <t>DALARNAS LÄN</t>
        </is>
      </c>
      <c r="E950" t="inlineStr">
        <is>
          <t>MALUNG-SÄLEN</t>
        </is>
      </c>
      <c r="G950" t="n">
        <v>12</v>
      </c>
      <c r="H950" t="n">
        <v>0</v>
      </c>
      <c r="I950" t="n">
        <v>0</v>
      </c>
      <c r="J950" t="n">
        <v>0</v>
      </c>
      <c r="K950" t="n">
        <v>0</v>
      </c>
      <c r="L950" t="n">
        <v>0</v>
      </c>
      <c r="M950" t="n">
        <v>0</v>
      </c>
      <c r="N950" t="n">
        <v>0</v>
      </c>
      <c r="O950" t="n">
        <v>0</v>
      </c>
      <c r="P950" t="n">
        <v>0</v>
      </c>
      <c r="Q950" t="n">
        <v>0</v>
      </c>
      <c r="R950" s="2" t="inlineStr"/>
    </row>
    <row r="951" ht="15" customHeight="1">
      <c r="A951" t="inlineStr">
        <is>
          <t>A 8905-2024</t>
        </is>
      </c>
      <c r="B951" s="1" t="n">
        <v>45357</v>
      </c>
      <c r="C951" s="1" t="n">
        <v>45852</v>
      </c>
      <c r="D951" t="inlineStr">
        <is>
          <t>DALARNAS LÄN</t>
        </is>
      </c>
      <c r="E951" t="inlineStr">
        <is>
          <t>MALUNG-SÄLEN</t>
        </is>
      </c>
      <c r="G951" t="n">
        <v>5.2</v>
      </c>
      <c r="H951" t="n">
        <v>0</v>
      </c>
      <c r="I951" t="n">
        <v>0</v>
      </c>
      <c r="J951" t="n">
        <v>0</v>
      </c>
      <c r="K951" t="n">
        <v>0</v>
      </c>
      <c r="L951" t="n">
        <v>0</v>
      </c>
      <c r="M951" t="n">
        <v>0</v>
      </c>
      <c r="N951" t="n">
        <v>0</v>
      </c>
      <c r="O951" t="n">
        <v>0</v>
      </c>
      <c r="P951" t="n">
        <v>0</v>
      </c>
      <c r="Q951" t="n">
        <v>0</v>
      </c>
      <c r="R951" s="2" t="inlineStr"/>
    </row>
    <row r="952" ht="15" customHeight="1">
      <c r="A952" t="inlineStr">
        <is>
          <t>A 9365-2024</t>
        </is>
      </c>
      <c r="B952" s="1" t="n">
        <v>45359</v>
      </c>
      <c r="C952" s="1" t="n">
        <v>45852</v>
      </c>
      <c r="D952" t="inlineStr">
        <is>
          <t>DALARNAS LÄN</t>
        </is>
      </c>
      <c r="E952" t="inlineStr">
        <is>
          <t>MALUNG-SÄLEN</t>
        </is>
      </c>
      <c r="G952" t="n">
        <v>3.5</v>
      </c>
      <c r="H952" t="n">
        <v>0</v>
      </c>
      <c r="I952" t="n">
        <v>0</v>
      </c>
      <c r="J952" t="n">
        <v>0</v>
      </c>
      <c r="K952" t="n">
        <v>0</v>
      </c>
      <c r="L952" t="n">
        <v>0</v>
      </c>
      <c r="M952" t="n">
        <v>0</v>
      </c>
      <c r="N952" t="n">
        <v>0</v>
      </c>
      <c r="O952" t="n">
        <v>0</v>
      </c>
      <c r="P952" t="n">
        <v>0</v>
      </c>
      <c r="Q952" t="n">
        <v>0</v>
      </c>
      <c r="R952" s="2" t="inlineStr"/>
    </row>
    <row r="953" ht="15" customHeight="1">
      <c r="A953" t="inlineStr">
        <is>
          <t>A 10444-2024</t>
        </is>
      </c>
      <c r="B953" s="1" t="n">
        <v>45366</v>
      </c>
      <c r="C953" s="1" t="n">
        <v>45852</v>
      </c>
      <c r="D953" t="inlineStr">
        <is>
          <t>DALARNAS LÄN</t>
        </is>
      </c>
      <c r="E953" t="inlineStr">
        <is>
          <t>MALUNG-SÄLEN</t>
        </is>
      </c>
      <c r="G953" t="n">
        <v>4</v>
      </c>
      <c r="H953" t="n">
        <v>0</v>
      </c>
      <c r="I953" t="n">
        <v>0</v>
      </c>
      <c r="J953" t="n">
        <v>0</v>
      </c>
      <c r="K953" t="n">
        <v>0</v>
      </c>
      <c r="L953" t="n">
        <v>0</v>
      </c>
      <c r="M953" t="n">
        <v>0</v>
      </c>
      <c r="N953" t="n">
        <v>0</v>
      </c>
      <c r="O953" t="n">
        <v>0</v>
      </c>
      <c r="P953" t="n">
        <v>0</v>
      </c>
      <c r="Q953" t="n">
        <v>0</v>
      </c>
      <c r="R953" s="2" t="inlineStr"/>
    </row>
    <row r="954" ht="15" customHeight="1">
      <c r="A954" t="inlineStr">
        <is>
          <t>A 11246-2024</t>
        </is>
      </c>
      <c r="B954" s="1" t="n">
        <v>45371</v>
      </c>
      <c r="C954" s="1" t="n">
        <v>45852</v>
      </c>
      <c r="D954" t="inlineStr">
        <is>
          <t>DALARNAS LÄN</t>
        </is>
      </c>
      <c r="E954" t="inlineStr">
        <is>
          <t>MALUNG-SÄLEN</t>
        </is>
      </c>
      <c r="G954" t="n">
        <v>4.3</v>
      </c>
      <c r="H954" t="n">
        <v>0</v>
      </c>
      <c r="I954" t="n">
        <v>0</v>
      </c>
      <c r="J954" t="n">
        <v>0</v>
      </c>
      <c r="K954" t="n">
        <v>0</v>
      </c>
      <c r="L954" t="n">
        <v>0</v>
      </c>
      <c r="M954" t="n">
        <v>0</v>
      </c>
      <c r="N954" t="n">
        <v>0</v>
      </c>
      <c r="O954" t="n">
        <v>0</v>
      </c>
      <c r="P954" t="n">
        <v>0</v>
      </c>
      <c r="Q954" t="n">
        <v>0</v>
      </c>
      <c r="R954" s="2" t="inlineStr"/>
    </row>
    <row r="955" ht="15" customHeight="1">
      <c r="A955" t="inlineStr">
        <is>
          <t>A 11343-2024</t>
        </is>
      </c>
      <c r="B955" s="1" t="n">
        <v>45372</v>
      </c>
      <c r="C955" s="1" t="n">
        <v>45852</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11344-2024</t>
        </is>
      </c>
      <c r="B956" s="1" t="n">
        <v>45372</v>
      </c>
      <c r="C956" s="1" t="n">
        <v>45852</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11454-2024</t>
        </is>
      </c>
      <c r="B957" s="1" t="n">
        <v>45372</v>
      </c>
      <c r="C957" s="1" t="n">
        <v>45852</v>
      </c>
      <c r="D957" t="inlineStr">
        <is>
          <t>DALARNAS LÄN</t>
        </is>
      </c>
      <c r="E957" t="inlineStr">
        <is>
          <t>MALUNG-SÄLEN</t>
        </is>
      </c>
      <c r="G957" t="n">
        <v>1</v>
      </c>
      <c r="H957" t="n">
        <v>0</v>
      </c>
      <c r="I957" t="n">
        <v>0</v>
      </c>
      <c r="J957" t="n">
        <v>0</v>
      </c>
      <c r="K957" t="n">
        <v>0</v>
      </c>
      <c r="L957" t="n">
        <v>0</v>
      </c>
      <c r="M957" t="n">
        <v>0</v>
      </c>
      <c r="N957" t="n">
        <v>0</v>
      </c>
      <c r="O957" t="n">
        <v>0</v>
      </c>
      <c r="P957" t="n">
        <v>0</v>
      </c>
      <c r="Q957" t="n">
        <v>0</v>
      </c>
      <c r="R957" s="2" t="inlineStr"/>
    </row>
    <row r="958" ht="15" customHeight="1">
      <c r="A958" t="inlineStr">
        <is>
          <t>A 11558-2024</t>
        </is>
      </c>
      <c r="B958" s="1" t="n">
        <v>45373</v>
      </c>
      <c r="C958" s="1" t="n">
        <v>45852</v>
      </c>
      <c r="D958" t="inlineStr">
        <is>
          <t>DALARNAS LÄN</t>
        </is>
      </c>
      <c r="E958" t="inlineStr">
        <is>
          <t>MALUNG-SÄLEN</t>
        </is>
      </c>
      <c r="G958" t="n">
        <v>6.4</v>
      </c>
      <c r="H958" t="n">
        <v>0</v>
      </c>
      <c r="I958" t="n">
        <v>0</v>
      </c>
      <c r="J958" t="n">
        <v>0</v>
      </c>
      <c r="K958" t="n">
        <v>0</v>
      </c>
      <c r="L958" t="n">
        <v>0</v>
      </c>
      <c r="M958" t="n">
        <v>0</v>
      </c>
      <c r="N958" t="n">
        <v>0</v>
      </c>
      <c r="O958" t="n">
        <v>0</v>
      </c>
      <c r="P958" t="n">
        <v>0</v>
      </c>
      <c r="Q958" t="n">
        <v>0</v>
      </c>
      <c r="R958" s="2" t="inlineStr"/>
    </row>
    <row r="959" ht="15" customHeight="1">
      <c r="A959" t="inlineStr">
        <is>
          <t>A 12392-2024</t>
        </is>
      </c>
      <c r="B959" s="1" t="n">
        <v>45379</v>
      </c>
      <c r="C959" s="1" t="n">
        <v>45852</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12417-2024</t>
        </is>
      </c>
      <c r="B960" s="1" t="n">
        <v>45379</v>
      </c>
      <c r="C960" s="1" t="n">
        <v>45852</v>
      </c>
      <c r="D960" t="inlineStr">
        <is>
          <t>DALARNAS LÄN</t>
        </is>
      </c>
      <c r="E960" t="inlineStr">
        <is>
          <t>MALUNG-SÄLEN</t>
        </is>
      </c>
      <c r="F960" t="inlineStr">
        <is>
          <t>Allmännings- och besparingsskogar</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13898-2024</t>
        </is>
      </c>
      <c r="B961" s="1" t="n">
        <v>45391</v>
      </c>
      <c r="C961" s="1" t="n">
        <v>45852</v>
      </c>
      <c r="D961" t="inlineStr">
        <is>
          <t>DALARNAS LÄN</t>
        </is>
      </c>
      <c r="E961" t="inlineStr">
        <is>
          <t>MALUNG-SÄLEN</t>
        </is>
      </c>
      <c r="G961" t="n">
        <v>1.1</v>
      </c>
      <c r="H961" t="n">
        <v>0</v>
      </c>
      <c r="I961" t="n">
        <v>0</v>
      </c>
      <c r="J961" t="n">
        <v>0</v>
      </c>
      <c r="K961" t="n">
        <v>0</v>
      </c>
      <c r="L961" t="n">
        <v>0</v>
      </c>
      <c r="M961" t="n">
        <v>0</v>
      </c>
      <c r="N961" t="n">
        <v>0</v>
      </c>
      <c r="O961" t="n">
        <v>0</v>
      </c>
      <c r="P961" t="n">
        <v>0</v>
      </c>
      <c r="Q961" t="n">
        <v>0</v>
      </c>
      <c r="R961" s="2" t="inlineStr"/>
    </row>
    <row r="962" ht="15" customHeight="1">
      <c r="A962" t="inlineStr">
        <is>
          <t>A 14077-2024</t>
        </is>
      </c>
      <c r="B962" s="1" t="n">
        <v>45392</v>
      </c>
      <c r="C962" s="1" t="n">
        <v>45852</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14993-2024</t>
        </is>
      </c>
      <c r="B963" s="1" t="n">
        <v>45399</v>
      </c>
      <c r="C963" s="1" t="n">
        <v>45852</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15782-2024</t>
        </is>
      </c>
      <c r="B964" s="1" t="n">
        <v>45404</v>
      </c>
      <c r="C964" s="1" t="n">
        <v>45852</v>
      </c>
      <c r="D964" t="inlineStr">
        <is>
          <t>DALARNAS LÄN</t>
        </is>
      </c>
      <c r="E964" t="inlineStr">
        <is>
          <t>MALUNG-SÄLEN</t>
        </is>
      </c>
      <c r="G964" t="n">
        <v>5.1</v>
      </c>
      <c r="H964" t="n">
        <v>0</v>
      </c>
      <c r="I964" t="n">
        <v>0</v>
      </c>
      <c r="J964" t="n">
        <v>0</v>
      </c>
      <c r="K964" t="n">
        <v>0</v>
      </c>
      <c r="L964" t="n">
        <v>0</v>
      </c>
      <c r="M964" t="n">
        <v>0</v>
      </c>
      <c r="N964" t="n">
        <v>0</v>
      </c>
      <c r="O964" t="n">
        <v>0</v>
      </c>
      <c r="P964" t="n">
        <v>0</v>
      </c>
      <c r="Q964" t="n">
        <v>0</v>
      </c>
      <c r="R964" s="2" t="inlineStr"/>
    </row>
    <row r="965" ht="15" customHeight="1">
      <c r="A965" t="inlineStr">
        <is>
          <t>A 15916-2024</t>
        </is>
      </c>
      <c r="B965" s="1" t="n">
        <v>45405</v>
      </c>
      <c r="C965" s="1" t="n">
        <v>45852</v>
      </c>
      <c r="D965" t="inlineStr">
        <is>
          <t>DALARNAS LÄN</t>
        </is>
      </c>
      <c r="E965" t="inlineStr">
        <is>
          <t>MALUNG-SÄLEN</t>
        </is>
      </c>
      <c r="F965" t="inlineStr">
        <is>
          <t>Bergvik skog öst AB</t>
        </is>
      </c>
      <c r="G965" t="n">
        <v>12.5</v>
      </c>
      <c r="H965" t="n">
        <v>0</v>
      </c>
      <c r="I965" t="n">
        <v>0</v>
      </c>
      <c r="J965" t="n">
        <v>0</v>
      </c>
      <c r="K965" t="n">
        <v>0</v>
      </c>
      <c r="L965" t="n">
        <v>0</v>
      </c>
      <c r="M965" t="n">
        <v>0</v>
      </c>
      <c r="N965" t="n">
        <v>0</v>
      </c>
      <c r="O965" t="n">
        <v>0</v>
      </c>
      <c r="P965" t="n">
        <v>0</v>
      </c>
      <c r="Q965" t="n">
        <v>0</v>
      </c>
      <c r="R965" s="2" t="inlineStr"/>
    </row>
    <row r="966" ht="15" customHeight="1">
      <c r="A966" t="inlineStr">
        <is>
          <t>A 15904-2024</t>
        </is>
      </c>
      <c r="B966" s="1" t="n">
        <v>45405</v>
      </c>
      <c r="C966" s="1" t="n">
        <v>45852</v>
      </c>
      <c r="D966" t="inlineStr">
        <is>
          <t>DALARNAS LÄN</t>
        </is>
      </c>
      <c r="E966" t="inlineStr">
        <is>
          <t>MALUNG-SÄLEN</t>
        </is>
      </c>
      <c r="G966" t="n">
        <v>9.9</v>
      </c>
      <c r="H966" t="n">
        <v>0</v>
      </c>
      <c r="I966" t="n">
        <v>0</v>
      </c>
      <c r="J966" t="n">
        <v>0</v>
      </c>
      <c r="K966" t="n">
        <v>0</v>
      </c>
      <c r="L966" t="n">
        <v>0</v>
      </c>
      <c r="M966" t="n">
        <v>0</v>
      </c>
      <c r="N966" t="n">
        <v>0</v>
      </c>
      <c r="O966" t="n">
        <v>0</v>
      </c>
      <c r="P966" t="n">
        <v>0</v>
      </c>
      <c r="Q966" t="n">
        <v>0</v>
      </c>
      <c r="R966" s="2" t="inlineStr"/>
    </row>
    <row r="967" ht="15" customHeight="1">
      <c r="A967" t="inlineStr">
        <is>
          <t>A 16157-2024</t>
        </is>
      </c>
      <c r="B967" s="1" t="n">
        <v>45406</v>
      </c>
      <c r="C967" s="1" t="n">
        <v>45852</v>
      </c>
      <c r="D967" t="inlineStr">
        <is>
          <t>DALARNAS LÄN</t>
        </is>
      </c>
      <c r="E967" t="inlineStr">
        <is>
          <t>MALUNG-SÄLEN</t>
        </is>
      </c>
      <c r="G967" t="n">
        <v>2.5</v>
      </c>
      <c r="H967" t="n">
        <v>0</v>
      </c>
      <c r="I967" t="n">
        <v>0</v>
      </c>
      <c r="J967" t="n">
        <v>0</v>
      </c>
      <c r="K967" t="n">
        <v>0</v>
      </c>
      <c r="L967" t="n">
        <v>0</v>
      </c>
      <c r="M967" t="n">
        <v>0</v>
      </c>
      <c r="N967" t="n">
        <v>0</v>
      </c>
      <c r="O967" t="n">
        <v>0</v>
      </c>
      <c r="P967" t="n">
        <v>0</v>
      </c>
      <c r="Q967" t="n">
        <v>0</v>
      </c>
      <c r="R967" s="2" t="inlineStr"/>
    </row>
    <row r="968" ht="15" customHeight="1">
      <c r="A968" t="inlineStr">
        <is>
          <t>A 16391-2024</t>
        </is>
      </c>
      <c r="B968" s="1" t="n">
        <v>45407</v>
      </c>
      <c r="C968" s="1" t="n">
        <v>45852</v>
      </c>
      <c r="D968" t="inlineStr">
        <is>
          <t>DALARNAS LÄN</t>
        </is>
      </c>
      <c r="E968" t="inlineStr">
        <is>
          <t>MALUNG-SÄLEN</t>
        </is>
      </c>
      <c r="G968" t="n">
        <v>0.6</v>
      </c>
      <c r="H968" t="n">
        <v>0</v>
      </c>
      <c r="I968" t="n">
        <v>0</v>
      </c>
      <c r="J968" t="n">
        <v>0</v>
      </c>
      <c r="K968" t="n">
        <v>0</v>
      </c>
      <c r="L968" t="n">
        <v>0</v>
      </c>
      <c r="M968" t="n">
        <v>0</v>
      </c>
      <c r="N968" t="n">
        <v>0</v>
      </c>
      <c r="O968" t="n">
        <v>0</v>
      </c>
      <c r="P968" t="n">
        <v>0</v>
      </c>
      <c r="Q968" t="n">
        <v>0</v>
      </c>
      <c r="R968" s="2" t="inlineStr"/>
    </row>
    <row r="969" ht="15" customHeight="1">
      <c r="A969" t="inlineStr">
        <is>
          <t>A 16889-2024</t>
        </is>
      </c>
      <c r="B969" s="1" t="n">
        <v>45411</v>
      </c>
      <c r="C969" s="1" t="n">
        <v>45852</v>
      </c>
      <c r="D969" t="inlineStr">
        <is>
          <t>DALARNAS LÄN</t>
        </is>
      </c>
      <c r="E969" t="inlineStr">
        <is>
          <t>MALUNG-SÄLEN</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18054-2024</t>
        </is>
      </c>
      <c r="B970" s="1" t="n">
        <v>45420</v>
      </c>
      <c r="C970" s="1" t="n">
        <v>45852</v>
      </c>
      <c r="D970" t="inlineStr">
        <is>
          <t>DALARNAS LÄN</t>
        </is>
      </c>
      <c r="E970" t="inlineStr">
        <is>
          <t>MALUNG-SÄLEN</t>
        </is>
      </c>
      <c r="F970" t="inlineStr">
        <is>
          <t>Övriga statliga verk och myndigheter</t>
        </is>
      </c>
      <c r="G970" t="n">
        <v>4</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v>
      </c>
      <c r="C971" s="1" t="n">
        <v>45852</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18093-2024</t>
        </is>
      </c>
      <c r="B972" s="1" t="n">
        <v>45420</v>
      </c>
      <c r="C972" s="1" t="n">
        <v>45852</v>
      </c>
      <c r="D972" t="inlineStr">
        <is>
          <t>DALARNAS LÄN</t>
        </is>
      </c>
      <c r="E972" t="inlineStr">
        <is>
          <t>MALUNG-SÄLEN</t>
        </is>
      </c>
      <c r="F972" t="inlineStr">
        <is>
          <t>Bergvik skog öst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18521-2024</t>
        </is>
      </c>
      <c r="B973" s="1" t="n">
        <v>45425</v>
      </c>
      <c r="C973" s="1" t="n">
        <v>45852</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18906-2024</t>
        </is>
      </c>
      <c r="B974" s="1" t="n">
        <v>45427</v>
      </c>
      <c r="C974" s="1" t="n">
        <v>45852</v>
      </c>
      <c r="D974" t="inlineStr">
        <is>
          <t>DALARNAS LÄN</t>
        </is>
      </c>
      <c r="E974" t="inlineStr">
        <is>
          <t>MALUNG-SÄLEN</t>
        </is>
      </c>
      <c r="G974" t="n">
        <v>3.4</v>
      </c>
      <c r="H974" t="n">
        <v>0</v>
      </c>
      <c r="I974" t="n">
        <v>0</v>
      </c>
      <c r="J974" t="n">
        <v>0</v>
      </c>
      <c r="K974" t="n">
        <v>0</v>
      </c>
      <c r="L974" t="n">
        <v>0</v>
      </c>
      <c r="M974" t="n">
        <v>0</v>
      </c>
      <c r="N974" t="n">
        <v>0</v>
      </c>
      <c r="O974" t="n">
        <v>0</v>
      </c>
      <c r="P974" t="n">
        <v>0</v>
      </c>
      <c r="Q974" t="n">
        <v>0</v>
      </c>
      <c r="R974" s="2" t="inlineStr"/>
    </row>
    <row r="975" ht="15" customHeight="1">
      <c r="A975" t="inlineStr">
        <is>
          <t>A 18927-2024</t>
        </is>
      </c>
      <c r="B975" s="1" t="n">
        <v>45427</v>
      </c>
      <c r="C975" s="1" t="n">
        <v>45852</v>
      </c>
      <c r="D975" t="inlineStr">
        <is>
          <t>DALARNAS LÄN</t>
        </is>
      </c>
      <c r="E975" t="inlineStr">
        <is>
          <t>MALUNG-SÄLEN</t>
        </is>
      </c>
      <c r="F975" t="inlineStr">
        <is>
          <t>Bergvik skog öst AB</t>
        </is>
      </c>
      <c r="G975" t="n">
        <v>1.7</v>
      </c>
      <c r="H975" t="n">
        <v>0</v>
      </c>
      <c r="I975" t="n">
        <v>0</v>
      </c>
      <c r="J975" t="n">
        <v>0</v>
      </c>
      <c r="K975" t="n">
        <v>0</v>
      </c>
      <c r="L975" t="n">
        <v>0</v>
      </c>
      <c r="M975" t="n">
        <v>0</v>
      </c>
      <c r="N975" t="n">
        <v>0</v>
      </c>
      <c r="O975" t="n">
        <v>0</v>
      </c>
      <c r="P975" t="n">
        <v>0</v>
      </c>
      <c r="Q975" t="n">
        <v>0</v>
      </c>
      <c r="R975" s="2" t="inlineStr"/>
    </row>
    <row r="976" ht="15" customHeight="1">
      <c r="A976" t="inlineStr">
        <is>
          <t>A 19275-2024</t>
        </is>
      </c>
      <c r="B976" s="1" t="n">
        <v>45428</v>
      </c>
      <c r="C976" s="1" t="n">
        <v>45852</v>
      </c>
      <c r="D976" t="inlineStr">
        <is>
          <t>DALARNAS LÄN</t>
        </is>
      </c>
      <c r="E976" t="inlineStr">
        <is>
          <t>MALUNG-SÄLEN</t>
        </is>
      </c>
      <c r="G976" t="n">
        <v>0.4</v>
      </c>
      <c r="H976" t="n">
        <v>0</v>
      </c>
      <c r="I976" t="n">
        <v>0</v>
      </c>
      <c r="J976" t="n">
        <v>0</v>
      </c>
      <c r="K976" t="n">
        <v>0</v>
      </c>
      <c r="L976" t="n">
        <v>0</v>
      </c>
      <c r="M976" t="n">
        <v>0</v>
      </c>
      <c r="N976" t="n">
        <v>0</v>
      </c>
      <c r="O976" t="n">
        <v>0</v>
      </c>
      <c r="P976" t="n">
        <v>0</v>
      </c>
      <c r="Q976" t="n">
        <v>0</v>
      </c>
      <c r="R976" s="2" t="inlineStr"/>
    </row>
    <row r="977" ht="15" customHeight="1">
      <c r="A977" t="inlineStr">
        <is>
          <t>A 19311-2024</t>
        </is>
      </c>
      <c r="B977" s="1" t="n">
        <v>45428</v>
      </c>
      <c r="C977" s="1" t="n">
        <v>45852</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19720-2024</t>
        </is>
      </c>
      <c r="B978" s="1" t="n">
        <v>45428</v>
      </c>
      <c r="C978" s="1" t="n">
        <v>45852</v>
      </c>
      <c r="D978" t="inlineStr">
        <is>
          <t>DALARNAS LÄN</t>
        </is>
      </c>
      <c r="E978" t="inlineStr">
        <is>
          <t>MALUNG-SÄLEN</t>
        </is>
      </c>
      <c r="G978" t="n">
        <v>1.8</v>
      </c>
      <c r="H978" t="n">
        <v>0</v>
      </c>
      <c r="I978" t="n">
        <v>0</v>
      </c>
      <c r="J978" t="n">
        <v>0</v>
      </c>
      <c r="K978" t="n">
        <v>0</v>
      </c>
      <c r="L978" t="n">
        <v>0</v>
      </c>
      <c r="M978" t="n">
        <v>0</v>
      </c>
      <c r="N978" t="n">
        <v>0</v>
      </c>
      <c r="O978" t="n">
        <v>0</v>
      </c>
      <c r="P978" t="n">
        <v>0</v>
      </c>
      <c r="Q978" t="n">
        <v>0</v>
      </c>
      <c r="R978" s="2" t="inlineStr"/>
    </row>
    <row r="979" ht="15" customHeight="1">
      <c r="A979" t="inlineStr">
        <is>
          <t>A 19312-2024</t>
        </is>
      </c>
      <c r="B979" s="1" t="n">
        <v>45428</v>
      </c>
      <c r="C979" s="1" t="n">
        <v>45852</v>
      </c>
      <c r="D979" t="inlineStr">
        <is>
          <t>DALARNAS LÄN</t>
        </is>
      </c>
      <c r="E979" t="inlineStr">
        <is>
          <t>MALUNG-SÄLEN</t>
        </is>
      </c>
      <c r="G979" t="n">
        <v>3.7</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45852</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19315-2024</t>
        </is>
      </c>
      <c r="B981" s="1" t="n">
        <v>45428</v>
      </c>
      <c r="C981" s="1" t="n">
        <v>45852</v>
      </c>
      <c r="D981" t="inlineStr">
        <is>
          <t>DALARNAS LÄN</t>
        </is>
      </c>
      <c r="E981" t="inlineStr">
        <is>
          <t>MALUNG-SÄLEN</t>
        </is>
      </c>
      <c r="G981" t="n">
        <v>7.8</v>
      </c>
      <c r="H981" t="n">
        <v>0</v>
      </c>
      <c r="I981" t="n">
        <v>0</v>
      </c>
      <c r="J981" t="n">
        <v>0</v>
      </c>
      <c r="K981" t="n">
        <v>0</v>
      </c>
      <c r="L981" t="n">
        <v>0</v>
      </c>
      <c r="M981" t="n">
        <v>0</v>
      </c>
      <c r="N981" t="n">
        <v>0</v>
      </c>
      <c r="O981" t="n">
        <v>0</v>
      </c>
      <c r="P981" t="n">
        <v>0</v>
      </c>
      <c r="Q981" t="n">
        <v>0</v>
      </c>
      <c r="R981" s="2" t="inlineStr"/>
    </row>
    <row r="982" ht="15" customHeight="1">
      <c r="A982" t="inlineStr">
        <is>
          <t>A 19719-2024</t>
        </is>
      </c>
      <c r="B982" s="1" t="n">
        <v>45428</v>
      </c>
      <c r="C982" s="1" t="n">
        <v>45852</v>
      </c>
      <c r="D982" t="inlineStr">
        <is>
          <t>DALARNAS LÄN</t>
        </is>
      </c>
      <c r="E982" t="inlineStr">
        <is>
          <t>MALUNG-SÄLEN</t>
        </is>
      </c>
      <c r="G982" t="n">
        <v>27.6</v>
      </c>
      <c r="H982" t="n">
        <v>0</v>
      </c>
      <c r="I982" t="n">
        <v>0</v>
      </c>
      <c r="J982" t="n">
        <v>0</v>
      </c>
      <c r="K982" t="n">
        <v>0</v>
      </c>
      <c r="L982" t="n">
        <v>0</v>
      </c>
      <c r="M982" t="n">
        <v>0</v>
      </c>
      <c r="N982" t="n">
        <v>0</v>
      </c>
      <c r="O982" t="n">
        <v>0</v>
      </c>
      <c r="P982" t="n">
        <v>0</v>
      </c>
      <c r="Q982" t="n">
        <v>0</v>
      </c>
      <c r="R982" s="2" t="inlineStr"/>
    </row>
    <row r="983" ht="15" customHeight="1">
      <c r="A983" t="inlineStr">
        <is>
          <t>A 19718-2024</t>
        </is>
      </c>
      <c r="B983" s="1" t="n">
        <v>45428</v>
      </c>
      <c r="C983" s="1" t="n">
        <v>45852</v>
      </c>
      <c r="D983" t="inlineStr">
        <is>
          <t>DALARNAS LÄN</t>
        </is>
      </c>
      <c r="E983" t="inlineStr">
        <is>
          <t>MALUNG-SÄLEN</t>
        </is>
      </c>
      <c r="G983" t="n">
        <v>17.3</v>
      </c>
      <c r="H983" t="n">
        <v>0</v>
      </c>
      <c r="I983" t="n">
        <v>0</v>
      </c>
      <c r="J983" t="n">
        <v>0</v>
      </c>
      <c r="K983" t="n">
        <v>0</v>
      </c>
      <c r="L983" t="n">
        <v>0</v>
      </c>
      <c r="M983" t="n">
        <v>0</v>
      </c>
      <c r="N983" t="n">
        <v>0</v>
      </c>
      <c r="O983" t="n">
        <v>0</v>
      </c>
      <c r="P983" t="n">
        <v>0</v>
      </c>
      <c r="Q983" t="n">
        <v>0</v>
      </c>
      <c r="R983" s="2" t="inlineStr"/>
    </row>
    <row r="984" ht="15" customHeight="1">
      <c r="A984" t="inlineStr">
        <is>
          <t>A 19415-2024</t>
        </is>
      </c>
      <c r="B984" s="1" t="n">
        <v>45429</v>
      </c>
      <c r="C984" s="1" t="n">
        <v>45852</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19597-2024</t>
        </is>
      </c>
      <c r="B985" s="1" t="n">
        <v>45430</v>
      </c>
      <c r="C985" s="1" t="n">
        <v>45852</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19596-2024</t>
        </is>
      </c>
      <c r="B986" s="1" t="n">
        <v>45430</v>
      </c>
      <c r="C986" s="1" t="n">
        <v>45852</v>
      </c>
      <c r="D986" t="inlineStr">
        <is>
          <t>DALARNAS LÄN</t>
        </is>
      </c>
      <c r="E986" t="inlineStr">
        <is>
          <t>MALUNG-SÄLEN</t>
        </is>
      </c>
      <c r="G986" t="n">
        <v>3.6</v>
      </c>
      <c r="H986" t="n">
        <v>0</v>
      </c>
      <c r="I986" t="n">
        <v>0</v>
      </c>
      <c r="J986" t="n">
        <v>0</v>
      </c>
      <c r="K986" t="n">
        <v>0</v>
      </c>
      <c r="L986" t="n">
        <v>0</v>
      </c>
      <c r="M986" t="n">
        <v>0</v>
      </c>
      <c r="N986" t="n">
        <v>0</v>
      </c>
      <c r="O986" t="n">
        <v>0</v>
      </c>
      <c r="P986" t="n">
        <v>0</v>
      </c>
      <c r="Q986" t="n">
        <v>0</v>
      </c>
      <c r="R986" s="2" t="inlineStr"/>
    </row>
    <row r="987" ht="15" customHeight="1">
      <c r="A987" t="inlineStr">
        <is>
          <t>A 19659-2024</t>
        </is>
      </c>
      <c r="B987" s="1" t="n">
        <v>45432</v>
      </c>
      <c r="C987" s="1" t="n">
        <v>45852</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19660-2024</t>
        </is>
      </c>
      <c r="B988" s="1" t="n">
        <v>45432</v>
      </c>
      <c r="C988" s="1" t="n">
        <v>45852</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19907-2024</t>
        </is>
      </c>
      <c r="B989" s="1" t="n">
        <v>45433</v>
      </c>
      <c r="C989" s="1" t="n">
        <v>45852</v>
      </c>
      <c r="D989" t="inlineStr">
        <is>
          <t>DALARNAS LÄN</t>
        </is>
      </c>
      <c r="E989" t="inlineStr">
        <is>
          <t>MALUNG-SÄLEN</t>
        </is>
      </c>
      <c r="G989" t="n">
        <v>5.8</v>
      </c>
      <c r="H989" t="n">
        <v>0</v>
      </c>
      <c r="I989" t="n">
        <v>0</v>
      </c>
      <c r="J989" t="n">
        <v>0</v>
      </c>
      <c r="K989" t="n">
        <v>0</v>
      </c>
      <c r="L989" t="n">
        <v>0</v>
      </c>
      <c r="M989" t="n">
        <v>0</v>
      </c>
      <c r="N989" t="n">
        <v>0</v>
      </c>
      <c r="O989" t="n">
        <v>0</v>
      </c>
      <c r="P989" t="n">
        <v>0</v>
      </c>
      <c r="Q989" t="n">
        <v>0</v>
      </c>
      <c r="R989" s="2" t="inlineStr"/>
    </row>
    <row r="990" ht="15" customHeight="1">
      <c r="A990" t="inlineStr">
        <is>
          <t>A 20100-2024</t>
        </is>
      </c>
      <c r="B990" s="1" t="n">
        <v>45434</v>
      </c>
      <c r="C990" s="1" t="n">
        <v>45852</v>
      </c>
      <c r="D990" t="inlineStr">
        <is>
          <t>DALARNAS LÄN</t>
        </is>
      </c>
      <c r="E990" t="inlineStr">
        <is>
          <t>MALUNG-SÄLEN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20174-2024</t>
        </is>
      </c>
      <c r="B991" s="1" t="n">
        <v>45434</v>
      </c>
      <c r="C991" s="1" t="n">
        <v>45852</v>
      </c>
      <c r="D991" t="inlineStr">
        <is>
          <t>DALARNAS LÄN</t>
        </is>
      </c>
      <c r="E991" t="inlineStr">
        <is>
          <t>MALUNG-SÄLEN</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20109-2024</t>
        </is>
      </c>
      <c r="B992" s="1" t="n">
        <v>45434</v>
      </c>
      <c r="C992" s="1" t="n">
        <v>45852</v>
      </c>
      <c r="D992" t="inlineStr">
        <is>
          <t>DALARNAS LÄN</t>
        </is>
      </c>
      <c r="E992" t="inlineStr">
        <is>
          <t>MALUNG-SÄLEN</t>
        </is>
      </c>
      <c r="G992" t="n">
        <v>5.4</v>
      </c>
      <c r="H992" t="n">
        <v>0</v>
      </c>
      <c r="I992" t="n">
        <v>0</v>
      </c>
      <c r="J992" t="n">
        <v>0</v>
      </c>
      <c r="K992" t="n">
        <v>0</v>
      </c>
      <c r="L992" t="n">
        <v>0</v>
      </c>
      <c r="M992" t="n">
        <v>0</v>
      </c>
      <c r="N992" t="n">
        <v>0</v>
      </c>
      <c r="O992" t="n">
        <v>0</v>
      </c>
      <c r="P992" t="n">
        <v>0</v>
      </c>
      <c r="Q992" t="n">
        <v>0</v>
      </c>
      <c r="R992" s="2" t="inlineStr"/>
    </row>
    <row r="993" ht="15" customHeight="1">
      <c r="A993" t="inlineStr">
        <is>
          <t>A 20361-2024</t>
        </is>
      </c>
      <c r="B993" s="1" t="n">
        <v>45435</v>
      </c>
      <c r="C993" s="1" t="n">
        <v>45852</v>
      </c>
      <c r="D993" t="inlineStr">
        <is>
          <t>DALARNAS LÄN</t>
        </is>
      </c>
      <c r="E993" t="inlineStr">
        <is>
          <t>MALUNG-SÄLEN</t>
        </is>
      </c>
      <c r="F993" t="inlineStr">
        <is>
          <t>Bergvik skog öst AB</t>
        </is>
      </c>
      <c r="G993" t="n">
        <v>7.5</v>
      </c>
      <c r="H993" t="n">
        <v>0</v>
      </c>
      <c r="I993" t="n">
        <v>0</v>
      </c>
      <c r="J993" t="n">
        <v>0</v>
      </c>
      <c r="K993" t="n">
        <v>0</v>
      </c>
      <c r="L993" t="n">
        <v>0</v>
      </c>
      <c r="M993" t="n">
        <v>0</v>
      </c>
      <c r="N993" t="n">
        <v>0</v>
      </c>
      <c r="O993" t="n">
        <v>0</v>
      </c>
      <c r="P993" t="n">
        <v>0</v>
      </c>
      <c r="Q993" t="n">
        <v>0</v>
      </c>
      <c r="R993" s="2" t="inlineStr"/>
    </row>
    <row r="994" ht="15" customHeight="1">
      <c r="A994" t="inlineStr">
        <is>
          <t>A 20849-2024</t>
        </is>
      </c>
      <c r="B994" s="1" t="n">
        <v>45439</v>
      </c>
      <c r="C994" s="1" t="n">
        <v>45852</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20852-2024</t>
        </is>
      </c>
      <c r="B995" s="1" t="n">
        <v>45439</v>
      </c>
      <c r="C995" s="1" t="n">
        <v>45852</v>
      </c>
      <c r="D995" t="inlineStr">
        <is>
          <t>DALARNAS LÄN</t>
        </is>
      </c>
      <c r="E995" t="inlineStr">
        <is>
          <t>MALUNG-SÄLEN</t>
        </is>
      </c>
      <c r="F995" t="inlineStr">
        <is>
          <t>Bergvik skog öst AB</t>
        </is>
      </c>
      <c r="G995" t="n">
        <v>12.7</v>
      </c>
      <c r="H995" t="n">
        <v>0</v>
      </c>
      <c r="I995" t="n">
        <v>0</v>
      </c>
      <c r="J995" t="n">
        <v>0</v>
      </c>
      <c r="K995" t="n">
        <v>0</v>
      </c>
      <c r="L995" t="n">
        <v>0</v>
      </c>
      <c r="M995" t="n">
        <v>0</v>
      </c>
      <c r="N995" t="n">
        <v>0</v>
      </c>
      <c r="O995" t="n">
        <v>0</v>
      </c>
      <c r="P995" t="n">
        <v>0</v>
      </c>
      <c r="Q995" t="n">
        <v>0</v>
      </c>
      <c r="R995" s="2" t="inlineStr"/>
    </row>
    <row r="996" ht="15" customHeight="1">
      <c r="A996" t="inlineStr">
        <is>
          <t>A 20848-2024</t>
        </is>
      </c>
      <c r="B996" s="1" t="n">
        <v>45439</v>
      </c>
      <c r="C996" s="1" t="n">
        <v>45852</v>
      </c>
      <c r="D996" t="inlineStr">
        <is>
          <t>DALARNAS LÄN</t>
        </is>
      </c>
      <c r="E996" t="inlineStr">
        <is>
          <t>MALUNG-SÄLEN</t>
        </is>
      </c>
      <c r="F996" t="inlineStr">
        <is>
          <t>Bergvik skog öst AB</t>
        </is>
      </c>
      <c r="G996" t="n">
        <v>5.6</v>
      </c>
      <c r="H996" t="n">
        <v>0</v>
      </c>
      <c r="I996" t="n">
        <v>0</v>
      </c>
      <c r="J996" t="n">
        <v>0</v>
      </c>
      <c r="K996" t="n">
        <v>0</v>
      </c>
      <c r="L996" t="n">
        <v>0</v>
      </c>
      <c r="M996" t="n">
        <v>0</v>
      </c>
      <c r="N996" t="n">
        <v>0</v>
      </c>
      <c r="O996" t="n">
        <v>0</v>
      </c>
      <c r="P996" t="n">
        <v>0</v>
      </c>
      <c r="Q996" t="n">
        <v>0</v>
      </c>
      <c r="R996" s="2" t="inlineStr"/>
    </row>
    <row r="997" ht="15" customHeight="1">
      <c r="A997" t="inlineStr">
        <is>
          <t>A 20861-2024</t>
        </is>
      </c>
      <c r="B997" s="1" t="n">
        <v>45439</v>
      </c>
      <c r="C997" s="1" t="n">
        <v>45852</v>
      </c>
      <c r="D997" t="inlineStr">
        <is>
          <t>DALARNAS LÄN</t>
        </is>
      </c>
      <c r="E997" t="inlineStr">
        <is>
          <t>MALUNG-SÄLEN</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20962-2024</t>
        </is>
      </c>
      <c r="B998" s="1" t="n">
        <v>45439</v>
      </c>
      <c r="C998" s="1" t="n">
        <v>45852</v>
      </c>
      <c r="D998" t="inlineStr">
        <is>
          <t>DALARNAS LÄN</t>
        </is>
      </c>
      <c r="E998" t="inlineStr">
        <is>
          <t>MALUNG-SÄLEN</t>
        </is>
      </c>
      <c r="F998" t="inlineStr">
        <is>
          <t>Bergvik skog öst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21450-2024</t>
        </is>
      </c>
      <c r="B999" s="1" t="n">
        <v>45441</v>
      </c>
      <c r="C999" s="1" t="n">
        <v>45852</v>
      </c>
      <c r="D999" t="inlineStr">
        <is>
          <t>DALARNAS LÄN</t>
        </is>
      </c>
      <c r="E999" t="inlineStr">
        <is>
          <t>MALUNG-SÄLEN</t>
        </is>
      </c>
      <c r="F999" t="inlineStr">
        <is>
          <t>Bergvik skog öst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21445-2024</t>
        </is>
      </c>
      <c r="B1000" s="1" t="n">
        <v>45441</v>
      </c>
      <c r="C1000" s="1" t="n">
        <v>45852</v>
      </c>
      <c r="D1000" t="inlineStr">
        <is>
          <t>DALARNAS LÄN</t>
        </is>
      </c>
      <c r="E1000" t="inlineStr">
        <is>
          <t>MALUNG-SÄLEN</t>
        </is>
      </c>
      <c r="F1000" t="inlineStr">
        <is>
          <t>Bergvik skog öst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21794-2024</t>
        </is>
      </c>
      <c r="B1001" s="1" t="n">
        <v>45442</v>
      </c>
      <c r="C1001" s="1" t="n">
        <v>45852</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21799-2024</t>
        </is>
      </c>
      <c r="B1002" s="1" t="n">
        <v>45442</v>
      </c>
      <c r="C1002" s="1" t="n">
        <v>45852</v>
      </c>
      <c r="D1002" t="inlineStr">
        <is>
          <t>DALARNAS LÄN</t>
        </is>
      </c>
      <c r="E1002" t="inlineStr">
        <is>
          <t>MALUNG-SÄLEN</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22040-2024</t>
        </is>
      </c>
      <c r="B1003" s="1" t="n">
        <v>45443</v>
      </c>
      <c r="C1003" s="1" t="n">
        <v>45852</v>
      </c>
      <c r="D1003" t="inlineStr">
        <is>
          <t>DALARNAS LÄN</t>
        </is>
      </c>
      <c r="E1003" t="inlineStr">
        <is>
          <t>MALUNG-SÄLEN</t>
        </is>
      </c>
      <c r="F1003" t="inlineStr">
        <is>
          <t>Bergvik skog öst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21876-2024</t>
        </is>
      </c>
      <c r="B1004" s="1" t="n">
        <v>45443</v>
      </c>
      <c r="C1004" s="1" t="n">
        <v>45852</v>
      </c>
      <c r="D1004" t="inlineStr">
        <is>
          <t>DALARNAS LÄN</t>
        </is>
      </c>
      <c r="E1004" t="inlineStr">
        <is>
          <t>MALUNG-SÄLEN</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21950-2024</t>
        </is>
      </c>
      <c r="B1005" s="1" t="n">
        <v>45443</v>
      </c>
      <c r="C1005" s="1" t="n">
        <v>45852</v>
      </c>
      <c r="D1005" t="inlineStr">
        <is>
          <t>DALARNAS LÄN</t>
        </is>
      </c>
      <c r="E1005" t="inlineStr">
        <is>
          <t>MALUNG-SÄLEN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22237-2024</t>
        </is>
      </c>
      <c r="B1006" s="1" t="n">
        <v>45446</v>
      </c>
      <c r="C1006" s="1" t="n">
        <v>45852</v>
      </c>
      <c r="D1006" t="inlineStr">
        <is>
          <t>DALARNAS LÄN</t>
        </is>
      </c>
      <c r="E1006" t="inlineStr">
        <is>
          <t>MALUNG-SÄLEN</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22256-2024</t>
        </is>
      </c>
      <c r="B1007" s="1" t="n">
        <v>45446</v>
      </c>
      <c r="C1007" s="1" t="n">
        <v>45852</v>
      </c>
      <c r="D1007" t="inlineStr">
        <is>
          <t>DALARNAS LÄN</t>
        </is>
      </c>
      <c r="E1007" t="inlineStr">
        <is>
          <t>MALUNG-SÄLEN</t>
        </is>
      </c>
      <c r="F1007" t="inlineStr">
        <is>
          <t>Bergvik skog öst AB</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22888-2024</t>
        </is>
      </c>
      <c r="B1008" s="1" t="n">
        <v>45448</v>
      </c>
      <c r="C1008" s="1" t="n">
        <v>45852</v>
      </c>
      <c r="D1008" t="inlineStr">
        <is>
          <t>DALARNAS LÄN</t>
        </is>
      </c>
      <c r="E1008" t="inlineStr">
        <is>
          <t>MALUNG-SÄLEN</t>
        </is>
      </c>
      <c r="F1008" t="inlineStr">
        <is>
          <t>Allmännings- och besparingsskogar</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22841-2024</t>
        </is>
      </c>
      <c r="B1009" s="1" t="n">
        <v>45448</v>
      </c>
      <c r="C1009" s="1" t="n">
        <v>45852</v>
      </c>
      <c r="D1009" t="inlineStr">
        <is>
          <t>DALARNAS LÄN</t>
        </is>
      </c>
      <c r="E1009" t="inlineStr">
        <is>
          <t>MALUNG-SÄLEN</t>
        </is>
      </c>
      <c r="F1009" t="inlineStr">
        <is>
          <t>Allmännings- och besparingsskogar</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22853-2024</t>
        </is>
      </c>
      <c r="B1010" s="1" t="n">
        <v>45448</v>
      </c>
      <c r="C1010" s="1" t="n">
        <v>45852</v>
      </c>
      <c r="D1010" t="inlineStr">
        <is>
          <t>DALARNAS LÄN</t>
        </is>
      </c>
      <c r="E1010" t="inlineStr">
        <is>
          <t>MALUNG-SÄLEN</t>
        </is>
      </c>
      <c r="F1010" t="inlineStr">
        <is>
          <t>Allmännings- och besparingsskogar</t>
        </is>
      </c>
      <c r="G1010" t="n">
        <v>22.9</v>
      </c>
      <c r="H1010" t="n">
        <v>0</v>
      </c>
      <c r="I1010" t="n">
        <v>0</v>
      </c>
      <c r="J1010" t="n">
        <v>0</v>
      </c>
      <c r="K1010" t="n">
        <v>0</v>
      </c>
      <c r="L1010" t="n">
        <v>0</v>
      </c>
      <c r="M1010" t="n">
        <v>0</v>
      </c>
      <c r="N1010" t="n">
        <v>0</v>
      </c>
      <c r="O1010" t="n">
        <v>0</v>
      </c>
      <c r="P1010" t="n">
        <v>0</v>
      </c>
      <c r="Q1010" t="n">
        <v>0</v>
      </c>
      <c r="R1010" s="2" t="inlineStr"/>
    </row>
    <row r="1011" ht="15" customHeight="1">
      <c r="A1011" t="inlineStr">
        <is>
          <t>A 22712-2024</t>
        </is>
      </c>
      <c r="B1011" s="1" t="n">
        <v>45448</v>
      </c>
      <c r="C1011" s="1" t="n">
        <v>45852</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22891-2024</t>
        </is>
      </c>
      <c r="B1012" s="1" t="n">
        <v>45448</v>
      </c>
      <c r="C1012" s="1" t="n">
        <v>45852</v>
      </c>
      <c r="D1012" t="inlineStr">
        <is>
          <t>DALARNAS LÄN</t>
        </is>
      </c>
      <c r="E1012" t="inlineStr">
        <is>
          <t>MALUNG-SÄLEN</t>
        </is>
      </c>
      <c r="F1012" t="inlineStr">
        <is>
          <t>Allmännings- och besparingsskogar</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22960-2024</t>
        </is>
      </c>
      <c r="B1013" s="1" t="n">
        <v>45449</v>
      </c>
      <c r="C1013" s="1" t="n">
        <v>45852</v>
      </c>
      <c r="D1013" t="inlineStr">
        <is>
          <t>DALARNAS LÄN</t>
        </is>
      </c>
      <c r="E1013" t="inlineStr">
        <is>
          <t>MALUNG-SÄLEN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22957-2024</t>
        </is>
      </c>
      <c r="B1014" s="1" t="n">
        <v>45449</v>
      </c>
      <c r="C1014" s="1" t="n">
        <v>45852</v>
      </c>
      <c r="D1014" t="inlineStr">
        <is>
          <t>DALARNAS LÄN</t>
        </is>
      </c>
      <c r="E1014" t="inlineStr">
        <is>
          <t>MALUNG-SÄLEN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22961-2024</t>
        </is>
      </c>
      <c r="B1015" s="1" t="n">
        <v>45449</v>
      </c>
      <c r="C1015" s="1" t="n">
        <v>45852</v>
      </c>
      <c r="D1015" t="inlineStr">
        <is>
          <t>DALARNAS LÄN</t>
        </is>
      </c>
      <c r="E1015" t="inlineStr">
        <is>
          <t>MALUNG-SÄLEN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23079-2024</t>
        </is>
      </c>
      <c r="B1016" s="1" t="n">
        <v>45450</v>
      </c>
      <c r="C1016" s="1" t="n">
        <v>45852</v>
      </c>
      <c r="D1016" t="inlineStr">
        <is>
          <t>DALARNAS LÄN</t>
        </is>
      </c>
      <c r="E1016" t="inlineStr">
        <is>
          <t>MALUNG-SÄLEN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23329-2024</t>
        </is>
      </c>
      <c r="B1017" s="1" t="n">
        <v>45453</v>
      </c>
      <c r="C1017" s="1" t="n">
        <v>45852</v>
      </c>
      <c r="D1017" t="inlineStr">
        <is>
          <t>DALARNAS LÄN</t>
        </is>
      </c>
      <c r="E1017" t="inlineStr">
        <is>
          <t>MALUNG-SÄLEN</t>
        </is>
      </c>
      <c r="F1017" t="inlineStr">
        <is>
          <t>Bergvik skog öst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23413-2024</t>
        </is>
      </c>
      <c r="B1018" s="1" t="n">
        <v>45453</v>
      </c>
      <c r="C1018" s="1" t="n">
        <v>45852</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23473-2024</t>
        </is>
      </c>
      <c r="B1019" s="1" t="n">
        <v>45453</v>
      </c>
      <c r="C1019" s="1" t="n">
        <v>45852</v>
      </c>
      <c r="D1019" t="inlineStr">
        <is>
          <t>DALARNAS LÄN</t>
        </is>
      </c>
      <c r="E1019" t="inlineStr">
        <is>
          <t>MALUNG-SÄLEN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23795-2024</t>
        </is>
      </c>
      <c r="B1020" s="1" t="n">
        <v>45455</v>
      </c>
      <c r="C1020" s="1" t="n">
        <v>45852</v>
      </c>
      <c r="D1020" t="inlineStr">
        <is>
          <t>DALARNAS LÄN</t>
        </is>
      </c>
      <c r="E1020" t="inlineStr">
        <is>
          <t>MALUNG-SÄLEN</t>
        </is>
      </c>
      <c r="F1020" t="inlineStr">
        <is>
          <t>Kommuner</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23799-2024</t>
        </is>
      </c>
      <c r="B1021" s="1" t="n">
        <v>45455</v>
      </c>
      <c r="C1021" s="1" t="n">
        <v>45852</v>
      </c>
      <c r="D1021" t="inlineStr">
        <is>
          <t>DALARNAS LÄN</t>
        </is>
      </c>
      <c r="E1021" t="inlineStr">
        <is>
          <t>MALUNG-SÄLEN</t>
        </is>
      </c>
      <c r="F1021" t="inlineStr">
        <is>
          <t>Kommuner</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23803-2024</t>
        </is>
      </c>
      <c r="B1022" s="1" t="n">
        <v>45455</v>
      </c>
      <c r="C1022" s="1" t="n">
        <v>45852</v>
      </c>
      <c r="D1022" t="inlineStr">
        <is>
          <t>DALARNAS LÄN</t>
        </is>
      </c>
      <c r="E1022" t="inlineStr">
        <is>
          <t>MALUNG-SÄLEN</t>
        </is>
      </c>
      <c r="F1022" t="inlineStr">
        <is>
          <t>Kommuner</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23785-2024</t>
        </is>
      </c>
      <c r="B1023" s="1" t="n">
        <v>45455</v>
      </c>
      <c r="C1023" s="1" t="n">
        <v>45852</v>
      </c>
      <c r="D1023" t="inlineStr">
        <is>
          <t>DALARNAS LÄN</t>
        </is>
      </c>
      <c r="E1023" t="inlineStr">
        <is>
          <t>MALUNG-SÄLEN</t>
        </is>
      </c>
      <c r="F1023" t="inlineStr">
        <is>
          <t>Kommuner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23790-2024</t>
        </is>
      </c>
      <c r="B1024" s="1" t="n">
        <v>45455</v>
      </c>
      <c r="C1024" s="1" t="n">
        <v>45852</v>
      </c>
      <c r="D1024" t="inlineStr">
        <is>
          <t>DALARNAS LÄN</t>
        </is>
      </c>
      <c r="E1024" t="inlineStr">
        <is>
          <t>MALUNG-SÄLEN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24065-2024</t>
        </is>
      </c>
      <c r="B1025" s="1" t="n">
        <v>45456</v>
      </c>
      <c r="C1025" s="1" t="n">
        <v>45852</v>
      </c>
      <c r="D1025" t="inlineStr">
        <is>
          <t>DALARNAS LÄN</t>
        </is>
      </c>
      <c r="E1025" t="inlineStr">
        <is>
          <t>MALUNG-SÄLEN</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24066-2024</t>
        </is>
      </c>
      <c r="B1026" s="1" t="n">
        <v>45456</v>
      </c>
      <c r="C1026" s="1" t="n">
        <v>45852</v>
      </c>
      <c r="D1026" t="inlineStr">
        <is>
          <t>DALARNAS LÄN</t>
        </is>
      </c>
      <c r="E1026" t="inlineStr">
        <is>
          <t>MALUNG-SÄLEN</t>
        </is>
      </c>
      <c r="F1026" t="inlineStr">
        <is>
          <t>Bergvik skog väst AB</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24105-2024</t>
        </is>
      </c>
      <c r="B1027" s="1" t="n">
        <v>45456</v>
      </c>
      <c r="C1027" s="1" t="n">
        <v>45852</v>
      </c>
      <c r="D1027" t="inlineStr">
        <is>
          <t>DALARNAS LÄN</t>
        </is>
      </c>
      <c r="E1027" t="inlineStr">
        <is>
          <t>MALUNG-SÄLEN</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24282-2024</t>
        </is>
      </c>
      <c r="B1028" s="1" t="n">
        <v>45457</v>
      </c>
      <c r="C1028" s="1" t="n">
        <v>45852</v>
      </c>
      <c r="D1028" t="inlineStr">
        <is>
          <t>DALARNAS LÄN</t>
        </is>
      </c>
      <c r="E1028" t="inlineStr">
        <is>
          <t>MALUNG-SÄLEN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24353-2024</t>
        </is>
      </c>
      <c r="B1029" s="1" t="n">
        <v>45457</v>
      </c>
      <c r="C1029" s="1" t="n">
        <v>45852</v>
      </c>
      <c r="D1029" t="inlineStr">
        <is>
          <t>DALARNAS LÄN</t>
        </is>
      </c>
      <c r="E1029" t="inlineStr">
        <is>
          <t>MALUNG-SÄLEN</t>
        </is>
      </c>
      <c r="F1029" t="inlineStr">
        <is>
          <t>Bergvik skog öst AB</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24727-2024</t>
        </is>
      </c>
      <c r="B1030" s="1" t="n">
        <v>45460</v>
      </c>
      <c r="C1030" s="1" t="n">
        <v>45852</v>
      </c>
      <c r="D1030" t="inlineStr">
        <is>
          <t>DALARNAS LÄN</t>
        </is>
      </c>
      <c r="E1030" t="inlineStr">
        <is>
          <t>MALUNG-SÄLEN</t>
        </is>
      </c>
      <c r="F1030" t="inlineStr">
        <is>
          <t>Bergvik skog öst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24511-2024</t>
        </is>
      </c>
      <c r="B1031" s="1" t="n">
        <v>45460</v>
      </c>
      <c r="C1031" s="1" t="n">
        <v>45852</v>
      </c>
      <c r="D1031" t="inlineStr">
        <is>
          <t>DALARNAS LÄN</t>
        </is>
      </c>
      <c r="E1031" t="inlineStr">
        <is>
          <t>MALUNG-SÄLEN</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24959-2024</t>
        </is>
      </c>
      <c r="B1032" s="1" t="n">
        <v>45461</v>
      </c>
      <c r="C1032" s="1" t="n">
        <v>45852</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24962-2024</t>
        </is>
      </c>
      <c r="B1033" s="1" t="n">
        <v>45461</v>
      </c>
      <c r="C1033" s="1" t="n">
        <v>45852</v>
      </c>
      <c r="D1033" t="inlineStr">
        <is>
          <t>DALARNAS LÄN</t>
        </is>
      </c>
      <c r="E1033" t="inlineStr">
        <is>
          <t>MALUNG-SÄLEN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24966-2024</t>
        </is>
      </c>
      <c r="B1034" s="1" t="n">
        <v>45461</v>
      </c>
      <c r="C1034" s="1" t="n">
        <v>45852</v>
      </c>
      <c r="D1034" t="inlineStr">
        <is>
          <t>DALARNAS LÄN</t>
        </is>
      </c>
      <c r="E1034" t="inlineStr">
        <is>
          <t>MALUNG-SÄLEN</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24957-2024</t>
        </is>
      </c>
      <c r="B1035" s="1" t="n">
        <v>45461</v>
      </c>
      <c r="C1035" s="1" t="n">
        <v>45852</v>
      </c>
      <c r="D1035" t="inlineStr">
        <is>
          <t>DALARNAS LÄN</t>
        </is>
      </c>
      <c r="E1035" t="inlineStr">
        <is>
          <t>MALUNG-SÄLEN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24952-2024</t>
        </is>
      </c>
      <c r="B1036" s="1" t="n">
        <v>45461</v>
      </c>
      <c r="C1036" s="1" t="n">
        <v>45852</v>
      </c>
      <c r="D1036" t="inlineStr">
        <is>
          <t>DALARNAS LÄN</t>
        </is>
      </c>
      <c r="E1036" t="inlineStr">
        <is>
          <t>MALUNG-SÄLEN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25205-2024</t>
        </is>
      </c>
      <c r="B1037" s="1" t="n">
        <v>45462</v>
      </c>
      <c r="C1037" s="1" t="n">
        <v>45852</v>
      </c>
      <c r="D1037" t="inlineStr">
        <is>
          <t>DALARNAS LÄN</t>
        </is>
      </c>
      <c r="E1037" t="inlineStr">
        <is>
          <t>MALUNG-SÄLEN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25098-2024</t>
        </is>
      </c>
      <c r="B1038" s="1" t="n">
        <v>45462</v>
      </c>
      <c r="C1038" s="1" t="n">
        <v>45852</v>
      </c>
      <c r="D1038" t="inlineStr">
        <is>
          <t>DALARNAS LÄN</t>
        </is>
      </c>
      <c r="E1038" t="inlineStr">
        <is>
          <t>MALUNG-SÄLEN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25168-2024</t>
        </is>
      </c>
      <c r="B1039" s="1" t="n">
        <v>45462</v>
      </c>
      <c r="C1039" s="1" t="n">
        <v>45852</v>
      </c>
      <c r="D1039" t="inlineStr">
        <is>
          <t>DALARNAS LÄN</t>
        </is>
      </c>
      <c r="E1039" t="inlineStr">
        <is>
          <t>MALUNG-SÄLEN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25202-2024</t>
        </is>
      </c>
      <c r="B1040" s="1" t="n">
        <v>45462</v>
      </c>
      <c r="C1040" s="1" t="n">
        <v>45852</v>
      </c>
      <c r="D1040" t="inlineStr">
        <is>
          <t>DALARNAS LÄN</t>
        </is>
      </c>
      <c r="E1040" t="inlineStr">
        <is>
          <t>MALUNG-SÄLEN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25425-2024</t>
        </is>
      </c>
      <c r="B1041" s="1" t="n">
        <v>45463</v>
      </c>
      <c r="C1041" s="1" t="n">
        <v>45852</v>
      </c>
      <c r="D1041" t="inlineStr">
        <is>
          <t>DALARNAS LÄN</t>
        </is>
      </c>
      <c r="E1041" t="inlineStr">
        <is>
          <t>MALUNG-SÄLEN</t>
        </is>
      </c>
      <c r="F1041" t="inlineStr">
        <is>
          <t>Bergvik skog öst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25917-2024</t>
        </is>
      </c>
      <c r="B1042" s="1" t="n">
        <v>45467</v>
      </c>
      <c r="C1042" s="1" t="n">
        <v>45852</v>
      </c>
      <c r="D1042" t="inlineStr">
        <is>
          <t>DALARNAS LÄN</t>
        </is>
      </c>
      <c r="E1042" t="inlineStr">
        <is>
          <t>MALUNG-SÄLEN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26674-2024</t>
        </is>
      </c>
      <c r="B1043" s="1" t="n">
        <v>45469</v>
      </c>
      <c r="C1043" s="1" t="n">
        <v>45852</v>
      </c>
      <c r="D1043" t="inlineStr">
        <is>
          <t>DALARNAS LÄN</t>
        </is>
      </c>
      <c r="E1043" t="inlineStr">
        <is>
          <t>MALUNG-SÄLEN</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26836-2024</t>
        </is>
      </c>
      <c r="B1044" s="1" t="n">
        <v>45470</v>
      </c>
      <c r="C1044" s="1" t="n">
        <v>45852</v>
      </c>
      <c r="D1044" t="inlineStr">
        <is>
          <t>DALARNAS LÄN</t>
        </is>
      </c>
      <c r="E1044" t="inlineStr">
        <is>
          <t>MALUNG-SÄLEN</t>
        </is>
      </c>
      <c r="F1044" t="inlineStr">
        <is>
          <t>Bergvik skog väst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26837-2024</t>
        </is>
      </c>
      <c r="B1045" s="1" t="n">
        <v>45470</v>
      </c>
      <c r="C1045" s="1" t="n">
        <v>45852</v>
      </c>
      <c r="D1045" t="inlineStr">
        <is>
          <t>DALARNAS LÄN</t>
        </is>
      </c>
      <c r="E1045" t="inlineStr">
        <is>
          <t>MALUNG-SÄLEN</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27465-2024</t>
        </is>
      </c>
      <c r="B1046" s="1" t="n">
        <v>45474</v>
      </c>
      <c r="C1046" s="1" t="n">
        <v>45852</v>
      </c>
      <c r="D1046" t="inlineStr">
        <is>
          <t>DALARNAS LÄN</t>
        </is>
      </c>
      <c r="E1046" t="inlineStr">
        <is>
          <t>MALUNG-SÄLEN</t>
        </is>
      </c>
      <c r="F1046" t="inlineStr">
        <is>
          <t>Allmännings- och besparingsskogar</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28020-2024</t>
        </is>
      </c>
      <c r="B1047" s="1" t="n">
        <v>45476</v>
      </c>
      <c r="C1047" s="1" t="n">
        <v>45852</v>
      </c>
      <c r="D1047" t="inlineStr">
        <is>
          <t>DALARNAS LÄN</t>
        </is>
      </c>
      <c r="E1047" t="inlineStr">
        <is>
          <t>MALUNG-SÄLEN</t>
        </is>
      </c>
      <c r="F1047" t="inlineStr">
        <is>
          <t>Bergvik skog öst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28055-2024</t>
        </is>
      </c>
      <c r="B1048" s="1" t="n">
        <v>45476</v>
      </c>
      <c r="C1048" s="1" t="n">
        <v>45852</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27964-2024</t>
        </is>
      </c>
      <c r="B1049" s="1" t="n">
        <v>45476</v>
      </c>
      <c r="C1049" s="1" t="n">
        <v>45852</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28373-2024</t>
        </is>
      </c>
      <c r="B1050" s="1" t="n">
        <v>45477</v>
      </c>
      <c r="C1050" s="1" t="n">
        <v>45852</v>
      </c>
      <c r="D1050" t="inlineStr">
        <is>
          <t>DALARNAS LÄN</t>
        </is>
      </c>
      <c r="E1050" t="inlineStr">
        <is>
          <t>MALUNG-SÄLEN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28282-2024</t>
        </is>
      </c>
      <c r="B1051" s="1" t="n">
        <v>45477</v>
      </c>
      <c r="C1051" s="1" t="n">
        <v>45852</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28800-2024</t>
        </is>
      </c>
      <c r="B1052" s="1" t="n">
        <v>45478</v>
      </c>
      <c r="C1052" s="1" t="n">
        <v>45852</v>
      </c>
      <c r="D1052" t="inlineStr">
        <is>
          <t>DALARNAS LÄN</t>
        </is>
      </c>
      <c r="E1052" t="inlineStr">
        <is>
          <t>MALUNG-SÄLEN</t>
        </is>
      </c>
      <c r="F1052" t="inlineStr">
        <is>
          <t>Kommuner</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28899-2024</t>
        </is>
      </c>
      <c r="B1053" s="1" t="n">
        <v>45480</v>
      </c>
      <c r="C1053" s="1" t="n">
        <v>45852</v>
      </c>
      <c r="D1053" t="inlineStr">
        <is>
          <t>DALARNAS LÄN</t>
        </is>
      </c>
      <c r="E1053" t="inlineStr">
        <is>
          <t>MALUNG-SÄLEN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29057-2024</t>
        </is>
      </c>
      <c r="B1054" s="1" t="n">
        <v>45481</v>
      </c>
      <c r="C1054" s="1" t="n">
        <v>45852</v>
      </c>
      <c r="D1054" t="inlineStr">
        <is>
          <t>DALARNAS LÄN</t>
        </is>
      </c>
      <c r="E1054" t="inlineStr">
        <is>
          <t>MALUNG-SÄLEN</t>
        </is>
      </c>
      <c r="F1054" t="inlineStr">
        <is>
          <t>Bergvik skog öst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29049-2024</t>
        </is>
      </c>
      <c r="B1055" s="1" t="n">
        <v>45481</v>
      </c>
      <c r="C1055" s="1" t="n">
        <v>45852</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29217-2024</t>
        </is>
      </c>
      <c r="B1056" s="1" t="n">
        <v>45482</v>
      </c>
      <c r="C1056" s="1" t="n">
        <v>45852</v>
      </c>
      <c r="D1056" t="inlineStr">
        <is>
          <t>DALARNAS LÄN</t>
        </is>
      </c>
      <c r="E1056" t="inlineStr">
        <is>
          <t>MALUNG-SÄLEN</t>
        </is>
      </c>
      <c r="F1056" t="inlineStr">
        <is>
          <t>Kommuner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29218-2024</t>
        </is>
      </c>
      <c r="B1057" s="1" t="n">
        <v>45482</v>
      </c>
      <c r="C1057" s="1" t="n">
        <v>45852</v>
      </c>
      <c r="D1057" t="inlineStr">
        <is>
          <t>DALARNAS LÄN</t>
        </is>
      </c>
      <c r="E1057" t="inlineStr">
        <is>
          <t>MALUNG-SÄLEN</t>
        </is>
      </c>
      <c r="F1057" t="inlineStr">
        <is>
          <t>Kommuner</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29214-2024</t>
        </is>
      </c>
      <c r="B1058" s="1" t="n">
        <v>45482</v>
      </c>
      <c r="C1058" s="1" t="n">
        <v>45852</v>
      </c>
      <c r="D1058" t="inlineStr">
        <is>
          <t>DALARNAS LÄN</t>
        </is>
      </c>
      <c r="E1058" t="inlineStr">
        <is>
          <t>MALUNG-SÄLEN</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29350-2024</t>
        </is>
      </c>
      <c r="B1059" s="1" t="n">
        <v>45483</v>
      </c>
      <c r="C1059" s="1" t="n">
        <v>45852</v>
      </c>
      <c r="D1059" t="inlineStr">
        <is>
          <t>DALARNAS LÄN</t>
        </is>
      </c>
      <c r="E1059" t="inlineStr">
        <is>
          <t>MALUNG-SÄLEN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29386-2024</t>
        </is>
      </c>
      <c r="B1060" s="1" t="n">
        <v>45483</v>
      </c>
      <c r="C1060" s="1" t="n">
        <v>45852</v>
      </c>
      <c r="D1060" t="inlineStr">
        <is>
          <t>DALARNAS LÄN</t>
        </is>
      </c>
      <c r="E1060" t="inlineStr">
        <is>
          <t>MALUNG-SÄLEN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29344-2024</t>
        </is>
      </c>
      <c r="B1061" s="1" t="n">
        <v>45483</v>
      </c>
      <c r="C1061" s="1" t="n">
        <v>45852</v>
      </c>
      <c r="D1061" t="inlineStr">
        <is>
          <t>DALARNAS LÄN</t>
        </is>
      </c>
      <c r="E1061" t="inlineStr">
        <is>
          <t>MALUNG-SÄLEN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29364-2024</t>
        </is>
      </c>
      <c r="B1062" s="1" t="n">
        <v>45483</v>
      </c>
      <c r="C1062" s="1" t="n">
        <v>45852</v>
      </c>
      <c r="D1062" t="inlineStr">
        <is>
          <t>DALARNAS LÄN</t>
        </is>
      </c>
      <c r="E1062" t="inlineStr">
        <is>
          <t>MALUNG-SÄLEN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29771-2024</t>
        </is>
      </c>
      <c r="B1063" s="1" t="n">
        <v>45485</v>
      </c>
      <c r="C1063" s="1" t="n">
        <v>45852</v>
      </c>
      <c r="D1063" t="inlineStr">
        <is>
          <t>DALARNAS LÄN</t>
        </is>
      </c>
      <c r="E1063" t="inlineStr">
        <is>
          <t>MALUNG-SÄLEN</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30005-2024</t>
        </is>
      </c>
      <c r="B1064" s="1" t="n">
        <v>45488</v>
      </c>
      <c r="C1064" s="1" t="n">
        <v>45852</v>
      </c>
      <c r="D1064" t="inlineStr">
        <is>
          <t>DALARNAS LÄN</t>
        </is>
      </c>
      <c r="E1064" t="inlineStr">
        <is>
          <t>MALUNG-SÄLEN</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29930-2024</t>
        </is>
      </c>
      <c r="B1065" s="1" t="n">
        <v>45488</v>
      </c>
      <c r="C1065" s="1" t="n">
        <v>45852</v>
      </c>
      <c r="D1065" t="inlineStr">
        <is>
          <t>DALARNAS LÄN</t>
        </is>
      </c>
      <c r="E1065" t="inlineStr">
        <is>
          <t>MALUNG-SÄLEN</t>
        </is>
      </c>
      <c r="F1065" t="inlineStr">
        <is>
          <t>Bergvik skog öst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30360-2024</t>
        </is>
      </c>
      <c r="B1066" s="1" t="n">
        <v>45491</v>
      </c>
      <c r="C1066" s="1" t="n">
        <v>45852</v>
      </c>
      <c r="D1066" t="inlineStr">
        <is>
          <t>DALARNAS LÄN</t>
        </is>
      </c>
      <c r="E1066" t="inlineStr">
        <is>
          <t>MALUNG-SÄLEN</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30398-2024</t>
        </is>
      </c>
      <c r="B1067" s="1" t="n">
        <v>45491</v>
      </c>
      <c r="C1067" s="1" t="n">
        <v>45852</v>
      </c>
      <c r="D1067" t="inlineStr">
        <is>
          <t>DALARNAS LÄN</t>
        </is>
      </c>
      <c r="E1067" t="inlineStr">
        <is>
          <t>MALUNG-SÄLEN</t>
        </is>
      </c>
      <c r="F1067" t="inlineStr">
        <is>
          <t>Bergvik skog öst AB</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30372-2024</t>
        </is>
      </c>
      <c r="B1068" s="1" t="n">
        <v>45491</v>
      </c>
      <c r="C1068" s="1" t="n">
        <v>45852</v>
      </c>
      <c r="D1068" t="inlineStr">
        <is>
          <t>DALARNAS LÄN</t>
        </is>
      </c>
      <c r="E1068" t="inlineStr">
        <is>
          <t>MALUNG-SÄLEN</t>
        </is>
      </c>
      <c r="F1068" t="inlineStr">
        <is>
          <t>Bergvik skog öst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30400-2024</t>
        </is>
      </c>
      <c r="B1069" s="1" t="n">
        <v>45491</v>
      </c>
      <c r="C1069" s="1" t="n">
        <v>45852</v>
      </c>
      <c r="D1069" t="inlineStr">
        <is>
          <t>DALARNAS LÄN</t>
        </is>
      </c>
      <c r="E1069" t="inlineStr">
        <is>
          <t>MALUNG-SÄLEN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30366-2024</t>
        </is>
      </c>
      <c r="B1070" s="1" t="n">
        <v>45491</v>
      </c>
      <c r="C1070" s="1" t="n">
        <v>45852</v>
      </c>
      <c r="D1070" t="inlineStr">
        <is>
          <t>DALARNAS LÄN</t>
        </is>
      </c>
      <c r="E1070" t="inlineStr">
        <is>
          <t>MALUNG-SÄLEN</t>
        </is>
      </c>
      <c r="F1070" t="inlineStr">
        <is>
          <t>Bergvik skog öst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30716-2024</t>
        </is>
      </c>
      <c r="B1071" s="1" t="n">
        <v>45496</v>
      </c>
      <c r="C1071" s="1" t="n">
        <v>45852</v>
      </c>
      <c r="D1071" t="inlineStr">
        <is>
          <t>DALARNAS LÄN</t>
        </is>
      </c>
      <c r="E1071" t="inlineStr">
        <is>
          <t>MALUNG-SÄLEN</t>
        </is>
      </c>
      <c r="F1071" t="inlineStr">
        <is>
          <t>Bergvik skog öst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30719-2024</t>
        </is>
      </c>
      <c r="B1072" s="1" t="n">
        <v>45496</v>
      </c>
      <c r="C1072" s="1" t="n">
        <v>45852</v>
      </c>
      <c r="D1072" t="inlineStr">
        <is>
          <t>DALARNAS LÄN</t>
        </is>
      </c>
      <c r="E1072" t="inlineStr">
        <is>
          <t>MALUNG-SÄLEN</t>
        </is>
      </c>
      <c r="F1072" t="inlineStr">
        <is>
          <t>Bergvik skog öst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31211-2024</t>
        </is>
      </c>
      <c r="B1073" s="1" t="n">
        <v>45503</v>
      </c>
      <c r="C1073" s="1" t="n">
        <v>45852</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31223-2024</t>
        </is>
      </c>
      <c r="B1074" s="1" t="n">
        <v>45503</v>
      </c>
      <c r="C1074" s="1" t="n">
        <v>45852</v>
      </c>
      <c r="D1074" t="inlineStr">
        <is>
          <t>DALARNAS LÄN</t>
        </is>
      </c>
      <c r="E1074" t="inlineStr">
        <is>
          <t>MALUNG-SÄLEN</t>
        </is>
      </c>
      <c r="F1074" t="inlineStr">
        <is>
          <t>Övriga statliga verk och myndigheter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31823-2024</t>
        </is>
      </c>
      <c r="B1075" s="1" t="n">
        <v>45509</v>
      </c>
      <c r="C1075" s="1" t="n">
        <v>45852</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31996-2024</t>
        </is>
      </c>
      <c r="B1076" s="1" t="n">
        <v>45510</v>
      </c>
      <c r="C1076" s="1" t="n">
        <v>45852</v>
      </c>
      <c r="D1076" t="inlineStr">
        <is>
          <t>DALARNAS LÄN</t>
        </is>
      </c>
      <c r="E1076" t="inlineStr">
        <is>
          <t>MALUNG-SÄLEN</t>
        </is>
      </c>
      <c r="F1076" t="inlineStr">
        <is>
          <t>Bergvik skog väst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32004-2024</t>
        </is>
      </c>
      <c r="B1077" s="1" t="n">
        <v>45510</v>
      </c>
      <c r="C1077" s="1" t="n">
        <v>45852</v>
      </c>
      <c r="D1077" t="inlineStr">
        <is>
          <t>DALARNAS LÄN</t>
        </is>
      </c>
      <c r="E1077" t="inlineStr">
        <is>
          <t>MALUNG-SÄLEN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32012-2024</t>
        </is>
      </c>
      <c r="B1078" s="1" t="n">
        <v>45510</v>
      </c>
      <c r="C1078" s="1" t="n">
        <v>45852</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32015-2024</t>
        </is>
      </c>
      <c r="B1079" s="1" t="n">
        <v>45510</v>
      </c>
      <c r="C1079" s="1" t="n">
        <v>45852</v>
      </c>
      <c r="D1079" t="inlineStr">
        <is>
          <t>DALARNAS LÄN</t>
        </is>
      </c>
      <c r="E1079" t="inlineStr">
        <is>
          <t>MALUNG-SÄLEN</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31954-2024</t>
        </is>
      </c>
      <c r="B1080" s="1" t="n">
        <v>45510</v>
      </c>
      <c r="C1080" s="1" t="n">
        <v>45852</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32014-2024</t>
        </is>
      </c>
      <c r="B1081" s="1" t="n">
        <v>45510</v>
      </c>
      <c r="C1081" s="1" t="n">
        <v>45852</v>
      </c>
      <c r="D1081" t="inlineStr">
        <is>
          <t>DALARNAS LÄN</t>
        </is>
      </c>
      <c r="E1081" t="inlineStr">
        <is>
          <t>MALUNG-SÄLEN</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31953-2024</t>
        </is>
      </c>
      <c r="B1082" s="1" t="n">
        <v>45510</v>
      </c>
      <c r="C1082" s="1" t="n">
        <v>45852</v>
      </c>
      <c r="D1082" t="inlineStr">
        <is>
          <t>DALARNAS LÄN</t>
        </is>
      </c>
      <c r="E1082" t="inlineStr">
        <is>
          <t>MALUNG-SÄLEN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32167-2024</t>
        </is>
      </c>
      <c r="B1083" s="1" t="n">
        <v>45511</v>
      </c>
      <c r="C1083" s="1" t="n">
        <v>45852</v>
      </c>
      <c r="D1083" t="inlineStr">
        <is>
          <t>DALARNAS LÄN</t>
        </is>
      </c>
      <c r="E1083" t="inlineStr">
        <is>
          <t>MALUNG-SÄLEN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32750-2024</t>
        </is>
      </c>
      <c r="B1084" s="1" t="n">
        <v>45516</v>
      </c>
      <c r="C1084" s="1" t="n">
        <v>45852</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32930-2024</t>
        </is>
      </c>
      <c r="B1085" s="1" t="n">
        <v>45517</v>
      </c>
      <c r="C1085" s="1" t="n">
        <v>45852</v>
      </c>
      <c r="D1085" t="inlineStr">
        <is>
          <t>DALARNAS LÄN</t>
        </is>
      </c>
      <c r="E1085" t="inlineStr">
        <is>
          <t>MALUNG-SÄLEN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33177-2024</t>
        </is>
      </c>
      <c r="B1086" s="1" t="n">
        <v>45518</v>
      </c>
      <c r="C1086" s="1" t="n">
        <v>45852</v>
      </c>
      <c r="D1086" t="inlineStr">
        <is>
          <t>DALARNAS LÄN</t>
        </is>
      </c>
      <c r="E1086" t="inlineStr">
        <is>
          <t>MALUNG-SÄLEN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33426-2024</t>
        </is>
      </c>
      <c r="B1087" s="1" t="n">
        <v>45519</v>
      </c>
      <c r="C1087" s="1" t="n">
        <v>45852</v>
      </c>
      <c r="D1087" t="inlineStr">
        <is>
          <t>DALARNAS LÄN</t>
        </is>
      </c>
      <c r="E1087" t="inlineStr">
        <is>
          <t>MALUNG-SÄLEN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33651-2024</t>
        </is>
      </c>
      <c r="B1088" s="1" t="n">
        <v>45520</v>
      </c>
      <c r="C1088" s="1" t="n">
        <v>45852</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33642-2024</t>
        </is>
      </c>
      <c r="B1089" s="1" t="n">
        <v>45520</v>
      </c>
      <c r="C1089" s="1" t="n">
        <v>45852</v>
      </c>
      <c r="D1089" t="inlineStr">
        <is>
          <t>DALARNAS LÄN</t>
        </is>
      </c>
      <c r="E1089" t="inlineStr">
        <is>
          <t>MALUNG-SÄLEN</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34446-2024</t>
        </is>
      </c>
      <c r="B1090" s="1" t="n">
        <v>45525</v>
      </c>
      <c r="C1090" s="1" t="n">
        <v>45852</v>
      </c>
      <c r="D1090" t="inlineStr">
        <is>
          <t>DALARNAS LÄN</t>
        </is>
      </c>
      <c r="E1090" t="inlineStr">
        <is>
          <t>MALUNG-SÄLEN</t>
        </is>
      </c>
      <c r="F1090" t="inlineStr">
        <is>
          <t>Bergvik skog öst AB</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34395-2024</t>
        </is>
      </c>
      <c r="B1091" s="1" t="n">
        <v>45525</v>
      </c>
      <c r="C1091" s="1" t="n">
        <v>45852</v>
      </c>
      <c r="D1091" t="inlineStr">
        <is>
          <t>DALARNAS LÄN</t>
        </is>
      </c>
      <c r="E1091" t="inlineStr">
        <is>
          <t>MALUNG-SÄLEN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34519-2024</t>
        </is>
      </c>
      <c r="B1092" s="1" t="n">
        <v>45525</v>
      </c>
      <c r="C1092" s="1" t="n">
        <v>45852</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34397-2024</t>
        </is>
      </c>
      <c r="B1093" s="1" t="n">
        <v>45525</v>
      </c>
      <c r="C1093" s="1" t="n">
        <v>45852</v>
      </c>
      <c r="D1093" t="inlineStr">
        <is>
          <t>DALARNAS LÄN</t>
        </is>
      </c>
      <c r="E1093" t="inlineStr">
        <is>
          <t>MALUNG-SÄLEN</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34957-2024</t>
        </is>
      </c>
      <c r="B1094" s="1" t="n">
        <v>45527</v>
      </c>
      <c r="C1094" s="1" t="n">
        <v>45852</v>
      </c>
      <c r="D1094" t="inlineStr">
        <is>
          <t>DALARNAS LÄN</t>
        </is>
      </c>
      <c r="E1094" t="inlineStr">
        <is>
          <t>MALUNG-SÄLEN</t>
        </is>
      </c>
      <c r="F1094" t="inlineStr">
        <is>
          <t>Allmännings- och besparingsskogar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35261-2024</t>
        </is>
      </c>
      <c r="B1095" s="1" t="n">
        <v>45530</v>
      </c>
      <c r="C1095" s="1" t="n">
        <v>45852</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35439-2024</t>
        </is>
      </c>
      <c r="B1096" s="1" t="n">
        <v>45531</v>
      </c>
      <c r="C1096" s="1" t="n">
        <v>45852</v>
      </c>
      <c r="D1096" t="inlineStr">
        <is>
          <t>DALARNAS LÄN</t>
        </is>
      </c>
      <c r="E1096" t="inlineStr">
        <is>
          <t>MALUNG-SÄLEN</t>
        </is>
      </c>
      <c r="F1096" t="inlineStr">
        <is>
          <t>Bergvik skog väst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35923-2024</t>
        </is>
      </c>
      <c r="B1097" s="1" t="n">
        <v>45533</v>
      </c>
      <c r="C1097" s="1" t="n">
        <v>45852</v>
      </c>
      <c r="D1097" t="inlineStr">
        <is>
          <t>DALARNAS LÄN</t>
        </is>
      </c>
      <c r="E1097" t="inlineStr">
        <is>
          <t>MALUNG-SÄLEN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36052-2024</t>
        </is>
      </c>
      <c r="B1098" s="1" t="n">
        <v>45533</v>
      </c>
      <c r="C1098" s="1" t="n">
        <v>45852</v>
      </c>
      <c r="D1098" t="inlineStr">
        <is>
          <t>DALARNAS LÄN</t>
        </is>
      </c>
      <c r="E1098" t="inlineStr">
        <is>
          <t>MALUNG-SÄLEN</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36181-2024</t>
        </is>
      </c>
      <c r="B1099" s="1" t="n">
        <v>45534</v>
      </c>
      <c r="C1099" s="1" t="n">
        <v>45852</v>
      </c>
      <c r="D1099" t="inlineStr">
        <is>
          <t>DALARNAS LÄN</t>
        </is>
      </c>
      <c r="E1099" t="inlineStr">
        <is>
          <t>MALUNG-SÄLEN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36870-2024</t>
        </is>
      </c>
      <c r="B1100" s="1" t="n">
        <v>45538</v>
      </c>
      <c r="C1100" s="1" t="n">
        <v>45852</v>
      </c>
      <c r="D1100" t="inlineStr">
        <is>
          <t>DALARNAS LÄN</t>
        </is>
      </c>
      <c r="E1100" t="inlineStr">
        <is>
          <t>MALUNG-SÄLEN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36865-2024</t>
        </is>
      </c>
      <c r="B1101" s="1" t="n">
        <v>45538</v>
      </c>
      <c r="C1101" s="1" t="n">
        <v>45852</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36841-2024</t>
        </is>
      </c>
      <c r="B1102" s="1" t="n">
        <v>45538</v>
      </c>
      <c r="C1102" s="1" t="n">
        <v>45852</v>
      </c>
      <c r="D1102" t="inlineStr">
        <is>
          <t>DALARNAS LÄN</t>
        </is>
      </c>
      <c r="E1102" t="inlineStr">
        <is>
          <t>MALUNG-SÄLEN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36884-2024</t>
        </is>
      </c>
      <c r="B1103" s="1" t="n">
        <v>45538</v>
      </c>
      <c r="C1103" s="1" t="n">
        <v>45852</v>
      </c>
      <c r="D1103" t="inlineStr">
        <is>
          <t>DALARNAS LÄN</t>
        </is>
      </c>
      <c r="E1103" t="inlineStr">
        <is>
          <t>MALUNG-SÄLEN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36928-2024</t>
        </is>
      </c>
      <c r="B1104" s="1" t="n">
        <v>45538</v>
      </c>
      <c r="C1104" s="1" t="n">
        <v>45852</v>
      </c>
      <c r="D1104" t="inlineStr">
        <is>
          <t>DALARNAS LÄN</t>
        </is>
      </c>
      <c r="E1104" t="inlineStr">
        <is>
          <t>MALUNG-SÄLEN</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37193-2024</t>
        </is>
      </c>
      <c r="B1105" s="1" t="n">
        <v>45539</v>
      </c>
      <c r="C1105" s="1" t="n">
        <v>45852</v>
      </c>
      <c r="D1105" t="inlineStr">
        <is>
          <t>DALARNAS LÄN</t>
        </is>
      </c>
      <c r="E1105" t="inlineStr">
        <is>
          <t>MALUNG-SÄLEN</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37200-2024</t>
        </is>
      </c>
      <c r="B1106" s="1" t="n">
        <v>45539</v>
      </c>
      <c r="C1106" s="1" t="n">
        <v>45852</v>
      </c>
      <c r="D1106" t="inlineStr">
        <is>
          <t>DALARNAS LÄN</t>
        </is>
      </c>
      <c r="E1106" t="inlineStr">
        <is>
          <t>MALUNG-SÄLEN</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37186-2024</t>
        </is>
      </c>
      <c r="B1107" s="1" t="n">
        <v>45539</v>
      </c>
      <c r="C1107" s="1" t="n">
        <v>45852</v>
      </c>
      <c r="D1107" t="inlineStr">
        <is>
          <t>DALARNAS LÄN</t>
        </is>
      </c>
      <c r="E1107" t="inlineStr">
        <is>
          <t>MALUNG-SÄLEN</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37280-2024</t>
        </is>
      </c>
      <c r="B1108" s="1" t="n">
        <v>45540</v>
      </c>
      <c r="C1108" s="1" t="n">
        <v>45852</v>
      </c>
      <c r="D1108" t="inlineStr">
        <is>
          <t>DALARNAS LÄN</t>
        </is>
      </c>
      <c r="E1108" t="inlineStr">
        <is>
          <t>MALUNG-SÄLEN</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37301-2024</t>
        </is>
      </c>
      <c r="B1109" s="1" t="n">
        <v>45540</v>
      </c>
      <c r="C1109" s="1" t="n">
        <v>45852</v>
      </c>
      <c r="D1109" t="inlineStr">
        <is>
          <t>DALARNAS LÄN</t>
        </is>
      </c>
      <c r="E1109" t="inlineStr">
        <is>
          <t>MALUNG-SÄLEN</t>
        </is>
      </c>
      <c r="F1109" t="inlineStr">
        <is>
          <t>Bergvik skog öst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37386-2024</t>
        </is>
      </c>
      <c r="B1110" s="1" t="n">
        <v>45540</v>
      </c>
      <c r="C1110" s="1" t="n">
        <v>45852</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37678-2024</t>
        </is>
      </c>
      <c r="B1111" s="1" t="n">
        <v>45541</v>
      </c>
      <c r="C1111" s="1" t="n">
        <v>45852</v>
      </c>
      <c r="D1111" t="inlineStr">
        <is>
          <t>DALARNAS LÄN</t>
        </is>
      </c>
      <c r="E1111" t="inlineStr">
        <is>
          <t>MALUNG-SÄLEN</t>
        </is>
      </c>
      <c r="F1111" t="inlineStr">
        <is>
          <t>Bergvik skog öst AB</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37675-2024</t>
        </is>
      </c>
      <c r="B1112" s="1" t="n">
        <v>45541</v>
      </c>
      <c r="C1112" s="1" t="n">
        <v>45852</v>
      </c>
      <c r="D1112" t="inlineStr">
        <is>
          <t>DALARNAS LÄN</t>
        </is>
      </c>
      <c r="E1112" t="inlineStr">
        <is>
          <t>MALUNG-SÄLEN</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37677-2024</t>
        </is>
      </c>
      <c r="B1113" s="1" t="n">
        <v>45541</v>
      </c>
      <c r="C1113" s="1" t="n">
        <v>45852</v>
      </c>
      <c r="D1113" t="inlineStr">
        <is>
          <t>DALARNAS LÄN</t>
        </is>
      </c>
      <c r="E1113" t="inlineStr">
        <is>
          <t>MALUNG-SÄLEN</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37681-2024</t>
        </is>
      </c>
      <c r="B1114" s="1" t="n">
        <v>45541</v>
      </c>
      <c r="C1114" s="1" t="n">
        <v>45852</v>
      </c>
      <c r="D1114" t="inlineStr">
        <is>
          <t>DALARNAS LÄN</t>
        </is>
      </c>
      <c r="E1114" t="inlineStr">
        <is>
          <t>MALUNG-SÄLEN</t>
        </is>
      </c>
      <c r="F1114" t="inlineStr">
        <is>
          <t>Bergvik skog öst AB</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37920-2024</t>
        </is>
      </c>
      <c r="B1115" s="1" t="n">
        <v>45544</v>
      </c>
      <c r="C1115" s="1" t="n">
        <v>45852</v>
      </c>
      <c r="D1115" t="inlineStr">
        <is>
          <t>DALARNAS LÄN</t>
        </is>
      </c>
      <c r="E1115" t="inlineStr">
        <is>
          <t>MALUNG-SÄLEN</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38018-2024</t>
        </is>
      </c>
      <c r="B1116" s="1" t="n">
        <v>45544</v>
      </c>
      <c r="C1116" s="1" t="n">
        <v>45852</v>
      </c>
      <c r="D1116" t="inlineStr">
        <is>
          <t>DALARNAS LÄN</t>
        </is>
      </c>
      <c r="E1116" t="inlineStr">
        <is>
          <t>MALUNG-SÄLEN</t>
        </is>
      </c>
      <c r="F1116" t="inlineStr">
        <is>
          <t>Bergvik skog väst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38349-2024</t>
        </is>
      </c>
      <c r="B1117" s="1" t="n">
        <v>45545</v>
      </c>
      <c r="C1117" s="1" t="n">
        <v>45852</v>
      </c>
      <c r="D1117" t="inlineStr">
        <is>
          <t>DALARNAS LÄN</t>
        </is>
      </c>
      <c r="E1117" t="inlineStr">
        <is>
          <t>MALUNG-SÄLEN</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38352-2024</t>
        </is>
      </c>
      <c r="B1118" s="1" t="n">
        <v>45545</v>
      </c>
      <c r="C1118" s="1" t="n">
        <v>45852</v>
      </c>
      <c r="D1118" t="inlineStr">
        <is>
          <t>DALARNAS LÄN</t>
        </is>
      </c>
      <c r="E1118" t="inlineStr">
        <is>
          <t>MALUNG-SÄLEN</t>
        </is>
      </c>
      <c r="F1118" t="inlineStr">
        <is>
          <t>Bergvik skog väst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38795-2024</t>
        </is>
      </c>
      <c r="B1119" s="1" t="n">
        <v>45547</v>
      </c>
      <c r="C1119" s="1" t="n">
        <v>45852</v>
      </c>
      <c r="D1119" t="inlineStr">
        <is>
          <t>DALARNAS LÄN</t>
        </is>
      </c>
      <c r="E1119" t="inlineStr">
        <is>
          <t>MALUNG-SÄLEN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38900-2024</t>
        </is>
      </c>
      <c r="B1120" s="1" t="n">
        <v>45547</v>
      </c>
      <c r="C1120" s="1" t="n">
        <v>45852</v>
      </c>
      <c r="D1120" t="inlineStr">
        <is>
          <t>DALARNAS LÄN</t>
        </is>
      </c>
      <c r="E1120" t="inlineStr">
        <is>
          <t>MALUNG-SÄLEN</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38954-2024</t>
        </is>
      </c>
      <c r="B1121" s="1" t="n">
        <v>45548</v>
      </c>
      <c r="C1121" s="1" t="n">
        <v>45852</v>
      </c>
      <c r="D1121" t="inlineStr">
        <is>
          <t>DALARNAS LÄN</t>
        </is>
      </c>
      <c r="E1121" t="inlineStr">
        <is>
          <t>MALUNG-SÄLEN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38932-2024</t>
        </is>
      </c>
      <c r="B1122" s="1" t="n">
        <v>45548</v>
      </c>
      <c r="C1122" s="1" t="n">
        <v>45852</v>
      </c>
      <c r="D1122" t="inlineStr">
        <is>
          <t>DALARNAS LÄN</t>
        </is>
      </c>
      <c r="E1122" t="inlineStr">
        <is>
          <t>MALUNG-SÄLEN</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38978-2024</t>
        </is>
      </c>
      <c r="B1123" s="1" t="n">
        <v>45548</v>
      </c>
      <c r="C1123" s="1" t="n">
        <v>45852</v>
      </c>
      <c r="D1123" t="inlineStr">
        <is>
          <t>DALARNAS LÄN</t>
        </is>
      </c>
      <c r="E1123" t="inlineStr">
        <is>
          <t>MALUNG-SÄLEN</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38977-2024</t>
        </is>
      </c>
      <c r="B1124" s="1" t="n">
        <v>45548</v>
      </c>
      <c r="C1124" s="1" t="n">
        <v>45852</v>
      </c>
      <c r="D1124" t="inlineStr">
        <is>
          <t>DALARNAS LÄN</t>
        </is>
      </c>
      <c r="E1124" t="inlineStr">
        <is>
          <t>MALUNG-SÄLEN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39204-2024</t>
        </is>
      </c>
      <c r="B1125" s="1" t="n">
        <v>45548</v>
      </c>
      <c r="C1125" s="1" t="n">
        <v>45852</v>
      </c>
      <c r="D1125" t="inlineStr">
        <is>
          <t>DALARNAS LÄN</t>
        </is>
      </c>
      <c r="E1125" t="inlineStr">
        <is>
          <t>MALUNG-SÄLEN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39435-2024</t>
        </is>
      </c>
      <c r="B1126" s="1" t="n">
        <v>45551</v>
      </c>
      <c r="C1126" s="1" t="n">
        <v>45852</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39551-2024</t>
        </is>
      </c>
      <c r="B1127" s="1" t="n">
        <v>45552</v>
      </c>
      <c r="C1127" s="1" t="n">
        <v>45852</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39562-2024</t>
        </is>
      </c>
      <c r="B1128" s="1" t="n">
        <v>45552</v>
      </c>
      <c r="C1128" s="1" t="n">
        <v>45852</v>
      </c>
      <c r="D1128" t="inlineStr">
        <is>
          <t>DALARNAS LÄN</t>
        </is>
      </c>
      <c r="E1128" t="inlineStr">
        <is>
          <t>MALUNG-SÄLEN</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39560-2024</t>
        </is>
      </c>
      <c r="B1129" s="1" t="n">
        <v>45552</v>
      </c>
      <c r="C1129" s="1" t="n">
        <v>45852</v>
      </c>
      <c r="D1129" t="inlineStr">
        <is>
          <t>DALARNAS LÄN</t>
        </is>
      </c>
      <c r="E1129" t="inlineStr">
        <is>
          <t>MALUNG-SÄLEN</t>
        </is>
      </c>
      <c r="F1129" t="inlineStr">
        <is>
          <t>Bergvik skog öst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39574-2024</t>
        </is>
      </c>
      <c r="B1130" s="1" t="n">
        <v>45552</v>
      </c>
      <c r="C1130" s="1" t="n">
        <v>45852</v>
      </c>
      <c r="D1130" t="inlineStr">
        <is>
          <t>DALARNAS LÄN</t>
        </is>
      </c>
      <c r="E1130" t="inlineStr">
        <is>
          <t>MALUNG-SÄLEN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39544-2024</t>
        </is>
      </c>
      <c r="B1131" s="1" t="n">
        <v>45552</v>
      </c>
      <c r="C1131" s="1" t="n">
        <v>45852</v>
      </c>
      <c r="D1131" t="inlineStr">
        <is>
          <t>DALARNAS LÄN</t>
        </is>
      </c>
      <c r="E1131" t="inlineStr">
        <is>
          <t>MALUNG-SÄLEN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39974-2024</t>
        </is>
      </c>
      <c r="B1132" s="1" t="n">
        <v>45553</v>
      </c>
      <c r="C1132" s="1" t="n">
        <v>45852</v>
      </c>
      <c r="D1132" t="inlineStr">
        <is>
          <t>DALARNAS LÄN</t>
        </is>
      </c>
      <c r="E1132" t="inlineStr">
        <is>
          <t>MALUNG-SÄLEN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39971-2024</t>
        </is>
      </c>
      <c r="B1133" s="1" t="n">
        <v>45553</v>
      </c>
      <c r="C1133" s="1" t="n">
        <v>45852</v>
      </c>
      <c r="D1133" t="inlineStr">
        <is>
          <t>DALARNAS LÄN</t>
        </is>
      </c>
      <c r="E1133" t="inlineStr">
        <is>
          <t>MALUNG-SÄLEN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39788-2024</t>
        </is>
      </c>
      <c r="B1134" s="1" t="n">
        <v>45553</v>
      </c>
      <c r="C1134" s="1" t="n">
        <v>45852</v>
      </c>
      <c r="D1134" t="inlineStr">
        <is>
          <t>DALARNAS LÄN</t>
        </is>
      </c>
      <c r="E1134" t="inlineStr">
        <is>
          <t>MALUNG-SÄLEN</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39940-2024</t>
        </is>
      </c>
      <c r="B1135" s="1" t="n">
        <v>45553</v>
      </c>
      <c r="C1135" s="1" t="n">
        <v>45852</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39972-2024</t>
        </is>
      </c>
      <c r="B1136" s="1" t="n">
        <v>45553</v>
      </c>
      <c r="C1136" s="1" t="n">
        <v>45852</v>
      </c>
      <c r="D1136" t="inlineStr">
        <is>
          <t>DALARNAS LÄN</t>
        </is>
      </c>
      <c r="E1136" t="inlineStr">
        <is>
          <t>MALUNG-SÄLEN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40128-2024</t>
        </is>
      </c>
      <c r="B1137" s="1" t="n">
        <v>45554</v>
      </c>
      <c r="C1137" s="1" t="n">
        <v>45852</v>
      </c>
      <c r="D1137" t="inlineStr">
        <is>
          <t>DALARNAS LÄN</t>
        </is>
      </c>
      <c r="E1137" t="inlineStr">
        <is>
          <t>MALUNG-SÄLEN</t>
        </is>
      </c>
      <c r="F1137" t="inlineStr">
        <is>
          <t>Allmännings- och besparingsskogar</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40225-2024</t>
        </is>
      </c>
      <c r="B1138" s="1" t="n">
        <v>45554</v>
      </c>
      <c r="C1138" s="1" t="n">
        <v>45852</v>
      </c>
      <c r="D1138" t="inlineStr">
        <is>
          <t>DALARNAS LÄN</t>
        </is>
      </c>
      <c r="E1138" t="inlineStr">
        <is>
          <t>MALUNG-SÄLEN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40150-2024</t>
        </is>
      </c>
      <c r="B1139" s="1" t="n">
        <v>45554</v>
      </c>
      <c r="C1139" s="1" t="n">
        <v>45852</v>
      </c>
      <c r="D1139" t="inlineStr">
        <is>
          <t>DALARNAS LÄN</t>
        </is>
      </c>
      <c r="E1139" t="inlineStr">
        <is>
          <t>MALUNG-SÄLEN</t>
        </is>
      </c>
      <c r="F1139" t="inlineStr">
        <is>
          <t>Bergvik skog väst AB</t>
        </is>
      </c>
      <c r="G1139" t="n">
        <v>20.9</v>
      </c>
      <c r="H1139" t="n">
        <v>0</v>
      </c>
      <c r="I1139" t="n">
        <v>0</v>
      </c>
      <c r="J1139" t="n">
        <v>0</v>
      </c>
      <c r="K1139" t="n">
        <v>0</v>
      </c>
      <c r="L1139" t="n">
        <v>0</v>
      </c>
      <c r="M1139" t="n">
        <v>0</v>
      </c>
      <c r="N1139" t="n">
        <v>0</v>
      </c>
      <c r="O1139" t="n">
        <v>0</v>
      </c>
      <c r="P1139" t="n">
        <v>0</v>
      </c>
      <c r="Q1139" t="n">
        <v>0</v>
      </c>
      <c r="R1139" s="2" t="inlineStr"/>
    </row>
    <row r="1140" ht="15" customHeight="1">
      <c r="A1140" t="inlineStr">
        <is>
          <t>A 40117-2024</t>
        </is>
      </c>
      <c r="B1140" s="1" t="n">
        <v>45554</v>
      </c>
      <c r="C1140" s="1" t="n">
        <v>45852</v>
      </c>
      <c r="D1140" t="inlineStr">
        <is>
          <t>DALARNAS LÄN</t>
        </is>
      </c>
      <c r="E1140" t="inlineStr">
        <is>
          <t>MALUNG-SÄLEN</t>
        </is>
      </c>
      <c r="F1140" t="inlineStr">
        <is>
          <t>Allmännings- och besparingsskogar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40267-2024</t>
        </is>
      </c>
      <c r="B1141" s="1" t="n">
        <v>45554</v>
      </c>
      <c r="C1141" s="1" t="n">
        <v>45852</v>
      </c>
      <c r="D1141" t="inlineStr">
        <is>
          <t>DALARNAS LÄN</t>
        </is>
      </c>
      <c r="E1141" t="inlineStr">
        <is>
          <t>MALUNG-SÄLEN</t>
        </is>
      </c>
      <c r="F1141" t="inlineStr">
        <is>
          <t>Bergvik skog väst AB</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40461-2024</t>
        </is>
      </c>
      <c r="B1142" s="1" t="n">
        <v>45555</v>
      </c>
      <c r="C1142" s="1" t="n">
        <v>45852</v>
      </c>
      <c r="D1142" t="inlineStr">
        <is>
          <t>DALARNAS LÄN</t>
        </is>
      </c>
      <c r="E1142" t="inlineStr">
        <is>
          <t>MALUNG-SÄLEN</t>
        </is>
      </c>
      <c r="F1142" t="inlineStr">
        <is>
          <t>Bergvik skog väst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40470-2024</t>
        </is>
      </c>
      <c r="B1143" s="1" t="n">
        <v>45555</v>
      </c>
      <c r="C1143" s="1" t="n">
        <v>45852</v>
      </c>
      <c r="D1143" t="inlineStr">
        <is>
          <t>DALARNAS LÄN</t>
        </is>
      </c>
      <c r="E1143" t="inlineStr">
        <is>
          <t>MALUNG-SÄLEN</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41324-2024</t>
        </is>
      </c>
      <c r="B1144" s="1" t="n">
        <v>45559</v>
      </c>
      <c r="C1144" s="1" t="n">
        <v>45852</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41433-2024</t>
        </is>
      </c>
      <c r="B1145" s="1" t="n">
        <v>45560</v>
      </c>
      <c r="C1145" s="1" t="n">
        <v>45852</v>
      </c>
      <c r="D1145" t="inlineStr">
        <is>
          <t>DALARNAS LÄN</t>
        </is>
      </c>
      <c r="E1145" t="inlineStr">
        <is>
          <t>MALUNG-SÄLEN</t>
        </is>
      </c>
      <c r="F1145" t="inlineStr">
        <is>
          <t>Bergvik skog öst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41574-2024</t>
        </is>
      </c>
      <c r="B1146" s="1" t="n">
        <v>45560</v>
      </c>
      <c r="C1146" s="1" t="n">
        <v>45852</v>
      </c>
      <c r="D1146" t="inlineStr">
        <is>
          <t>DALARNAS LÄN</t>
        </is>
      </c>
      <c r="E1146" t="inlineStr">
        <is>
          <t>MALUNG-SÄLEN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41409-2024</t>
        </is>
      </c>
      <c r="B1147" s="1" t="n">
        <v>45560</v>
      </c>
      <c r="C1147" s="1" t="n">
        <v>45852</v>
      </c>
      <c r="D1147" t="inlineStr">
        <is>
          <t>DALARNAS LÄN</t>
        </is>
      </c>
      <c r="E1147" t="inlineStr">
        <is>
          <t>MALUNG-SÄLEN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41880-2024</t>
        </is>
      </c>
      <c r="B1148" s="1" t="n">
        <v>45561</v>
      </c>
      <c r="C1148" s="1" t="n">
        <v>45852</v>
      </c>
      <c r="D1148" t="inlineStr">
        <is>
          <t>DALARNAS LÄN</t>
        </is>
      </c>
      <c r="E1148" t="inlineStr">
        <is>
          <t>MALUNG-SÄLEN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41775-2024</t>
        </is>
      </c>
      <c r="B1149" s="1" t="n">
        <v>45561</v>
      </c>
      <c r="C1149" s="1" t="n">
        <v>45852</v>
      </c>
      <c r="D1149" t="inlineStr">
        <is>
          <t>DALARNAS LÄN</t>
        </is>
      </c>
      <c r="E1149" t="inlineStr">
        <is>
          <t>MALUNG-SÄLEN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42022-2024</t>
        </is>
      </c>
      <c r="B1150" s="1" t="n">
        <v>45561</v>
      </c>
      <c r="C1150" s="1" t="n">
        <v>45852</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42020-2024</t>
        </is>
      </c>
      <c r="B1151" s="1" t="n">
        <v>45561</v>
      </c>
      <c r="C1151" s="1" t="n">
        <v>45852</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42081-2024</t>
        </is>
      </c>
      <c r="B1152" s="1" t="n">
        <v>45562</v>
      </c>
      <c r="C1152" s="1" t="n">
        <v>45852</v>
      </c>
      <c r="D1152" t="inlineStr">
        <is>
          <t>DALARNAS LÄN</t>
        </is>
      </c>
      <c r="E1152" t="inlineStr">
        <is>
          <t>MALUNG-SÄLEN</t>
        </is>
      </c>
      <c r="F1152" t="inlineStr">
        <is>
          <t>Bergvik skog öst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42561-2024</t>
        </is>
      </c>
      <c r="B1153" s="1" t="n">
        <v>45565</v>
      </c>
      <c r="C1153" s="1" t="n">
        <v>45852</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42802-2024</t>
        </is>
      </c>
      <c r="B1154" s="1" t="n">
        <v>45566</v>
      </c>
      <c r="C1154" s="1" t="n">
        <v>45852</v>
      </c>
      <c r="D1154" t="inlineStr">
        <is>
          <t>DALARNAS LÄN</t>
        </is>
      </c>
      <c r="E1154" t="inlineStr">
        <is>
          <t>MALUNG-SÄLEN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42759-2024</t>
        </is>
      </c>
      <c r="B1155" s="1" t="n">
        <v>45566</v>
      </c>
      <c r="C1155" s="1" t="n">
        <v>45852</v>
      </c>
      <c r="D1155" t="inlineStr">
        <is>
          <t>DALARNAS LÄN</t>
        </is>
      </c>
      <c r="E1155" t="inlineStr">
        <is>
          <t>MALUNG-SÄLEN</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42652-2024</t>
        </is>
      </c>
      <c r="B1156" s="1" t="n">
        <v>45566</v>
      </c>
      <c r="C1156" s="1" t="n">
        <v>45852</v>
      </c>
      <c r="D1156" t="inlineStr">
        <is>
          <t>DALARNAS LÄN</t>
        </is>
      </c>
      <c r="E1156" t="inlineStr">
        <is>
          <t>MALUNG-SÄLEN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42924-2024</t>
        </is>
      </c>
      <c r="B1157" s="1" t="n">
        <v>45567</v>
      </c>
      <c r="C1157" s="1" t="n">
        <v>45852</v>
      </c>
      <c r="D1157" t="inlineStr">
        <is>
          <t>DALARNAS LÄN</t>
        </is>
      </c>
      <c r="E1157" t="inlineStr">
        <is>
          <t>MALUNG-SÄLEN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43258-2024</t>
        </is>
      </c>
      <c r="B1158" s="1" t="n">
        <v>45568</v>
      </c>
      <c r="C1158" s="1" t="n">
        <v>45852</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43520-2024</t>
        </is>
      </c>
      <c r="B1159" s="1" t="n">
        <v>45569</v>
      </c>
      <c r="C1159" s="1" t="n">
        <v>45852</v>
      </c>
      <c r="D1159" t="inlineStr">
        <is>
          <t>DALARNAS LÄN</t>
        </is>
      </c>
      <c r="E1159" t="inlineStr">
        <is>
          <t>MALUNG-SÄLEN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43677-2024</t>
        </is>
      </c>
      <c r="B1160" s="1" t="n">
        <v>45569</v>
      </c>
      <c r="C1160" s="1" t="n">
        <v>45852</v>
      </c>
      <c r="D1160" t="inlineStr">
        <is>
          <t>DALARNAS LÄN</t>
        </is>
      </c>
      <c r="E1160" t="inlineStr">
        <is>
          <t>MALUNG-SÄLEN</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43581-2024</t>
        </is>
      </c>
      <c r="B1161" s="1" t="n">
        <v>45569</v>
      </c>
      <c r="C1161" s="1" t="n">
        <v>45852</v>
      </c>
      <c r="D1161" t="inlineStr">
        <is>
          <t>DALARNAS LÄN</t>
        </is>
      </c>
      <c r="E1161" t="inlineStr">
        <is>
          <t>MALUNG-SÄLEN</t>
        </is>
      </c>
      <c r="F1161" t="inlineStr">
        <is>
          <t>Allmännings- och besparingsskogar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44570-2024</t>
        </is>
      </c>
      <c r="B1162" s="1" t="n">
        <v>45574</v>
      </c>
      <c r="C1162" s="1" t="n">
        <v>45852</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44574-2024</t>
        </is>
      </c>
      <c r="B1163" s="1" t="n">
        <v>45574</v>
      </c>
      <c r="C1163" s="1" t="n">
        <v>45852</v>
      </c>
      <c r="D1163" t="inlineStr">
        <is>
          <t>DALARNAS LÄN</t>
        </is>
      </c>
      <c r="E1163" t="inlineStr">
        <is>
          <t>MALUNG-SÄLEN</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44761-2024</t>
        </is>
      </c>
      <c r="B1164" s="1" t="n">
        <v>45574</v>
      </c>
      <c r="C1164" s="1" t="n">
        <v>45852</v>
      </c>
      <c r="D1164" t="inlineStr">
        <is>
          <t>DALARNAS LÄN</t>
        </is>
      </c>
      <c r="E1164" t="inlineStr">
        <is>
          <t>MALUNG-SÄLEN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44576-2024</t>
        </is>
      </c>
      <c r="B1165" s="1" t="n">
        <v>45574</v>
      </c>
      <c r="C1165" s="1" t="n">
        <v>45852</v>
      </c>
      <c r="D1165" t="inlineStr">
        <is>
          <t>DALARNAS LÄN</t>
        </is>
      </c>
      <c r="E1165" t="inlineStr">
        <is>
          <t>MALUNG-SÄLEN</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45163-2024</t>
        </is>
      </c>
      <c r="B1166" s="1" t="n">
        <v>45575</v>
      </c>
      <c r="C1166" s="1" t="n">
        <v>45852</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44944-2024</t>
        </is>
      </c>
      <c r="B1167" s="1" t="n">
        <v>45575</v>
      </c>
      <c r="C1167" s="1" t="n">
        <v>45852</v>
      </c>
      <c r="D1167" t="inlineStr">
        <is>
          <t>DALARNAS LÄN</t>
        </is>
      </c>
      <c r="E1167" t="inlineStr">
        <is>
          <t>MALUNG-SÄLEN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45416-2024</t>
        </is>
      </c>
      <c r="B1168" s="1" t="n">
        <v>45576</v>
      </c>
      <c r="C1168" s="1" t="n">
        <v>45852</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45616-2024</t>
        </is>
      </c>
      <c r="B1169" s="1" t="n">
        <v>45579</v>
      </c>
      <c r="C1169" s="1" t="n">
        <v>45852</v>
      </c>
      <c r="D1169" t="inlineStr">
        <is>
          <t>DALARNAS LÄN</t>
        </is>
      </c>
      <c r="E1169" t="inlineStr">
        <is>
          <t>MALUNG-SÄLEN</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45540-2024</t>
        </is>
      </c>
      <c r="B1170" s="1" t="n">
        <v>45579</v>
      </c>
      <c r="C1170" s="1" t="n">
        <v>45852</v>
      </c>
      <c r="D1170" t="inlineStr">
        <is>
          <t>DALARNAS LÄN</t>
        </is>
      </c>
      <c r="E1170" t="inlineStr">
        <is>
          <t>MALUNG-SÄLEN</t>
        </is>
      </c>
      <c r="F1170" t="inlineStr">
        <is>
          <t>Allmännings- och besparingsskogar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45874-2024</t>
        </is>
      </c>
      <c r="B1171" s="1" t="n">
        <v>45580</v>
      </c>
      <c r="C1171" s="1" t="n">
        <v>45852</v>
      </c>
      <c r="D1171" t="inlineStr">
        <is>
          <t>DALARNAS LÄN</t>
        </is>
      </c>
      <c r="E1171" t="inlineStr">
        <is>
          <t>MALUNG-SÄLEN</t>
        </is>
      </c>
      <c r="F1171" t="inlineStr">
        <is>
          <t>Allmännings- och besparingsskogar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45963-2024</t>
        </is>
      </c>
      <c r="B1172" s="1" t="n">
        <v>45580</v>
      </c>
      <c r="C1172" s="1" t="n">
        <v>45852</v>
      </c>
      <c r="D1172" t="inlineStr">
        <is>
          <t>DALARNAS LÄN</t>
        </is>
      </c>
      <c r="E1172" t="inlineStr">
        <is>
          <t>MALUNG-SÄLEN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45890-2024</t>
        </is>
      </c>
      <c r="B1173" s="1" t="n">
        <v>45580</v>
      </c>
      <c r="C1173" s="1" t="n">
        <v>45852</v>
      </c>
      <c r="D1173" t="inlineStr">
        <is>
          <t>DALARNAS LÄN</t>
        </is>
      </c>
      <c r="E1173" t="inlineStr">
        <is>
          <t>MALUNG-SÄLEN</t>
        </is>
      </c>
      <c r="F1173" t="inlineStr">
        <is>
          <t>Allmännings- och besparingsskogar</t>
        </is>
      </c>
      <c r="G1173" t="n">
        <v>48.9</v>
      </c>
      <c r="H1173" t="n">
        <v>0</v>
      </c>
      <c r="I1173" t="n">
        <v>0</v>
      </c>
      <c r="J1173" t="n">
        <v>0</v>
      </c>
      <c r="K1173" t="n">
        <v>0</v>
      </c>
      <c r="L1173" t="n">
        <v>0</v>
      </c>
      <c r="M1173" t="n">
        <v>0</v>
      </c>
      <c r="N1173" t="n">
        <v>0</v>
      </c>
      <c r="O1173" t="n">
        <v>0</v>
      </c>
      <c r="P1173" t="n">
        <v>0</v>
      </c>
      <c r="Q1173" t="n">
        <v>0</v>
      </c>
      <c r="R1173" s="2" t="inlineStr"/>
    </row>
    <row r="1174" ht="15" customHeight="1">
      <c r="A1174" t="inlineStr">
        <is>
          <t>A 47336-2024</t>
        </is>
      </c>
      <c r="B1174" s="1" t="n">
        <v>45583</v>
      </c>
      <c r="C1174" s="1" t="n">
        <v>45852</v>
      </c>
      <c r="D1174" t="inlineStr">
        <is>
          <t>DALARNAS LÄN</t>
        </is>
      </c>
      <c r="E1174" t="inlineStr">
        <is>
          <t>MALUNG-SÄLEN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46887-2024</t>
        </is>
      </c>
      <c r="B1175" s="1" t="n">
        <v>45583</v>
      </c>
      <c r="C1175" s="1" t="n">
        <v>45852</v>
      </c>
      <c r="D1175" t="inlineStr">
        <is>
          <t>DALARNAS LÄN</t>
        </is>
      </c>
      <c r="E1175" t="inlineStr">
        <is>
          <t>MALUNG-SÄLEN</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46885-2024</t>
        </is>
      </c>
      <c r="B1176" s="1" t="n">
        <v>45583</v>
      </c>
      <c r="C1176" s="1" t="n">
        <v>45852</v>
      </c>
      <c r="D1176" t="inlineStr">
        <is>
          <t>DALARNAS LÄN</t>
        </is>
      </c>
      <c r="E1176" t="inlineStr">
        <is>
          <t>MALUNG-SÄLEN</t>
        </is>
      </c>
      <c r="F1176" t="inlineStr">
        <is>
          <t>Bergvik skog väst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48493-2024</t>
        </is>
      </c>
      <c r="B1177" s="1" t="n">
        <v>45592</v>
      </c>
      <c r="C1177" s="1" t="n">
        <v>45852</v>
      </c>
      <c r="D1177" t="inlineStr">
        <is>
          <t>DALARNAS LÄN</t>
        </is>
      </c>
      <c r="E1177" t="inlineStr">
        <is>
          <t>MALUNG-SÄLEN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48728-2024</t>
        </is>
      </c>
      <c r="B1178" s="1" t="n">
        <v>45593</v>
      </c>
      <c r="C1178" s="1" t="n">
        <v>45852</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49343-2024</t>
        </is>
      </c>
      <c r="B1179" s="1" t="n">
        <v>45595</v>
      </c>
      <c r="C1179" s="1" t="n">
        <v>45852</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49962-2024</t>
        </is>
      </c>
      <c r="B1180" s="1" t="n">
        <v>45597</v>
      </c>
      <c r="C1180" s="1" t="n">
        <v>45852</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49807-2024</t>
        </is>
      </c>
      <c r="B1181" s="1" t="n">
        <v>45597</v>
      </c>
      <c r="C1181" s="1" t="n">
        <v>45852</v>
      </c>
      <c r="D1181" t="inlineStr">
        <is>
          <t>DALARNAS LÄN</t>
        </is>
      </c>
      <c r="E1181" t="inlineStr">
        <is>
          <t>MALUNG-SÄLEN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49800-2024</t>
        </is>
      </c>
      <c r="B1182" s="1" t="n">
        <v>45597</v>
      </c>
      <c r="C1182" s="1" t="n">
        <v>45852</v>
      </c>
      <c r="D1182" t="inlineStr">
        <is>
          <t>DALARNAS LÄN</t>
        </is>
      </c>
      <c r="E1182" t="inlineStr">
        <is>
          <t>MALUNG-SÄLEN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50091-2024</t>
        </is>
      </c>
      <c r="B1183" s="1" t="n">
        <v>45600</v>
      </c>
      <c r="C1183" s="1" t="n">
        <v>45852</v>
      </c>
      <c r="D1183" t="inlineStr">
        <is>
          <t>DALARNAS LÄN</t>
        </is>
      </c>
      <c r="E1183" t="inlineStr">
        <is>
          <t>MALUNG-SÄLEN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50256-2024</t>
        </is>
      </c>
      <c r="B1184" s="1" t="n">
        <v>45600</v>
      </c>
      <c r="C1184" s="1" t="n">
        <v>45852</v>
      </c>
      <c r="D1184" t="inlineStr">
        <is>
          <t>DALARNAS LÄN</t>
        </is>
      </c>
      <c r="E1184" t="inlineStr">
        <is>
          <t>MALUNG-SÄLEN</t>
        </is>
      </c>
      <c r="F1184" t="inlineStr">
        <is>
          <t>Bergvik skog öst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50214-2024</t>
        </is>
      </c>
      <c r="B1185" s="1" t="n">
        <v>45600</v>
      </c>
      <c r="C1185" s="1" t="n">
        <v>45852</v>
      </c>
      <c r="D1185" t="inlineStr">
        <is>
          <t>DALARNAS LÄN</t>
        </is>
      </c>
      <c r="E1185" t="inlineStr">
        <is>
          <t>MALUNG-SÄLEN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50697-2024</t>
        </is>
      </c>
      <c r="B1186" s="1" t="n">
        <v>45602</v>
      </c>
      <c r="C1186" s="1" t="n">
        <v>45852</v>
      </c>
      <c r="D1186" t="inlineStr">
        <is>
          <t>DALARNAS LÄN</t>
        </is>
      </c>
      <c r="E1186" t="inlineStr">
        <is>
          <t>MALUNG-SÄLEN</t>
        </is>
      </c>
      <c r="F1186" t="inlineStr">
        <is>
          <t>Bergvik skog öst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51282-2024</t>
        </is>
      </c>
      <c r="B1187" s="1" t="n">
        <v>45603</v>
      </c>
      <c r="C1187" s="1" t="n">
        <v>45852</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51388-2024</t>
        </is>
      </c>
      <c r="B1188" s="1" t="n">
        <v>45604</v>
      </c>
      <c r="C1188" s="1" t="n">
        <v>45852</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51395-2024</t>
        </is>
      </c>
      <c r="B1189" s="1" t="n">
        <v>45604</v>
      </c>
      <c r="C1189" s="1" t="n">
        <v>45852</v>
      </c>
      <c r="D1189" t="inlineStr">
        <is>
          <t>DALARNAS LÄN</t>
        </is>
      </c>
      <c r="E1189" t="inlineStr">
        <is>
          <t>MALUNG-SÄLEN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51399-2024</t>
        </is>
      </c>
      <c r="B1190" s="1" t="n">
        <v>45604</v>
      </c>
      <c r="C1190" s="1" t="n">
        <v>45852</v>
      </c>
      <c r="D1190" t="inlineStr">
        <is>
          <t>DALARNAS LÄN</t>
        </is>
      </c>
      <c r="E1190" t="inlineStr">
        <is>
          <t>MALUNG-SÄLEN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51503-2024</t>
        </is>
      </c>
      <c r="B1191" s="1" t="n">
        <v>45604</v>
      </c>
      <c r="C1191" s="1" t="n">
        <v>45852</v>
      </c>
      <c r="D1191" t="inlineStr">
        <is>
          <t>DALARNAS LÄN</t>
        </is>
      </c>
      <c r="E1191" t="inlineStr">
        <is>
          <t>MALUNG-SÄLEN</t>
        </is>
      </c>
      <c r="F1191" t="inlineStr">
        <is>
          <t>Allmännings- och besparingsskogar</t>
        </is>
      </c>
      <c r="G1191" t="n">
        <v>21.8</v>
      </c>
      <c r="H1191" t="n">
        <v>0</v>
      </c>
      <c r="I1191" t="n">
        <v>0</v>
      </c>
      <c r="J1191" t="n">
        <v>0</v>
      </c>
      <c r="K1191" t="n">
        <v>0</v>
      </c>
      <c r="L1191" t="n">
        <v>0</v>
      </c>
      <c r="M1191" t="n">
        <v>0</v>
      </c>
      <c r="N1191" t="n">
        <v>0</v>
      </c>
      <c r="O1191" t="n">
        <v>0</v>
      </c>
      <c r="P1191" t="n">
        <v>0</v>
      </c>
      <c r="Q1191" t="n">
        <v>0</v>
      </c>
      <c r="R1191" s="2" t="inlineStr"/>
    </row>
    <row r="1192" ht="15" customHeight="1">
      <c r="A1192" t="inlineStr">
        <is>
          <t>A 51768-2024</t>
        </is>
      </c>
      <c r="B1192" s="1" t="n">
        <v>45607</v>
      </c>
      <c r="C1192" s="1" t="n">
        <v>45852</v>
      </c>
      <c r="D1192" t="inlineStr">
        <is>
          <t>DALARNAS LÄN</t>
        </is>
      </c>
      <c r="E1192" t="inlineStr">
        <is>
          <t>MALUNG-SÄLEN</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51825-2024</t>
        </is>
      </c>
      <c r="B1193" s="1" t="n">
        <v>45607</v>
      </c>
      <c r="C1193" s="1" t="n">
        <v>45852</v>
      </c>
      <c r="D1193" t="inlineStr">
        <is>
          <t>DALARNAS LÄN</t>
        </is>
      </c>
      <c r="E1193" t="inlineStr">
        <is>
          <t>MALUNG-SÄLEN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51794-2024</t>
        </is>
      </c>
      <c r="B1194" s="1" t="n">
        <v>45607</v>
      </c>
      <c r="C1194" s="1" t="n">
        <v>45852</v>
      </c>
      <c r="D1194" t="inlineStr">
        <is>
          <t>DALARNAS LÄN</t>
        </is>
      </c>
      <c r="E1194" t="inlineStr">
        <is>
          <t>MALUNG-SÄLEN</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52142-2024</t>
        </is>
      </c>
      <c r="B1195" s="1" t="n">
        <v>45608</v>
      </c>
      <c r="C1195" s="1" t="n">
        <v>45852</v>
      </c>
      <c r="D1195" t="inlineStr">
        <is>
          <t>DALARNAS LÄN</t>
        </is>
      </c>
      <c r="E1195" t="inlineStr">
        <is>
          <t>MALUNG-SÄLEN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52141-2024</t>
        </is>
      </c>
      <c r="B1196" s="1" t="n">
        <v>45608</v>
      </c>
      <c r="C1196" s="1" t="n">
        <v>45852</v>
      </c>
      <c r="D1196" t="inlineStr">
        <is>
          <t>DALARNAS LÄN</t>
        </is>
      </c>
      <c r="E1196" t="inlineStr">
        <is>
          <t>MALUNG-SÄLEN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52238-2024</t>
        </is>
      </c>
      <c r="B1197" s="1" t="n">
        <v>45608</v>
      </c>
      <c r="C1197" s="1" t="n">
        <v>45852</v>
      </c>
      <c r="D1197" t="inlineStr">
        <is>
          <t>DALARNAS LÄN</t>
        </is>
      </c>
      <c r="E1197" t="inlineStr">
        <is>
          <t>MALUNG-SÄLEN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52358-2024</t>
        </is>
      </c>
      <c r="B1198" s="1" t="n">
        <v>45609</v>
      </c>
      <c r="C1198" s="1" t="n">
        <v>45852</v>
      </c>
      <c r="D1198" t="inlineStr">
        <is>
          <t>DALARNAS LÄN</t>
        </is>
      </c>
      <c r="E1198" t="inlineStr">
        <is>
          <t>MALUNG-SÄLEN</t>
        </is>
      </c>
      <c r="F1198" t="inlineStr">
        <is>
          <t>Bergvik skog öst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52639-2024</t>
        </is>
      </c>
      <c r="B1199" s="1" t="n">
        <v>45610</v>
      </c>
      <c r="C1199" s="1" t="n">
        <v>45852</v>
      </c>
      <c r="D1199" t="inlineStr">
        <is>
          <t>DALARNAS LÄN</t>
        </is>
      </c>
      <c r="E1199" t="inlineStr">
        <is>
          <t>MALUNG-SÄLEN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53490-2024</t>
        </is>
      </c>
      <c r="B1200" s="1" t="n">
        <v>45614</v>
      </c>
      <c r="C1200" s="1" t="n">
        <v>45852</v>
      </c>
      <c r="D1200" t="inlineStr">
        <is>
          <t>DALARNAS LÄN</t>
        </is>
      </c>
      <c r="E1200" t="inlineStr">
        <is>
          <t>MALUNG-SÄLEN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53333-2024</t>
        </is>
      </c>
      <c r="B1201" s="1" t="n">
        <v>45614</v>
      </c>
      <c r="C1201" s="1" t="n">
        <v>45852</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53267-2024</t>
        </is>
      </c>
      <c r="B1202" s="1" t="n">
        <v>45614</v>
      </c>
      <c r="C1202" s="1" t="n">
        <v>45852</v>
      </c>
      <c r="D1202" t="inlineStr">
        <is>
          <t>DALARNAS LÄN</t>
        </is>
      </c>
      <c r="E1202" t="inlineStr">
        <is>
          <t>MALUNG-SÄLEN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53659-2024</t>
        </is>
      </c>
      <c r="B1203" s="1" t="n">
        <v>45615</v>
      </c>
      <c r="C1203" s="1" t="n">
        <v>45852</v>
      </c>
      <c r="D1203" t="inlineStr">
        <is>
          <t>DALARNAS LÄN</t>
        </is>
      </c>
      <c r="E1203" t="inlineStr">
        <is>
          <t>MALUNG-SÄLEN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53800-2024</t>
        </is>
      </c>
      <c r="B1204" s="1" t="n">
        <v>45615</v>
      </c>
      <c r="C1204" s="1" t="n">
        <v>45852</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53863-2024</t>
        </is>
      </c>
      <c r="B1205" s="1" t="n">
        <v>45615</v>
      </c>
      <c r="C1205" s="1" t="n">
        <v>45852</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54887-2024</t>
        </is>
      </c>
      <c r="B1206" s="1" t="n">
        <v>45618</v>
      </c>
      <c r="C1206" s="1" t="n">
        <v>45852</v>
      </c>
      <c r="D1206" t="inlineStr">
        <is>
          <t>DALARNAS LÄN</t>
        </is>
      </c>
      <c r="E1206" t="inlineStr">
        <is>
          <t>MALUNG-SÄLEN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54842-2024</t>
        </is>
      </c>
      <c r="B1207" s="1" t="n">
        <v>45618</v>
      </c>
      <c r="C1207" s="1" t="n">
        <v>45852</v>
      </c>
      <c r="D1207" t="inlineStr">
        <is>
          <t>DALARNAS LÄN</t>
        </is>
      </c>
      <c r="E1207" t="inlineStr">
        <is>
          <t>MALUNG-SÄLEN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55307-2024</t>
        </is>
      </c>
      <c r="B1208" s="1" t="n">
        <v>45621</v>
      </c>
      <c r="C1208" s="1" t="n">
        <v>45852</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55024-2024</t>
        </is>
      </c>
      <c r="B1209" s="1" t="n">
        <v>45621</v>
      </c>
      <c r="C1209" s="1" t="n">
        <v>45852</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55075-2024</t>
        </is>
      </c>
      <c r="B1210" s="1" t="n">
        <v>45621</v>
      </c>
      <c r="C1210" s="1" t="n">
        <v>45852</v>
      </c>
      <c r="D1210" t="inlineStr">
        <is>
          <t>DALARNAS LÄN</t>
        </is>
      </c>
      <c r="E1210" t="inlineStr">
        <is>
          <t>MALUNG-SÄLEN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55058-2024</t>
        </is>
      </c>
      <c r="B1211" s="1" t="n">
        <v>45621</v>
      </c>
      <c r="C1211" s="1" t="n">
        <v>45852</v>
      </c>
      <c r="D1211" t="inlineStr">
        <is>
          <t>DALARNAS LÄN</t>
        </is>
      </c>
      <c r="E1211" t="inlineStr">
        <is>
          <t>MALUNG-SÄLEN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55230-2024</t>
        </is>
      </c>
      <c r="B1212" s="1" t="n">
        <v>45621</v>
      </c>
      <c r="C1212" s="1" t="n">
        <v>45852</v>
      </c>
      <c r="D1212" t="inlineStr">
        <is>
          <t>DALARNAS LÄN</t>
        </is>
      </c>
      <c r="E1212" t="inlineStr">
        <is>
          <t>MALUNG-SÄLEN</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55579-2024</t>
        </is>
      </c>
      <c r="B1213" s="1" t="n">
        <v>45621</v>
      </c>
      <c r="C1213" s="1" t="n">
        <v>45852</v>
      </c>
      <c r="D1213" t="inlineStr">
        <is>
          <t>DALARNAS LÄN</t>
        </is>
      </c>
      <c r="E1213" t="inlineStr">
        <is>
          <t>MALUNG-SÄLEN</t>
        </is>
      </c>
      <c r="F1213" t="inlineStr">
        <is>
          <t>Allmännings- och besparingsskogar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55638-2024</t>
        </is>
      </c>
      <c r="B1214" s="1" t="n">
        <v>45622</v>
      </c>
      <c r="C1214" s="1" t="n">
        <v>45852</v>
      </c>
      <c r="D1214" t="inlineStr">
        <is>
          <t>DALARNAS LÄN</t>
        </is>
      </c>
      <c r="E1214" t="inlineStr">
        <is>
          <t>MALUNG-SÄLEN</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55827-2024</t>
        </is>
      </c>
      <c r="B1215" s="1" t="n">
        <v>45623</v>
      </c>
      <c r="C1215" s="1" t="n">
        <v>45852</v>
      </c>
      <c r="D1215" t="inlineStr">
        <is>
          <t>DALARNAS LÄN</t>
        </is>
      </c>
      <c r="E1215" t="inlineStr">
        <is>
          <t>MALUNG-SÄLEN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55975-2024</t>
        </is>
      </c>
      <c r="B1216" s="1" t="n">
        <v>45623</v>
      </c>
      <c r="C1216" s="1" t="n">
        <v>45852</v>
      </c>
      <c r="D1216" t="inlineStr">
        <is>
          <t>DALARNAS LÄN</t>
        </is>
      </c>
      <c r="E1216" t="inlineStr">
        <is>
          <t>MALUNG-SÄLEN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55969-2024</t>
        </is>
      </c>
      <c r="B1217" s="1" t="n">
        <v>45623</v>
      </c>
      <c r="C1217" s="1" t="n">
        <v>45852</v>
      </c>
      <c r="D1217" t="inlineStr">
        <is>
          <t>DALARNAS LÄN</t>
        </is>
      </c>
      <c r="E1217" t="inlineStr">
        <is>
          <t>MALUNG-SÄLEN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56297-2024</t>
        </is>
      </c>
      <c r="B1218" s="1" t="n">
        <v>45624</v>
      </c>
      <c r="C1218" s="1" t="n">
        <v>45852</v>
      </c>
      <c r="D1218" t="inlineStr">
        <is>
          <t>DALARNAS LÄN</t>
        </is>
      </c>
      <c r="E1218" t="inlineStr">
        <is>
          <t>MALUNG-SÄLEN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56110-2024</t>
        </is>
      </c>
      <c r="B1219" s="1" t="n">
        <v>45624</v>
      </c>
      <c r="C1219" s="1" t="n">
        <v>45852</v>
      </c>
      <c r="D1219" t="inlineStr">
        <is>
          <t>DALARNAS LÄN</t>
        </is>
      </c>
      <c r="E1219" t="inlineStr">
        <is>
          <t>MALUNG-SÄLEN</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56289-2024</t>
        </is>
      </c>
      <c r="B1220" s="1" t="n">
        <v>45624</v>
      </c>
      <c r="C1220" s="1" t="n">
        <v>45852</v>
      </c>
      <c r="D1220" t="inlineStr">
        <is>
          <t>DALARNAS LÄN</t>
        </is>
      </c>
      <c r="E1220" t="inlineStr">
        <is>
          <t>MALUNG-SÄLEN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56750-2024</t>
        </is>
      </c>
      <c r="B1221" s="1" t="n">
        <v>45628</v>
      </c>
      <c r="C1221" s="1" t="n">
        <v>45852</v>
      </c>
      <c r="D1221" t="inlineStr">
        <is>
          <t>DALARNAS LÄN</t>
        </is>
      </c>
      <c r="E1221" t="inlineStr">
        <is>
          <t>MALUNG-SÄLEN</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56969-2024</t>
        </is>
      </c>
      <c r="B1222" s="1" t="n">
        <v>45628</v>
      </c>
      <c r="C1222" s="1" t="n">
        <v>45852</v>
      </c>
      <c r="D1222" t="inlineStr">
        <is>
          <t>DALARNAS LÄN</t>
        </is>
      </c>
      <c r="E1222" t="inlineStr">
        <is>
          <t>MALUNG-SÄLEN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56936-2024</t>
        </is>
      </c>
      <c r="B1223" s="1" t="n">
        <v>45628</v>
      </c>
      <c r="C1223" s="1" t="n">
        <v>45852</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57424-2024</t>
        </is>
      </c>
      <c r="B1224" s="1" t="n">
        <v>45629</v>
      </c>
      <c r="C1224" s="1" t="n">
        <v>45852</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57423-2024</t>
        </is>
      </c>
      <c r="B1225" s="1" t="n">
        <v>45629</v>
      </c>
      <c r="C1225" s="1" t="n">
        <v>45852</v>
      </c>
      <c r="D1225" t="inlineStr">
        <is>
          <t>DALARNAS LÄN</t>
        </is>
      </c>
      <c r="E1225" t="inlineStr">
        <is>
          <t>MALUNG-SÄLEN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57425-2024</t>
        </is>
      </c>
      <c r="B1226" s="1" t="n">
        <v>45629</v>
      </c>
      <c r="C1226" s="1" t="n">
        <v>45852</v>
      </c>
      <c r="D1226" t="inlineStr">
        <is>
          <t>DALARNAS LÄN</t>
        </is>
      </c>
      <c r="E1226" t="inlineStr">
        <is>
          <t>MALUNG-SÄLEN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57820-2024</t>
        </is>
      </c>
      <c r="B1227" s="1" t="n">
        <v>45631</v>
      </c>
      <c r="C1227" s="1" t="n">
        <v>45852</v>
      </c>
      <c r="D1227" t="inlineStr">
        <is>
          <t>DALARNAS LÄN</t>
        </is>
      </c>
      <c r="E1227" t="inlineStr">
        <is>
          <t>MALUNG-SÄLEN</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57965-2024</t>
        </is>
      </c>
      <c r="B1228" s="1" t="n">
        <v>45631</v>
      </c>
      <c r="C1228" s="1" t="n">
        <v>45852</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58102-2024</t>
        </is>
      </c>
      <c r="B1229" s="1" t="n">
        <v>45632</v>
      </c>
      <c r="C1229" s="1" t="n">
        <v>45852</v>
      </c>
      <c r="D1229" t="inlineStr">
        <is>
          <t>DALARNAS LÄN</t>
        </is>
      </c>
      <c r="E1229" t="inlineStr">
        <is>
          <t>MALUNG-SÄLEN</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58345-2024</t>
        </is>
      </c>
      <c r="B1230" s="1" t="n">
        <v>45632</v>
      </c>
      <c r="C1230" s="1" t="n">
        <v>45852</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58422-2024</t>
        </is>
      </c>
      <c r="B1231" s="1" t="n">
        <v>45634</v>
      </c>
      <c r="C1231" s="1" t="n">
        <v>45852</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58421-2024</t>
        </is>
      </c>
      <c r="B1232" s="1" t="n">
        <v>45634</v>
      </c>
      <c r="C1232" s="1" t="n">
        <v>45852</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58420-2024</t>
        </is>
      </c>
      <c r="B1233" s="1" t="n">
        <v>45634</v>
      </c>
      <c r="C1233" s="1" t="n">
        <v>45852</v>
      </c>
      <c r="D1233" t="inlineStr">
        <is>
          <t>DALARNAS LÄN</t>
        </is>
      </c>
      <c r="E1233" t="inlineStr">
        <is>
          <t>MALUNG-SÄLEN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58419-2024</t>
        </is>
      </c>
      <c r="B1234" s="1" t="n">
        <v>45634</v>
      </c>
      <c r="C1234" s="1" t="n">
        <v>45852</v>
      </c>
      <c r="D1234" t="inlineStr">
        <is>
          <t>DALARNAS LÄN</t>
        </is>
      </c>
      <c r="E1234" t="inlineStr">
        <is>
          <t>MALUNG-SÄLEN</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58871-2024</t>
        </is>
      </c>
      <c r="B1235" s="1" t="n">
        <v>45636</v>
      </c>
      <c r="C1235" s="1" t="n">
        <v>45852</v>
      </c>
      <c r="D1235" t="inlineStr">
        <is>
          <t>DALARNAS LÄN</t>
        </is>
      </c>
      <c r="E1235" t="inlineStr">
        <is>
          <t>MALUNG-SÄLEN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58904-2024</t>
        </is>
      </c>
      <c r="B1236" s="1" t="n">
        <v>45636</v>
      </c>
      <c r="C1236" s="1" t="n">
        <v>45852</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58920-2024</t>
        </is>
      </c>
      <c r="B1237" s="1" t="n">
        <v>45636</v>
      </c>
      <c r="C1237" s="1" t="n">
        <v>45852</v>
      </c>
      <c r="D1237" t="inlineStr">
        <is>
          <t>DALARNAS LÄN</t>
        </is>
      </c>
      <c r="E1237" t="inlineStr">
        <is>
          <t>MALUNG-SÄLEN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59305-2024</t>
        </is>
      </c>
      <c r="B1238" s="1" t="n">
        <v>45637</v>
      </c>
      <c r="C1238" s="1" t="n">
        <v>45852</v>
      </c>
      <c r="D1238" t="inlineStr">
        <is>
          <t>DALARNAS LÄN</t>
        </is>
      </c>
      <c r="E1238" t="inlineStr">
        <is>
          <t>MALUNG-SÄLEN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59318-2024</t>
        </is>
      </c>
      <c r="B1239" s="1" t="n">
        <v>45637</v>
      </c>
      <c r="C1239" s="1" t="n">
        <v>45852</v>
      </c>
      <c r="D1239" t="inlineStr">
        <is>
          <t>DALARNAS LÄN</t>
        </is>
      </c>
      <c r="E1239" t="inlineStr">
        <is>
          <t>MALUNG-SÄLEN</t>
        </is>
      </c>
      <c r="F1239" t="inlineStr">
        <is>
          <t>Allmännings- och besparingsskogar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59514-2024</t>
        </is>
      </c>
      <c r="B1240" s="1" t="n">
        <v>45638</v>
      </c>
      <c r="C1240" s="1" t="n">
        <v>45852</v>
      </c>
      <c r="D1240" t="inlineStr">
        <is>
          <t>DALARNAS LÄN</t>
        </is>
      </c>
      <c r="E1240" t="inlineStr">
        <is>
          <t>MALUNG-SÄLEN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59357-2024</t>
        </is>
      </c>
      <c r="B1241" s="1" t="n">
        <v>45638</v>
      </c>
      <c r="C1241" s="1" t="n">
        <v>45852</v>
      </c>
      <c r="D1241" t="inlineStr">
        <is>
          <t>DALARNAS LÄN</t>
        </is>
      </c>
      <c r="E1241" t="inlineStr">
        <is>
          <t>MALUNG-SÄLEN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59456-2024</t>
        </is>
      </c>
      <c r="B1242" s="1" t="n">
        <v>45638</v>
      </c>
      <c r="C1242" s="1" t="n">
        <v>45852</v>
      </c>
      <c r="D1242" t="inlineStr">
        <is>
          <t>DALARNAS LÄN</t>
        </is>
      </c>
      <c r="E1242" t="inlineStr">
        <is>
          <t>MALUNG-SÄLEN</t>
        </is>
      </c>
      <c r="F1242" t="inlineStr">
        <is>
          <t>Allmännings- och besparingsskogar</t>
        </is>
      </c>
      <c r="G1242" t="n">
        <v>40.3</v>
      </c>
      <c r="H1242" t="n">
        <v>0</v>
      </c>
      <c r="I1242" t="n">
        <v>0</v>
      </c>
      <c r="J1242" t="n">
        <v>0</v>
      </c>
      <c r="K1242" t="n">
        <v>0</v>
      </c>
      <c r="L1242" t="n">
        <v>0</v>
      </c>
      <c r="M1242" t="n">
        <v>0</v>
      </c>
      <c r="N1242" t="n">
        <v>0</v>
      </c>
      <c r="O1242" t="n">
        <v>0</v>
      </c>
      <c r="P1242" t="n">
        <v>0</v>
      </c>
      <c r="Q1242" t="n">
        <v>0</v>
      </c>
      <c r="R1242" s="2" t="inlineStr"/>
    </row>
    <row r="1243" ht="15" customHeight="1">
      <c r="A1243" t="inlineStr">
        <is>
          <t>A 59643-2024</t>
        </is>
      </c>
      <c r="B1243" s="1" t="n">
        <v>45639</v>
      </c>
      <c r="C1243" s="1" t="n">
        <v>45852</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60063-2024</t>
        </is>
      </c>
      <c r="B1244" s="1" t="n">
        <v>45642</v>
      </c>
      <c r="C1244" s="1" t="n">
        <v>45852</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60015-2024</t>
        </is>
      </c>
      <c r="B1245" s="1" t="n">
        <v>45642</v>
      </c>
      <c r="C1245" s="1" t="n">
        <v>45852</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60046-2024</t>
        </is>
      </c>
      <c r="B1246" s="1" t="n">
        <v>45642</v>
      </c>
      <c r="C1246" s="1" t="n">
        <v>45852</v>
      </c>
      <c r="D1246" t="inlineStr">
        <is>
          <t>DALARNAS LÄN</t>
        </is>
      </c>
      <c r="E1246" t="inlineStr">
        <is>
          <t>MALUNG-SÄLEN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60042-2024</t>
        </is>
      </c>
      <c r="B1247" s="1" t="n">
        <v>45642</v>
      </c>
      <c r="C1247" s="1" t="n">
        <v>45852</v>
      </c>
      <c r="D1247" t="inlineStr">
        <is>
          <t>DALARNAS LÄN</t>
        </is>
      </c>
      <c r="E1247" t="inlineStr">
        <is>
          <t>MALUNG-SÄLEN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59953-2024</t>
        </is>
      </c>
      <c r="B1248" s="1" t="n">
        <v>45642</v>
      </c>
      <c r="C1248" s="1" t="n">
        <v>45852</v>
      </c>
      <c r="D1248" t="inlineStr">
        <is>
          <t>DALARNAS LÄN</t>
        </is>
      </c>
      <c r="E1248" t="inlineStr">
        <is>
          <t>MALUNG-SÄLEN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60298-2024</t>
        </is>
      </c>
      <c r="B1249" s="1" t="n">
        <v>45643</v>
      </c>
      <c r="C1249" s="1" t="n">
        <v>45852</v>
      </c>
      <c r="D1249" t="inlineStr">
        <is>
          <t>DALARNAS LÄN</t>
        </is>
      </c>
      <c r="E1249" t="inlineStr">
        <is>
          <t>MALUNG-SÄLEN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60299-2024</t>
        </is>
      </c>
      <c r="B1250" s="1" t="n">
        <v>45643</v>
      </c>
      <c r="C1250" s="1" t="n">
        <v>45852</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60441-2024</t>
        </is>
      </c>
      <c r="B1251" s="1" t="n">
        <v>45643</v>
      </c>
      <c r="C1251" s="1" t="n">
        <v>45852</v>
      </c>
      <c r="D1251" t="inlineStr">
        <is>
          <t>DALARNAS LÄN</t>
        </is>
      </c>
      <c r="E1251" t="inlineStr">
        <is>
          <t>MALUNG-SÄLEN</t>
        </is>
      </c>
      <c r="F1251" t="inlineStr">
        <is>
          <t>Övriga statliga verk och myndigheter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60855-2024</t>
        </is>
      </c>
      <c r="B1252" s="1" t="n">
        <v>45644</v>
      </c>
      <c r="C1252" s="1" t="n">
        <v>45852</v>
      </c>
      <c r="D1252" t="inlineStr">
        <is>
          <t>DALARNAS LÄN</t>
        </is>
      </c>
      <c r="E1252" t="inlineStr">
        <is>
          <t>MALUNG-SÄLEN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60649-2024</t>
        </is>
      </c>
      <c r="B1253" s="1" t="n">
        <v>45644</v>
      </c>
      <c r="C1253" s="1" t="n">
        <v>45852</v>
      </c>
      <c r="D1253" t="inlineStr">
        <is>
          <t>DALARNAS LÄN</t>
        </is>
      </c>
      <c r="E1253" t="inlineStr">
        <is>
          <t>MALUNG-SÄLEN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61113-2024</t>
        </is>
      </c>
      <c r="B1254" s="1" t="n">
        <v>45644</v>
      </c>
      <c r="C1254" s="1" t="n">
        <v>45852</v>
      </c>
      <c r="D1254" t="inlineStr">
        <is>
          <t>DALARNAS LÄN</t>
        </is>
      </c>
      <c r="E1254" t="inlineStr">
        <is>
          <t>MALUNG-SÄLEN</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61202-2024</t>
        </is>
      </c>
      <c r="B1255" s="1" t="n">
        <v>45645</v>
      </c>
      <c r="C1255" s="1" t="n">
        <v>45852</v>
      </c>
      <c r="D1255" t="inlineStr">
        <is>
          <t>DALARNAS LÄN</t>
        </is>
      </c>
      <c r="E1255" t="inlineStr">
        <is>
          <t>MALUNG-SÄLEN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61233-2024</t>
        </is>
      </c>
      <c r="B1256" s="1" t="n">
        <v>45645</v>
      </c>
      <c r="C1256" s="1" t="n">
        <v>45852</v>
      </c>
      <c r="D1256" t="inlineStr">
        <is>
          <t>DALARNAS LÄN</t>
        </is>
      </c>
      <c r="E1256" t="inlineStr">
        <is>
          <t>MALUNG-SÄLEN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61325-2024</t>
        </is>
      </c>
      <c r="B1257" s="1" t="n">
        <v>45646</v>
      </c>
      <c r="C1257" s="1" t="n">
        <v>45852</v>
      </c>
      <c r="D1257" t="inlineStr">
        <is>
          <t>DALARNAS LÄN</t>
        </is>
      </c>
      <c r="E1257" t="inlineStr">
        <is>
          <t>MALUNG-SÄLEN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61368-2024</t>
        </is>
      </c>
      <c r="B1258" s="1" t="n">
        <v>45646</v>
      </c>
      <c r="C1258" s="1" t="n">
        <v>45852</v>
      </c>
      <c r="D1258" t="inlineStr">
        <is>
          <t>DALARNAS LÄN</t>
        </is>
      </c>
      <c r="E1258" t="inlineStr">
        <is>
          <t>MALUNG-SÄLEN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61312-2024</t>
        </is>
      </c>
      <c r="B1259" s="1" t="n">
        <v>45646</v>
      </c>
      <c r="C1259" s="1" t="n">
        <v>45852</v>
      </c>
      <c r="D1259" t="inlineStr">
        <is>
          <t>DALARNAS LÄN</t>
        </is>
      </c>
      <c r="E1259" t="inlineStr">
        <is>
          <t>MALUNG-SÄLEN</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61361-2024</t>
        </is>
      </c>
      <c r="B1260" s="1" t="n">
        <v>45646</v>
      </c>
      <c r="C1260" s="1" t="n">
        <v>45852</v>
      </c>
      <c r="D1260" t="inlineStr">
        <is>
          <t>DALARNAS LÄN</t>
        </is>
      </c>
      <c r="E1260" t="inlineStr">
        <is>
          <t>MALUNG-SÄLEN</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61804-2024</t>
        </is>
      </c>
      <c r="B1261" s="1" t="n">
        <v>45649</v>
      </c>
      <c r="C1261" s="1" t="n">
        <v>45852</v>
      </c>
      <c r="D1261" t="inlineStr">
        <is>
          <t>DALARNAS LÄN</t>
        </is>
      </c>
      <c r="E1261" t="inlineStr">
        <is>
          <t>MALUNG-SÄLEN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62002-2024</t>
        </is>
      </c>
      <c r="B1262" s="1" t="n">
        <v>45654</v>
      </c>
      <c r="C1262" s="1" t="n">
        <v>45852</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35-2025</t>
        </is>
      </c>
      <c r="B1263" s="1" t="n">
        <v>45659</v>
      </c>
      <c r="C1263" s="1" t="n">
        <v>45852</v>
      </c>
      <c r="D1263" t="inlineStr">
        <is>
          <t>DALARNAS LÄN</t>
        </is>
      </c>
      <c r="E1263" t="inlineStr">
        <is>
          <t>MALUNG-SÄLEN</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37-2025</t>
        </is>
      </c>
      <c r="B1264" s="1" t="n">
        <v>45659</v>
      </c>
      <c r="C1264" s="1" t="n">
        <v>45852</v>
      </c>
      <c r="D1264" t="inlineStr">
        <is>
          <t>DALARNAS LÄN</t>
        </is>
      </c>
      <c r="E1264" t="inlineStr">
        <is>
          <t>MALUNG-SÄLEN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138-2025</t>
        </is>
      </c>
      <c r="B1265" s="1" t="n">
        <v>45659</v>
      </c>
      <c r="C1265" s="1" t="n">
        <v>45852</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688-2025</t>
        </is>
      </c>
      <c r="B1266" s="1" t="n">
        <v>45665</v>
      </c>
      <c r="C1266" s="1" t="n">
        <v>45852</v>
      </c>
      <c r="D1266" t="inlineStr">
        <is>
          <t>DALARNAS LÄN</t>
        </is>
      </c>
      <c r="E1266" t="inlineStr">
        <is>
          <t>MALUNG-SÄLEN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689-2025</t>
        </is>
      </c>
      <c r="B1267" s="1" t="n">
        <v>45665</v>
      </c>
      <c r="C1267" s="1" t="n">
        <v>45852</v>
      </c>
      <c r="D1267" t="inlineStr">
        <is>
          <t>DALARNAS LÄN</t>
        </is>
      </c>
      <c r="E1267" t="inlineStr">
        <is>
          <t>MALUNG-SÄLEN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690-2025</t>
        </is>
      </c>
      <c r="B1268" s="1" t="n">
        <v>45665</v>
      </c>
      <c r="C1268" s="1" t="n">
        <v>45852</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691-2025</t>
        </is>
      </c>
      <c r="B1269" s="1" t="n">
        <v>45665</v>
      </c>
      <c r="C1269" s="1" t="n">
        <v>45852</v>
      </c>
      <c r="D1269" t="inlineStr">
        <is>
          <t>DALARNAS LÄN</t>
        </is>
      </c>
      <c r="E1269" t="inlineStr">
        <is>
          <t>MALUNG-SÄLEN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1530-2025</t>
        </is>
      </c>
      <c r="B1270" s="1" t="n">
        <v>45670</v>
      </c>
      <c r="C1270" s="1" t="n">
        <v>45852</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1526-2025</t>
        </is>
      </c>
      <c r="B1271" s="1" t="n">
        <v>45670</v>
      </c>
      <c r="C1271" s="1" t="n">
        <v>45852</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1463-2025</t>
        </is>
      </c>
      <c r="B1272" s="1" t="n">
        <v>45670</v>
      </c>
      <c r="C1272" s="1" t="n">
        <v>45852</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1760-2025</t>
        </is>
      </c>
      <c r="B1273" s="1" t="n">
        <v>45671</v>
      </c>
      <c r="C1273" s="1" t="n">
        <v>45852</v>
      </c>
      <c r="D1273" t="inlineStr">
        <is>
          <t>DALARNAS LÄN</t>
        </is>
      </c>
      <c r="E1273" t="inlineStr">
        <is>
          <t>MALUNG-SÄLEN</t>
        </is>
      </c>
      <c r="F1273" t="inlineStr">
        <is>
          <t>Allmännings- och besparingsskogar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1796-2025</t>
        </is>
      </c>
      <c r="B1274" s="1" t="n">
        <v>45671</v>
      </c>
      <c r="C1274" s="1" t="n">
        <v>45852</v>
      </c>
      <c r="D1274" t="inlineStr">
        <is>
          <t>DALARNAS LÄN</t>
        </is>
      </c>
      <c r="E1274" t="inlineStr">
        <is>
          <t>MALUNG-SÄLEN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1967-2025</t>
        </is>
      </c>
      <c r="B1275" s="1" t="n">
        <v>45672</v>
      </c>
      <c r="C1275" s="1" t="n">
        <v>45852</v>
      </c>
      <c r="D1275" t="inlineStr">
        <is>
          <t>DALARNAS LÄN</t>
        </is>
      </c>
      <c r="E1275" t="inlineStr">
        <is>
          <t>MALUNG-SÄLEN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1978-2025</t>
        </is>
      </c>
      <c r="B1276" s="1" t="n">
        <v>45672</v>
      </c>
      <c r="C1276" s="1" t="n">
        <v>45852</v>
      </c>
      <c r="D1276" t="inlineStr">
        <is>
          <t>DALARNAS LÄN</t>
        </is>
      </c>
      <c r="E1276" t="inlineStr">
        <is>
          <t>MALUNG-SÄLEN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1982-2025</t>
        </is>
      </c>
      <c r="B1277" s="1" t="n">
        <v>45672</v>
      </c>
      <c r="C1277" s="1" t="n">
        <v>45852</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2209-2025</t>
        </is>
      </c>
      <c r="B1278" s="1" t="n">
        <v>45673</v>
      </c>
      <c r="C1278" s="1" t="n">
        <v>45852</v>
      </c>
      <c r="D1278" t="inlineStr">
        <is>
          <t>DALARNAS LÄN</t>
        </is>
      </c>
      <c r="E1278" t="inlineStr">
        <is>
          <t>MALUNG-SÄLEN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2216-2025</t>
        </is>
      </c>
      <c r="B1279" s="1" t="n">
        <v>45673</v>
      </c>
      <c r="C1279" s="1" t="n">
        <v>45852</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2469-2025</t>
        </is>
      </c>
      <c r="B1280" s="1" t="n">
        <v>45674</v>
      </c>
      <c r="C1280" s="1" t="n">
        <v>45852</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2736-2025</t>
        </is>
      </c>
      <c r="B1281" s="1" t="n">
        <v>45677</v>
      </c>
      <c r="C1281" s="1" t="n">
        <v>45852</v>
      </c>
      <c r="D1281" t="inlineStr">
        <is>
          <t>DALARNAS LÄN</t>
        </is>
      </c>
      <c r="E1281" t="inlineStr">
        <is>
          <t>MALUNG-SÄLEN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2722-2025</t>
        </is>
      </c>
      <c r="B1282" s="1" t="n">
        <v>45677</v>
      </c>
      <c r="C1282" s="1" t="n">
        <v>45852</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2729-2025</t>
        </is>
      </c>
      <c r="B1283" s="1" t="n">
        <v>45677</v>
      </c>
      <c r="C1283" s="1" t="n">
        <v>45852</v>
      </c>
      <c r="D1283" t="inlineStr">
        <is>
          <t>DALARNAS LÄN</t>
        </is>
      </c>
      <c r="E1283" t="inlineStr">
        <is>
          <t>MALUNG-SÄLEN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3172-2025</t>
        </is>
      </c>
      <c r="B1284" s="1" t="n">
        <v>45679</v>
      </c>
      <c r="C1284" s="1" t="n">
        <v>45852</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3880-2025</t>
        </is>
      </c>
      <c r="B1285" s="1" t="n">
        <v>45684</v>
      </c>
      <c r="C1285" s="1" t="n">
        <v>45852</v>
      </c>
      <c r="D1285" t="inlineStr">
        <is>
          <t>DALARNAS LÄN</t>
        </is>
      </c>
      <c r="E1285" t="inlineStr">
        <is>
          <t>MALUNG-SÄLEN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4074-2025</t>
        </is>
      </c>
      <c r="B1286" s="1" t="n">
        <v>45684</v>
      </c>
      <c r="C1286" s="1" t="n">
        <v>45852</v>
      </c>
      <c r="D1286" t="inlineStr">
        <is>
          <t>DALARNAS LÄN</t>
        </is>
      </c>
      <c r="E1286" t="inlineStr">
        <is>
          <t>MALUNG-SÄLEN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4613-2025</t>
        </is>
      </c>
      <c r="B1287" s="1" t="n">
        <v>45687</v>
      </c>
      <c r="C1287" s="1" t="n">
        <v>45852</v>
      </c>
      <c r="D1287" t="inlineStr">
        <is>
          <t>DALARNAS LÄN</t>
        </is>
      </c>
      <c r="E1287" t="inlineStr">
        <is>
          <t>MALUNG-SÄLEN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4567-2025</t>
        </is>
      </c>
      <c r="B1288" s="1" t="n">
        <v>45687</v>
      </c>
      <c r="C1288" s="1" t="n">
        <v>45852</v>
      </c>
      <c r="D1288" t="inlineStr">
        <is>
          <t>DALARNAS LÄN</t>
        </is>
      </c>
      <c r="E1288" t="inlineStr">
        <is>
          <t>MALUNG-SÄLEN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5369-2025</t>
        </is>
      </c>
      <c r="B1289" s="1" t="n">
        <v>45692</v>
      </c>
      <c r="C1289" s="1" t="n">
        <v>45852</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5399-2025</t>
        </is>
      </c>
      <c r="B1290" s="1" t="n">
        <v>45692</v>
      </c>
      <c r="C1290" s="1" t="n">
        <v>45852</v>
      </c>
      <c r="D1290" t="inlineStr">
        <is>
          <t>DALARNAS LÄN</t>
        </is>
      </c>
      <c r="E1290" t="inlineStr">
        <is>
          <t>MALUNG-SÄLEN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5837-2025</t>
        </is>
      </c>
      <c r="B1291" s="1" t="n">
        <v>45694</v>
      </c>
      <c r="C1291" s="1" t="n">
        <v>45852</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7009-2025</t>
        </is>
      </c>
      <c r="B1292" s="1" t="n">
        <v>45701</v>
      </c>
      <c r="C1292" s="1" t="n">
        <v>45852</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6951-2025</t>
        </is>
      </c>
      <c r="B1293" s="1" t="n">
        <v>45701</v>
      </c>
      <c r="C1293" s="1" t="n">
        <v>45852</v>
      </c>
      <c r="D1293" t="inlineStr">
        <is>
          <t>DALARNAS LÄN</t>
        </is>
      </c>
      <c r="E1293" t="inlineStr">
        <is>
          <t>MALUNG-SÄLEN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7006-2025</t>
        </is>
      </c>
      <c r="B1294" s="1" t="n">
        <v>45701</v>
      </c>
      <c r="C1294" s="1" t="n">
        <v>45852</v>
      </c>
      <c r="D1294" t="inlineStr">
        <is>
          <t>DALARNAS LÄN</t>
        </is>
      </c>
      <c r="E1294" t="inlineStr">
        <is>
          <t>MALUNG-SÄLEN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6979-2025</t>
        </is>
      </c>
      <c r="B1295" s="1" t="n">
        <v>45701</v>
      </c>
      <c r="C1295" s="1" t="n">
        <v>45852</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7605-2025</t>
        </is>
      </c>
      <c r="B1296" s="1" t="n">
        <v>45705</v>
      </c>
      <c r="C1296" s="1" t="n">
        <v>45852</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8085-2025</t>
        </is>
      </c>
      <c r="B1297" s="1" t="n">
        <v>45707</v>
      </c>
      <c r="C1297" s="1" t="n">
        <v>45852</v>
      </c>
      <c r="D1297" t="inlineStr">
        <is>
          <t>DALARNAS LÄN</t>
        </is>
      </c>
      <c r="E1297" t="inlineStr">
        <is>
          <t>MALUNG-SÄLEN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7946-2025</t>
        </is>
      </c>
      <c r="B1298" s="1" t="n">
        <v>45707</v>
      </c>
      <c r="C1298" s="1" t="n">
        <v>45852</v>
      </c>
      <c r="D1298" t="inlineStr">
        <is>
          <t>DALARNAS LÄN</t>
        </is>
      </c>
      <c r="E1298" t="inlineStr">
        <is>
          <t>MALUNG-SÄLEN</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8424-2025</t>
        </is>
      </c>
      <c r="B1299" s="1" t="n">
        <v>45709</v>
      </c>
      <c r="C1299" s="1" t="n">
        <v>45852</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8458-2025</t>
        </is>
      </c>
      <c r="B1300" s="1" t="n">
        <v>45709</v>
      </c>
      <c r="C1300" s="1" t="n">
        <v>45852</v>
      </c>
      <c r="D1300" t="inlineStr">
        <is>
          <t>DALARNAS LÄN</t>
        </is>
      </c>
      <c r="E1300" t="inlineStr">
        <is>
          <t>MALUNG-SÄLEN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8425-2025</t>
        </is>
      </c>
      <c r="B1301" s="1" t="n">
        <v>45709</v>
      </c>
      <c r="C1301" s="1" t="n">
        <v>45852</v>
      </c>
      <c r="D1301" t="inlineStr">
        <is>
          <t>DALARNAS LÄN</t>
        </is>
      </c>
      <c r="E1301" t="inlineStr">
        <is>
          <t>MALUNG-SÄLEN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8735-2025</t>
        </is>
      </c>
      <c r="B1302" s="1" t="n">
        <v>45712</v>
      </c>
      <c r="C1302" s="1" t="n">
        <v>45852</v>
      </c>
      <c r="D1302" t="inlineStr">
        <is>
          <t>DALARNAS LÄN</t>
        </is>
      </c>
      <c r="E1302" t="inlineStr">
        <is>
          <t>MALUNG-SÄLEN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8762-2025</t>
        </is>
      </c>
      <c r="B1303" s="1" t="n">
        <v>45712</v>
      </c>
      <c r="C1303" s="1" t="n">
        <v>45852</v>
      </c>
      <c r="D1303" t="inlineStr">
        <is>
          <t>DALARNAS LÄN</t>
        </is>
      </c>
      <c r="E1303" t="inlineStr">
        <is>
          <t>MALUNG-SÄLEN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9037-2025</t>
        </is>
      </c>
      <c r="B1304" s="1" t="n">
        <v>45713</v>
      </c>
      <c r="C1304" s="1" t="n">
        <v>45852</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9168-2025</t>
        </is>
      </c>
      <c r="B1305" s="1" t="n">
        <v>45713</v>
      </c>
      <c r="C1305" s="1" t="n">
        <v>45852</v>
      </c>
      <c r="D1305" t="inlineStr">
        <is>
          <t>DALARNAS LÄN</t>
        </is>
      </c>
      <c r="E1305" t="inlineStr">
        <is>
          <t>MALUNG-SÄLEN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9170-2025</t>
        </is>
      </c>
      <c r="B1306" s="1" t="n">
        <v>45713</v>
      </c>
      <c r="C1306" s="1" t="n">
        <v>45852</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9065-2025</t>
        </is>
      </c>
      <c r="B1307" s="1" t="n">
        <v>45713</v>
      </c>
      <c r="C1307" s="1" t="n">
        <v>45852</v>
      </c>
      <c r="D1307" t="inlineStr">
        <is>
          <t>DALARNAS LÄN</t>
        </is>
      </c>
      <c r="E1307" t="inlineStr">
        <is>
          <t>MALUNG-SÄLEN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9196-2025</t>
        </is>
      </c>
      <c r="B1308" s="1" t="n">
        <v>45714</v>
      </c>
      <c r="C1308" s="1" t="n">
        <v>45852</v>
      </c>
      <c r="D1308" t="inlineStr">
        <is>
          <t>DALARNAS LÄN</t>
        </is>
      </c>
      <c r="E1308" t="inlineStr">
        <is>
          <t>MALUNG-SÄLEN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9351-2025</t>
        </is>
      </c>
      <c r="B1309" s="1" t="n">
        <v>45714</v>
      </c>
      <c r="C1309" s="1" t="n">
        <v>45852</v>
      </c>
      <c r="D1309" t="inlineStr">
        <is>
          <t>DALARNAS LÄN</t>
        </is>
      </c>
      <c r="E1309" t="inlineStr">
        <is>
          <t>MALUNG-SÄLEN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10363-2025</t>
        </is>
      </c>
      <c r="B1310" s="1" t="n">
        <v>45720</v>
      </c>
      <c r="C1310" s="1" t="n">
        <v>45852</v>
      </c>
      <c r="D1310" t="inlineStr">
        <is>
          <t>DALARNAS LÄN</t>
        </is>
      </c>
      <c r="E1310" t="inlineStr">
        <is>
          <t>MALUNG-SÄLEN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10367-2025</t>
        </is>
      </c>
      <c r="B1311" s="1" t="n">
        <v>45720</v>
      </c>
      <c r="C1311" s="1" t="n">
        <v>45852</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10364-2025</t>
        </is>
      </c>
      <c r="B1312" s="1" t="n">
        <v>45720</v>
      </c>
      <c r="C1312" s="1" t="n">
        <v>45852</v>
      </c>
      <c r="D1312" t="inlineStr">
        <is>
          <t>DALARNAS LÄN</t>
        </is>
      </c>
      <c r="E1312" t="inlineStr">
        <is>
          <t>MALUNG-SÄLEN</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10628-2025</t>
        </is>
      </c>
      <c r="B1313" s="1" t="n">
        <v>45721</v>
      </c>
      <c r="C1313" s="1" t="n">
        <v>45852</v>
      </c>
      <c r="D1313" t="inlineStr">
        <is>
          <t>DALARNAS LÄN</t>
        </is>
      </c>
      <c r="E1313" t="inlineStr">
        <is>
          <t>MALUNG-SÄLEN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10704-2025</t>
        </is>
      </c>
      <c r="B1314" s="1" t="n">
        <v>45722</v>
      </c>
      <c r="C1314" s="1" t="n">
        <v>45852</v>
      </c>
      <c r="D1314" t="inlineStr">
        <is>
          <t>DALARNAS LÄN</t>
        </is>
      </c>
      <c r="E1314" t="inlineStr">
        <is>
          <t>MALUNG-SÄLEN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11674-2025</t>
        </is>
      </c>
      <c r="B1315" s="1" t="n">
        <v>45726</v>
      </c>
      <c r="C1315" s="1" t="n">
        <v>45852</v>
      </c>
      <c r="D1315" t="inlineStr">
        <is>
          <t>DALARNAS LÄN</t>
        </is>
      </c>
      <c r="E1315" t="inlineStr">
        <is>
          <t>MALUNG-SÄLEN</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11496-2025</t>
        </is>
      </c>
      <c r="B1316" s="1" t="n">
        <v>45726</v>
      </c>
      <c r="C1316" s="1" t="n">
        <v>45852</v>
      </c>
      <c r="D1316" t="inlineStr">
        <is>
          <t>DALARNAS LÄN</t>
        </is>
      </c>
      <c r="E1316" t="inlineStr">
        <is>
          <t>MALUNG-SÄLEN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11589-2025</t>
        </is>
      </c>
      <c r="B1317" s="1" t="n">
        <v>45727</v>
      </c>
      <c r="C1317" s="1" t="n">
        <v>45852</v>
      </c>
      <c r="D1317" t="inlineStr">
        <is>
          <t>DALARNAS LÄN</t>
        </is>
      </c>
      <c r="E1317" t="inlineStr">
        <is>
          <t>MALUNG-SÄLEN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11593-2025</t>
        </is>
      </c>
      <c r="B1318" s="1" t="n">
        <v>45727</v>
      </c>
      <c r="C1318" s="1" t="n">
        <v>45852</v>
      </c>
      <c r="D1318" t="inlineStr">
        <is>
          <t>DALARNAS LÄN</t>
        </is>
      </c>
      <c r="E1318" t="inlineStr">
        <is>
          <t>MALUNG-SÄLEN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11875-2025</t>
        </is>
      </c>
      <c r="B1319" s="1" t="n">
        <v>45728</v>
      </c>
      <c r="C1319" s="1" t="n">
        <v>45852</v>
      </c>
      <c r="D1319" t="inlineStr">
        <is>
          <t>DALARNAS LÄN</t>
        </is>
      </c>
      <c r="E1319" t="inlineStr">
        <is>
          <t>MALUNG-SÄLEN</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13887-2025</t>
        </is>
      </c>
      <c r="B1320" s="1" t="n">
        <v>45737</v>
      </c>
      <c r="C1320" s="1" t="n">
        <v>45852</v>
      </c>
      <c r="D1320" t="inlineStr">
        <is>
          <t>DALARNAS LÄN</t>
        </is>
      </c>
      <c r="E1320" t="inlineStr">
        <is>
          <t>MALUNG-SÄLEN</t>
        </is>
      </c>
      <c r="F1320" t="inlineStr">
        <is>
          <t>Bergvik skog öst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14077-2025</t>
        </is>
      </c>
      <c r="B1321" s="1" t="n">
        <v>45740</v>
      </c>
      <c r="C1321" s="1" t="n">
        <v>45852</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15327-2025</t>
        </is>
      </c>
      <c r="B1322" s="1" t="n">
        <v>45747</v>
      </c>
      <c r="C1322" s="1" t="n">
        <v>45852</v>
      </c>
      <c r="D1322" t="inlineStr">
        <is>
          <t>DALARNAS LÄN</t>
        </is>
      </c>
      <c r="E1322" t="inlineStr">
        <is>
          <t>MALUNG-SÄLEN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15340-2025</t>
        </is>
      </c>
      <c r="B1323" s="1" t="n">
        <v>45747</v>
      </c>
      <c r="C1323" s="1" t="n">
        <v>45852</v>
      </c>
      <c r="D1323" t="inlineStr">
        <is>
          <t>DALARNAS LÄN</t>
        </is>
      </c>
      <c r="E1323" t="inlineStr">
        <is>
          <t>MALUNG-SÄLEN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15996-2025</t>
        </is>
      </c>
      <c r="B1324" s="1" t="n">
        <v>45749</v>
      </c>
      <c r="C1324" s="1" t="n">
        <v>45852</v>
      </c>
      <c r="D1324" t="inlineStr">
        <is>
          <t>DALARNAS LÄN</t>
        </is>
      </c>
      <c r="E1324" t="inlineStr">
        <is>
          <t>MALUNG-SÄLEN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16000-2025</t>
        </is>
      </c>
      <c r="B1325" s="1" t="n">
        <v>45749</v>
      </c>
      <c r="C1325" s="1" t="n">
        <v>45852</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16012-2025</t>
        </is>
      </c>
      <c r="B1326" s="1" t="n">
        <v>45749</v>
      </c>
      <c r="C1326" s="1" t="n">
        <v>45852</v>
      </c>
      <c r="D1326" t="inlineStr">
        <is>
          <t>DALARNAS LÄN</t>
        </is>
      </c>
      <c r="E1326" t="inlineStr">
        <is>
          <t>MALUNG-SÄLEN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16026-2025</t>
        </is>
      </c>
      <c r="B1327" s="1" t="n">
        <v>45749</v>
      </c>
      <c r="C1327" s="1" t="n">
        <v>45852</v>
      </c>
      <c r="D1327" t="inlineStr">
        <is>
          <t>DALARNAS LÄN</t>
        </is>
      </c>
      <c r="E1327" t="inlineStr">
        <is>
          <t>MALUNG-SÄLEN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15994-2025</t>
        </is>
      </c>
      <c r="B1328" s="1" t="n">
        <v>45749</v>
      </c>
      <c r="C1328" s="1" t="n">
        <v>45852</v>
      </c>
      <c r="D1328" t="inlineStr">
        <is>
          <t>DALARNAS LÄN</t>
        </is>
      </c>
      <c r="E1328" t="inlineStr">
        <is>
          <t>MALUNG-SÄLEN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17209-2025</t>
        </is>
      </c>
      <c r="B1329" s="1" t="n">
        <v>45756</v>
      </c>
      <c r="C1329" s="1" t="n">
        <v>45852</v>
      </c>
      <c r="D1329" t="inlineStr">
        <is>
          <t>DALARNAS LÄN</t>
        </is>
      </c>
      <c r="E1329" t="inlineStr">
        <is>
          <t>MALUNG-SÄLEN</t>
        </is>
      </c>
      <c r="F1329" t="inlineStr">
        <is>
          <t>Bergvik skog öst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17498-2025</t>
        </is>
      </c>
      <c r="B1330" s="1" t="n">
        <v>45757</v>
      </c>
      <c r="C1330" s="1" t="n">
        <v>45852</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17389-2025</t>
        </is>
      </c>
      <c r="B1331" s="1" t="n">
        <v>45757</v>
      </c>
      <c r="C1331" s="1" t="n">
        <v>45852</v>
      </c>
      <c r="D1331" t="inlineStr">
        <is>
          <t>DALARNAS LÄN</t>
        </is>
      </c>
      <c r="E1331" t="inlineStr">
        <is>
          <t>MALUNG-SÄLEN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17383-2025</t>
        </is>
      </c>
      <c r="B1332" s="1" t="n">
        <v>45757</v>
      </c>
      <c r="C1332" s="1" t="n">
        <v>45852</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17499-2025</t>
        </is>
      </c>
      <c r="B1333" s="1" t="n">
        <v>45757</v>
      </c>
      <c r="C1333" s="1" t="n">
        <v>45852</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17619-2025</t>
        </is>
      </c>
      <c r="B1334" s="1" t="n">
        <v>45757</v>
      </c>
      <c r="C1334" s="1" t="n">
        <v>45852</v>
      </c>
      <c r="D1334" t="inlineStr">
        <is>
          <t>DALARNAS LÄN</t>
        </is>
      </c>
      <c r="E1334" t="inlineStr">
        <is>
          <t>MALUNG-SÄLEN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18029-2025</t>
        </is>
      </c>
      <c r="B1335" s="1" t="n">
        <v>45761</v>
      </c>
      <c r="C1335" s="1" t="n">
        <v>45852</v>
      </c>
      <c r="D1335" t="inlineStr">
        <is>
          <t>DALARNAS LÄN</t>
        </is>
      </c>
      <c r="E1335" t="inlineStr">
        <is>
          <t>MALUNG-SÄLEN</t>
        </is>
      </c>
      <c r="F1335" t="inlineStr">
        <is>
          <t>Övriga statliga verk och myndigheter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18186-2025</t>
        </is>
      </c>
      <c r="B1336" s="1" t="n">
        <v>45761</v>
      </c>
      <c r="C1336" s="1" t="n">
        <v>45852</v>
      </c>
      <c r="D1336" t="inlineStr">
        <is>
          <t>DALARNAS LÄN</t>
        </is>
      </c>
      <c r="E1336" t="inlineStr">
        <is>
          <t>MALUNG-SÄLEN</t>
        </is>
      </c>
      <c r="F1336" t="inlineStr">
        <is>
          <t>Bergvik skog öst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18320-2025</t>
        </is>
      </c>
      <c r="B1337" s="1" t="n">
        <v>45762</v>
      </c>
      <c r="C1337" s="1" t="n">
        <v>45852</v>
      </c>
      <c r="D1337" t="inlineStr">
        <is>
          <t>DALARNAS LÄN</t>
        </is>
      </c>
      <c r="E1337" t="inlineStr">
        <is>
          <t>MALUNG-SÄLEN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18322-2025</t>
        </is>
      </c>
      <c r="B1338" s="1" t="n">
        <v>45762</v>
      </c>
      <c r="C1338" s="1" t="n">
        <v>45852</v>
      </c>
      <c r="D1338" t="inlineStr">
        <is>
          <t>DALARNAS LÄN</t>
        </is>
      </c>
      <c r="E1338" t="inlineStr">
        <is>
          <t>MALUNG-SÄLEN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18273-2025</t>
        </is>
      </c>
      <c r="B1339" s="1" t="n">
        <v>45762</v>
      </c>
      <c r="C1339" s="1" t="n">
        <v>45852</v>
      </c>
      <c r="D1339" t="inlineStr">
        <is>
          <t>DALARNAS LÄN</t>
        </is>
      </c>
      <c r="E1339" t="inlineStr">
        <is>
          <t>MALUNG-SÄLEN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18249-2025</t>
        </is>
      </c>
      <c r="B1340" s="1" t="n">
        <v>45762</v>
      </c>
      <c r="C1340" s="1" t="n">
        <v>45852</v>
      </c>
      <c r="D1340" t="inlineStr">
        <is>
          <t>DALARNAS LÄN</t>
        </is>
      </c>
      <c r="E1340" t="inlineStr">
        <is>
          <t>MALUNG-SÄLEN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18260-2025</t>
        </is>
      </c>
      <c r="B1341" s="1" t="n">
        <v>45762</v>
      </c>
      <c r="C1341" s="1" t="n">
        <v>45852</v>
      </c>
      <c r="D1341" t="inlineStr">
        <is>
          <t>DALARNAS LÄN</t>
        </is>
      </c>
      <c r="E1341" t="inlineStr">
        <is>
          <t>MALUNG-SÄLEN</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18660-2025</t>
        </is>
      </c>
      <c r="B1342" s="1" t="n">
        <v>45763</v>
      </c>
      <c r="C1342" s="1" t="n">
        <v>45852</v>
      </c>
      <c r="D1342" t="inlineStr">
        <is>
          <t>DALARNAS LÄN</t>
        </is>
      </c>
      <c r="E1342" t="inlineStr">
        <is>
          <t>MALUNG-SÄLEN</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18992-2025</t>
        </is>
      </c>
      <c r="B1343" s="1" t="n">
        <v>45764</v>
      </c>
      <c r="C1343" s="1" t="n">
        <v>45852</v>
      </c>
      <c r="D1343" t="inlineStr">
        <is>
          <t>DALARNAS LÄN</t>
        </is>
      </c>
      <c r="E1343" t="inlineStr">
        <is>
          <t>MALUNG-SÄLEN</t>
        </is>
      </c>
      <c r="F1343" t="inlineStr">
        <is>
          <t>Bergvik skog öst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19312-2025</t>
        </is>
      </c>
      <c r="B1344" s="1" t="n">
        <v>45769</v>
      </c>
      <c r="C1344" s="1" t="n">
        <v>45852</v>
      </c>
      <c r="D1344" t="inlineStr">
        <is>
          <t>DALARNAS LÄN</t>
        </is>
      </c>
      <c r="E1344" t="inlineStr">
        <is>
          <t>MALUNG-SÄLEN</t>
        </is>
      </c>
      <c r="F1344" t="inlineStr">
        <is>
          <t>Bergvik skog öst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19316-2025</t>
        </is>
      </c>
      <c r="B1345" s="1" t="n">
        <v>45769</v>
      </c>
      <c r="C1345" s="1" t="n">
        <v>45852</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19299-2025</t>
        </is>
      </c>
      <c r="B1346" s="1" t="n">
        <v>45769</v>
      </c>
      <c r="C1346" s="1" t="n">
        <v>45852</v>
      </c>
      <c r="D1346" t="inlineStr">
        <is>
          <t>DALARNAS LÄN</t>
        </is>
      </c>
      <c r="E1346" t="inlineStr">
        <is>
          <t>MALUNG-SÄLEN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19355-2025</t>
        </is>
      </c>
      <c r="B1347" s="1" t="n">
        <v>45769</v>
      </c>
      <c r="C1347" s="1" t="n">
        <v>45852</v>
      </c>
      <c r="D1347" t="inlineStr">
        <is>
          <t>DALARNAS LÄN</t>
        </is>
      </c>
      <c r="E1347" t="inlineStr">
        <is>
          <t>MALUNG-SÄLEN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20472-2025</t>
        </is>
      </c>
      <c r="B1348" s="1" t="n">
        <v>45775</v>
      </c>
      <c r="C1348" s="1" t="n">
        <v>45852</v>
      </c>
      <c r="D1348" t="inlineStr">
        <is>
          <t>DALARNAS LÄN</t>
        </is>
      </c>
      <c r="E1348" t="inlineStr">
        <is>
          <t>MALUNG-SÄLEN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20545-2025</t>
        </is>
      </c>
      <c r="B1349" s="1" t="n">
        <v>45775</v>
      </c>
      <c r="C1349" s="1" t="n">
        <v>45852</v>
      </c>
      <c r="D1349" t="inlineStr">
        <is>
          <t>DALARNAS LÄN</t>
        </is>
      </c>
      <c r="E1349" t="inlineStr">
        <is>
          <t>MALUNG-SÄLEN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20446-2025</t>
        </is>
      </c>
      <c r="B1350" s="1" t="n">
        <v>45775</v>
      </c>
      <c r="C1350" s="1" t="n">
        <v>45852</v>
      </c>
      <c r="D1350" t="inlineStr">
        <is>
          <t>DALARNAS LÄN</t>
        </is>
      </c>
      <c r="E1350" t="inlineStr">
        <is>
          <t>MALUNG-SÄLEN</t>
        </is>
      </c>
      <c r="F1350" t="inlineStr">
        <is>
          <t>Bergvik skog öst AB</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20514-2025</t>
        </is>
      </c>
      <c r="B1351" s="1" t="n">
        <v>45775</v>
      </c>
      <c r="C1351" s="1" t="n">
        <v>45852</v>
      </c>
      <c r="D1351" t="inlineStr">
        <is>
          <t>DALARNAS LÄN</t>
        </is>
      </c>
      <c r="E1351" t="inlineStr">
        <is>
          <t>MALUNG-SÄLEN</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20328-2025</t>
        </is>
      </c>
      <c r="B1352" s="1" t="n">
        <v>45775</v>
      </c>
      <c r="C1352" s="1" t="n">
        <v>45852</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20330-2025</t>
        </is>
      </c>
      <c r="B1353" s="1" t="n">
        <v>45775</v>
      </c>
      <c r="C1353" s="1" t="n">
        <v>45852</v>
      </c>
      <c r="D1353" t="inlineStr">
        <is>
          <t>DALARNAS LÄN</t>
        </is>
      </c>
      <c r="E1353" t="inlineStr">
        <is>
          <t>MALUNG-SÄLEN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21323-2025</t>
        </is>
      </c>
      <c r="B1354" s="1" t="n">
        <v>45782</v>
      </c>
      <c r="C1354" s="1" t="n">
        <v>45852</v>
      </c>
      <c r="D1354" t="inlineStr">
        <is>
          <t>DALARNAS LÄN</t>
        </is>
      </c>
      <c r="E1354" t="inlineStr">
        <is>
          <t>MALUNG-SÄLEN</t>
        </is>
      </c>
      <c r="F1354" t="inlineStr">
        <is>
          <t>Bergvik skog öst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22647-2025</t>
        </is>
      </c>
      <c r="B1355" s="1" t="n">
        <v>45789</v>
      </c>
      <c r="C1355" s="1" t="n">
        <v>45852</v>
      </c>
      <c r="D1355" t="inlineStr">
        <is>
          <t>DALARNAS LÄN</t>
        </is>
      </c>
      <c r="E1355" t="inlineStr">
        <is>
          <t>MALUNG-SÄLEN</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23793-2025</t>
        </is>
      </c>
      <c r="B1356" s="1" t="n">
        <v>45793</v>
      </c>
      <c r="C1356" s="1" t="n">
        <v>45852</v>
      </c>
      <c r="D1356" t="inlineStr">
        <is>
          <t>DALARNAS LÄN</t>
        </is>
      </c>
      <c r="E1356" t="inlineStr">
        <is>
          <t>MALUNG-SÄLEN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24138-2025</t>
        </is>
      </c>
      <c r="B1357" s="1" t="n">
        <v>45796</v>
      </c>
      <c r="C1357" s="1" t="n">
        <v>45852</v>
      </c>
      <c r="D1357" t="inlineStr">
        <is>
          <t>DALARNAS LÄN</t>
        </is>
      </c>
      <c r="E1357" t="inlineStr">
        <is>
          <t>MALUNG-SÄLEN</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45852</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45852</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45852</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24326-2025</t>
        </is>
      </c>
      <c r="B1361" s="1" t="n">
        <v>45797</v>
      </c>
      <c r="C1361" s="1" t="n">
        <v>45852</v>
      </c>
      <c r="D1361" t="inlineStr">
        <is>
          <t>DALARNAS LÄN</t>
        </is>
      </c>
      <c r="E1361" t="inlineStr">
        <is>
          <t>MALUNG-SÄLEN</t>
        </is>
      </c>
      <c r="F1361" t="inlineStr">
        <is>
          <t>Bergvik skog öst AB</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24210-2025</t>
        </is>
      </c>
      <c r="B1362" s="1" t="n">
        <v>45797</v>
      </c>
      <c r="C1362" s="1" t="n">
        <v>45852</v>
      </c>
      <c r="D1362" t="inlineStr">
        <is>
          <t>DALARNAS LÄN</t>
        </is>
      </c>
      <c r="E1362" t="inlineStr">
        <is>
          <t>MALUNG-SÄLEN</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c r="U1362">
        <f>HYPERLINK("https://klasma.github.io/Logging_202023/knärot/A 24210-2025 karta knärot.png", "A 24210-2025")</f>
        <v/>
      </c>
      <c r="V1362">
        <f>HYPERLINK("https://klasma.github.io/Logging_202023/klagomål/A 24210-2025 FSC-klagomål.docx", "A 24210-2025")</f>
        <v/>
      </c>
      <c r="W1362">
        <f>HYPERLINK("https://klasma.github.io/Logging_202023/klagomålsmail/A 24210-2025 FSC-klagomål mail.docx", "A 24210-2025")</f>
        <v/>
      </c>
      <c r="X1362">
        <f>HYPERLINK("https://klasma.github.io/Logging_202023/tillsyn/A 24210-2025 tillsynsbegäran.docx", "A 24210-2025")</f>
        <v/>
      </c>
      <c r="Y1362">
        <f>HYPERLINK("https://klasma.github.io/Logging_202023/tillsynsmail/A 24210-2025 tillsynsbegäran mail.docx", "A 24210-2025")</f>
        <v/>
      </c>
    </row>
    <row r="1363" ht="15" customHeight="1">
      <c r="A1363" t="inlineStr">
        <is>
          <t>A 24377-2025</t>
        </is>
      </c>
      <c r="B1363" s="1" t="n">
        <v>45797</v>
      </c>
      <c r="C1363" s="1" t="n">
        <v>45852</v>
      </c>
      <c r="D1363" t="inlineStr">
        <is>
          <t>DALARNAS LÄN</t>
        </is>
      </c>
      <c r="E1363" t="inlineStr">
        <is>
          <t>MALUNG-SÄLEN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24617-2025</t>
        </is>
      </c>
      <c r="B1364" s="1" t="n">
        <v>45798</v>
      </c>
      <c r="C1364" s="1" t="n">
        <v>45852</v>
      </c>
      <c r="D1364" t="inlineStr">
        <is>
          <t>DALARNAS LÄN</t>
        </is>
      </c>
      <c r="E1364" t="inlineStr">
        <is>
          <t>MALUNG-SÄLEN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24968-2025</t>
        </is>
      </c>
      <c r="B1365" s="1" t="n">
        <v>45799</v>
      </c>
      <c r="C1365" s="1" t="n">
        <v>45852</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25141-2025</t>
        </is>
      </c>
      <c r="B1366" s="1" t="n">
        <v>45800</v>
      </c>
      <c r="C1366" s="1" t="n">
        <v>45852</v>
      </c>
      <c r="D1366" t="inlineStr">
        <is>
          <t>DALARNAS LÄN</t>
        </is>
      </c>
      <c r="E1366" t="inlineStr">
        <is>
          <t>MALUNG-SÄLEN</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25146-2025</t>
        </is>
      </c>
      <c r="B1367" s="1" t="n">
        <v>45800</v>
      </c>
      <c r="C1367" s="1" t="n">
        <v>45852</v>
      </c>
      <c r="D1367" t="inlineStr">
        <is>
          <t>DALARNAS LÄN</t>
        </is>
      </c>
      <c r="E1367" t="inlineStr">
        <is>
          <t>MALUNG-SÄLEN</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45852</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25971-2025</t>
        </is>
      </c>
      <c r="B1369" s="1" t="n">
        <v>45804</v>
      </c>
      <c r="C1369" s="1" t="n">
        <v>45852</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45852</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25924-2025</t>
        </is>
      </c>
      <c r="B1371" s="1" t="n">
        <v>45804</v>
      </c>
      <c r="C1371" s="1" t="n">
        <v>45852</v>
      </c>
      <c r="D1371" t="inlineStr">
        <is>
          <t>DALARNAS LÄN</t>
        </is>
      </c>
      <c r="E1371" t="inlineStr">
        <is>
          <t>MALUNG-SÄLEN</t>
        </is>
      </c>
      <c r="F1371" t="inlineStr">
        <is>
          <t>Allmännings- och besparingsskogar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45852</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45852</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45852</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45852</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25891-2025</t>
        </is>
      </c>
      <c r="B1376" s="1" t="n">
        <v>45804</v>
      </c>
      <c r="C1376" s="1" t="n">
        <v>45852</v>
      </c>
      <c r="D1376" t="inlineStr">
        <is>
          <t>DALARNAS LÄN</t>
        </is>
      </c>
      <c r="E1376" t="inlineStr">
        <is>
          <t>MALUNG-SÄLEN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26008-2025</t>
        </is>
      </c>
      <c r="B1377" s="1" t="n">
        <v>45804</v>
      </c>
      <c r="C1377" s="1" t="n">
        <v>45852</v>
      </c>
      <c r="D1377" t="inlineStr">
        <is>
          <t>DALARNAS LÄN</t>
        </is>
      </c>
      <c r="E1377" t="inlineStr">
        <is>
          <t>MALUNG-SÄLEN</t>
        </is>
      </c>
      <c r="F1377" t="inlineStr">
        <is>
          <t>Allmännings- och besparingsskogar</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25777-2025</t>
        </is>
      </c>
      <c r="B1378" s="1" t="n">
        <v>45804</v>
      </c>
      <c r="C1378" s="1" t="n">
        <v>45852</v>
      </c>
      <c r="D1378" t="inlineStr">
        <is>
          <t>DALARNAS LÄN</t>
        </is>
      </c>
      <c r="E1378" t="inlineStr">
        <is>
          <t>MALUNG-SÄLEN</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25763-2025</t>
        </is>
      </c>
      <c r="B1379" s="1" t="n">
        <v>45804</v>
      </c>
      <c r="C1379" s="1" t="n">
        <v>45852</v>
      </c>
      <c r="D1379" t="inlineStr">
        <is>
          <t>DALARNAS LÄN</t>
        </is>
      </c>
      <c r="E1379" t="inlineStr">
        <is>
          <t>MALUNG-SÄLEN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45852</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26138-2025</t>
        </is>
      </c>
      <c r="B1381" s="1" t="n">
        <v>45805</v>
      </c>
      <c r="C1381" s="1" t="n">
        <v>45852</v>
      </c>
      <c r="D1381" t="inlineStr">
        <is>
          <t>DALARNAS LÄN</t>
        </is>
      </c>
      <c r="E1381" t="inlineStr">
        <is>
          <t>MALUNG-SÄLEN</t>
        </is>
      </c>
      <c r="F1381" t="inlineStr">
        <is>
          <t>Bergvik skog öst AB</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26235-2025</t>
        </is>
      </c>
      <c r="B1382" s="1" t="n">
        <v>45805</v>
      </c>
      <c r="C1382" s="1" t="n">
        <v>45852</v>
      </c>
      <c r="D1382" t="inlineStr">
        <is>
          <t>DALARNAS LÄN</t>
        </is>
      </c>
      <c r="E1382" t="inlineStr">
        <is>
          <t>MALUNG-SÄLEN</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26185-2025</t>
        </is>
      </c>
      <c r="B1383" s="1" t="n">
        <v>45805</v>
      </c>
      <c r="C1383" s="1" t="n">
        <v>45852</v>
      </c>
      <c r="D1383" t="inlineStr">
        <is>
          <t>DALARNAS LÄN</t>
        </is>
      </c>
      <c r="E1383" t="inlineStr">
        <is>
          <t>MALUNG-SÄLEN</t>
        </is>
      </c>
      <c r="F1383" t="inlineStr">
        <is>
          <t>Allmännings- och besparingsskogar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26396-2025</t>
        </is>
      </c>
      <c r="B1384" s="1" t="n">
        <v>45807</v>
      </c>
      <c r="C1384" s="1" t="n">
        <v>45852</v>
      </c>
      <c r="D1384" t="inlineStr">
        <is>
          <t>DALARNAS LÄN</t>
        </is>
      </c>
      <c r="E1384" t="inlineStr">
        <is>
          <t>MALUNG-SÄLEN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26454-2025</t>
        </is>
      </c>
      <c r="B1385" s="1" t="n">
        <v>45807</v>
      </c>
      <c r="C1385" s="1" t="n">
        <v>45852</v>
      </c>
      <c r="D1385" t="inlineStr">
        <is>
          <t>DALARNAS LÄN</t>
        </is>
      </c>
      <c r="E1385" t="inlineStr">
        <is>
          <t>MALUNG-SÄLEN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26460-2025</t>
        </is>
      </c>
      <c r="B1386" s="1" t="n">
        <v>45807</v>
      </c>
      <c r="C1386" s="1" t="n">
        <v>45852</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26852-2025</t>
        </is>
      </c>
      <c r="B1387" s="1" t="n">
        <v>45810</v>
      </c>
      <c r="C1387" s="1" t="n">
        <v>45852</v>
      </c>
      <c r="D1387" t="inlineStr">
        <is>
          <t>DALARNAS LÄN</t>
        </is>
      </c>
      <c r="E1387" t="inlineStr">
        <is>
          <t>MALUNG-SÄLEN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28021-2025</t>
        </is>
      </c>
      <c r="B1388" s="1" t="n">
        <v>45817</v>
      </c>
      <c r="C1388" s="1" t="n">
        <v>45852</v>
      </c>
      <c r="D1388" t="inlineStr">
        <is>
          <t>DALARNAS LÄN</t>
        </is>
      </c>
      <c r="E1388" t="inlineStr">
        <is>
          <t>MALUNG-SÄLEN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28038-2025</t>
        </is>
      </c>
      <c r="B1389" s="1" t="n">
        <v>45817</v>
      </c>
      <c r="C1389" s="1" t="n">
        <v>45852</v>
      </c>
      <c r="D1389" t="inlineStr">
        <is>
          <t>DALARNAS LÄN</t>
        </is>
      </c>
      <c r="E1389" t="inlineStr">
        <is>
          <t>MALUNG-SÄLEN</t>
        </is>
      </c>
      <c r="F1389" t="inlineStr">
        <is>
          <t>Kommuner</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28083-2025</t>
        </is>
      </c>
      <c r="B1390" s="1" t="n">
        <v>45817</v>
      </c>
      <c r="C1390" s="1" t="n">
        <v>45852</v>
      </c>
      <c r="D1390" t="inlineStr">
        <is>
          <t>DALARNAS LÄN</t>
        </is>
      </c>
      <c r="E1390" t="inlineStr">
        <is>
          <t>MALUNG-SÄLEN</t>
        </is>
      </c>
      <c r="F1390" t="inlineStr">
        <is>
          <t>Allmännings- och besparingsskogar</t>
        </is>
      </c>
      <c r="G1390" t="n">
        <v>28.4</v>
      </c>
      <c r="H1390" t="n">
        <v>0</v>
      </c>
      <c r="I1390" t="n">
        <v>0</v>
      </c>
      <c r="J1390" t="n">
        <v>0</v>
      </c>
      <c r="K1390" t="n">
        <v>0</v>
      </c>
      <c r="L1390" t="n">
        <v>0</v>
      </c>
      <c r="M1390" t="n">
        <v>0</v>
      </c>
      <c r="N1390" t="n">
        <v>0</v>
      </c>
      <c r="O1390" t="n">
        <v>0</v>
      </c>
      <c r="P1390" t="n">
        <v>0</v>
      </c>
      <c r="Q1390" t="n">
        <v>0</v>
      </c>
      <c r="R1390" s="2" t="inlineStr"/>
    </row>
    <row r="1391" ht="15" customHeight="1">
      <c r="A1391" t="inlineStr">
        <is>
          <t>A 28191-2025</t>
        </is>
      </c>
      <c r="B1391" s="1" t="n">
        <v>45818</v>
      </c>
      <c r="C1391" s="1" t="n">
        <v>45852</v>
      </c>
      <c r="D1391" t="inlineStr">
        <is>
          <t>DALARNAS LÄN</t>
        </is>
      </c>
      <c r="E1391" t="inlineStr">
        <is>
          <t>MALUNG-SÄLEN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28192-2025</t>
        </is>
      </c>
      <c r="B1392" s="1" t="n">
        <v>45818</v>
      </c>
      <c r="C1392" s="1" t="n">
        <v>45852</v>
      </c>
      <c r="D1392" t="inlineStr">
        <is>
          <t>DALARNAS LÄN</t>
        </is>
      </c>
      <c r="E1392" t="inlineStr">
        <is>
          <t>MALUNG-SÄLEN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28133-2025</t>
        </is>
      </c>
      <c r="B1393" s="1" t="n">
        <v>45818</v>
      </c>
      <c r="C1393" s="1" t="n">
        <v>45852</v>
      </c>
      <c r="D1393" t="inlineStr">
        <is>
          <t>DALARNAS LÄN</t>
        </is>
      </c>
      <c r="E1393" t="inlineStr">
        <is>
          <t>MALUNG-SÄLEN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28268-2025</t>
        </is>
      </c>
      <c r="B1394" s="1" t="n">
        <v>45818</v>
      </c>
      <c r="C1394" s="1" t="n">
        <v>45852</v>
      </c>
      <c r="D1394" t="inlineStr">
        <is>
          <t>DALARNAS LÄN</t>
        </is>
      </c>
      <c r="E1394" t="inlineStr">
        <is>
          <t>MALUNG-SÄLEN</t>
        </is>
      </c>
      <c r="F1394" t="inlineStr">
        <is>
          <t>Övriga statliga verk och myndigheter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28542-2025</t>
        </is>
      </c>
      <c r="B1395" s="1" t="n">
        <v>45818</v>
      </c>
      <c r="C1395" s="1" t="n">
        <v>45852</v>
      </c>
      <c r="D1395" t="inlineStr">
        <is>
          <t>DALARNAS LÄN</t>
        </is>
      </c>
      <c r="E1395" t="inlineStr">
        <is>
          <t>MALUNG-SÄLEN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28518-2025</t>
        </is>
      </c>
      <c r="B1396" s="1" t="n">
        <v>45819</v>
      </c>
      <c r="C1396" s="1" t="n">
        <v>45852</v>
      </c>
      <c r="D1396" t="inlineStr">
        <is>
          <t>DALARNAS LÄN</t>
        </is>
      </c>
      <c r="E1396" t="inlineStr">
        <is>
          <t>MALUNG-SÄLEN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28850-2025</t>
        </is>
      </c>
      <c r="B1397" s="1" t="n">
        <v>45820</v>
      </c>
      <c r="C1397" s="1" t="n">
        <v>45852</v>
      </c>
      <c r="D1397" t="inlineStr">
        <is>
          <t>DALARNAS LÄN</t>
        </is>
      </c>
      <c r="E1397" t="inlineStr">
        <is>
          <t>MALUNG-SÄLEN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28864-2025</t>
        </is>
      </c>
      <c r="B1398" s="1" t="n">
        <v>45820</v>
      </c>
      <c r="C1398" s="1" t="n">
        <v>45852</v>
      </c>
      <c r="D1398" t="inlineStr">
        <is>
          <t>DALARNAS LÄN</t>
        </is>
      </c>
      <c r="E1398" t="inlineStr">
        <is>
          <t>MALUNG-SÄLEN</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28856-2025</t>
        </is>
      </c>
      <c r="B1399" s="1" t="n">
        <v>45820</v>
      </c>
      <c r="C1399" s="1" t="n">
        <v>45852</v>
      </c>
      <c r="D1399" t="inlineStr">
        <is>
          <t>DALARNAS LÄN</t>
        </is>
      </c>
      <c r="E1399" t="inlineStr">
        <is>
          <t>MALUNG-SÄLEN</t>
        </is>
      </c>
      <c r="G1399" t="n">
        <v>15.1</v>
      </c>
      <c r="H1399" t="n">
        <v>0</v>
      </c>
      <c r="I1399" t="n">
        <v>0</v>
      </c>
      <c r="J1399" t="n">
        <v>0</v>
      </c>
      <c r="K1399" t="n">
        <v>0</v>
      </c>
      <c r="L1399" t="n">
        <v>0</v>
      </c>
      <c r="M1399" t="n">
        <v>0</v>
      </c>
      <c r="N1399" t="n">
        <v>0</v>
      </c>
      <c r="O1399" t="n">
        <v>0</v>
      </c>
      <c r="P1399" t="n">
        <v>0</v>
      </c>
      <c r="Q1399" t="n">
        <v>0</v>
      </c>
      <c r="R1399" s="2" t="inlineStr"/>
    </row>
    <row r="1400" ht="15" customHeight="1">
      <c r="A1400" t="inlineStr">
        <is>
          <t>A 28764-2025</t>
        </is>
      </c>
      <c r="B1400" s="1" t="n">
        <v>45820</v>
      </c>
      <c r="C1400" s="1" t="n">
        <v>45852</v>
      </c>
      <c r="D1400" t="inlineStr">
        <is>
          <t>DALARNAS LÄN</t>
        </is>
      </c>
      <c r="E1400" t="inlineStr">
        <is>
          <t>MALUNG-SÄLEN</t>
        </is>
      </c>
      <c r="F1400" t="inlineStr">
        <is>
          <t>Allmännings- och besparingsskogar</t>
        </is>
      </c>
      <c r="G1400" t="n">
        <v>32.7</v>
      </c>
      <c r="H1400" t="n">
        <v>0</v>
      </c>
      <c r="I1400" t="n">
        <v>0</v>
      </c>
      <c r="J1400" t="n">
        <v>0</v>
      </c>
      <c r="K1400" t="n">
        <v>0</v>
      </c>
      <c r="L1400" t="n">
        <v>0</v>
      </c>
      <c r="M1400" t="n">
        <v>0</v>
      </c>
      <c r="N1400" t="n">
        <v>0</v>
      </c>
      <c r="O1400" t="n">
        <v>0</v>
      </c>
      <c r="P1400" t="n">
        <v>0</v>
      </c>
      <c r="Q1400" t="n">
        <v>0</v>
      </c>
      <c r="R1400" s="2" t="inlineStr"/>
    </row>
    <row r="1401" ht="15" customHeight="1">
      <c r="A1401" t="inlineStr">
        <is>
          <t>A 29040-2025</t>
        </is>
      </c>
      <c r="B1401" s="1" t="n">
        <v>45821</v>
      </c>
      <c r="C1401" s="1" t="n">
        <v>45852</v>
      </c>
      <c r="D1401" t="inlineStr">
        <is>
          <t>DALARNAS LÄN</t>
        </is>
      </c>
      <c r="E1401" t="inlineStr">
        <is>
          <t>MALUNG-SÄLEN</t>
        </is>
      </c>
      <c r="F1401" t="inlineStr">
        <is>
          <t>Bergvik skog öst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29052-2025</t>
        </is>
      </c>
      <c r="B1402" s="1" t="n">
        <v>45821</v>
      </c>
      <c r="C1402" s="1" t="n">
        <v>45852</v>
      </c>
      <c r="D1402" t="inlineStr">
        <is>
          <t>DALARNAS LÄN</t>
        </is>
      </c>
      <c r="E1402" t="inlineStr">
        <is>
          <t>MALUNG-SÄLEN</t>
        </is>
      </c>
      <c r="F1402" t="inlineStr">
        <is>
          <t>Bergvik skog öst AB</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29041-2025</t>
        </is>
      </c>
      <c r="B1403" s="1" t="n">
        <v>45821</v>
      </c>
      <c r="C1403" s="1" t="n">
        <v>45852</v>
      </c>
      <c r="D1403" t="inlineStr">
        <is>
          <t>DALARNAS LÄN</t>
        </is>
      </c>
      <c r="E1403" t="inlineStr">
        <is>
          <t>MALUNG-SÄLEN</t>
        </is>
      </c>
      <c r="F1403" t="inlineStr">
        <is>
          <t>Bergvik skog öst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29097-2025</t>
        </is>
      </c>
      <c r="B1404" s="1" t="n">
        <v>45821</v>
      </c>
      <c r="C1404" s="1" t="n">
        <v>45852</v>
      </c>
      <c r="D1404" t="inlineStr">
        <is>
          <t>DALARNAS LÄN</t>
        </is>
      </c>
      <c r="E1404" t="inlineStr">
        <is>
          <t>MALUNG-SÄLEN</t>
        </is>
      </c>
      <c r="F1404" t="inlineStr">
        <is>
          <t>Bergvik skog öst AB</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29424-2025</t>
        </is>
      </c>
      <c r="B1405" s="1" t="n">
        <v>45824</v>
      </c>
      <c r="C1405" s="1" t="n">
        <v>45852</v>
      </c>
      <c r="D1405" t="inlineStr">
        <is>
          <t>DALARNAS LÄN</t>
        </is>
      </c>
      <c r="E1405" t="inlineStr">
        <is>
          <t>MALUNG-SÄLEN</t>
        </is>
      </c>
      <c r="F1405" t="inlineStr">
        <is>
          <t>Bergvik skog väst AB</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29458-2025</t>
        </is>
      </c>
      <c r="B1406" s="1" t="n">
        <v>45824</v>
      </c>
      <c r="C1406" s="1" t="n">
        <v>45852</v>
      </c>
      <c r="D1406" t="inlineStr">
        <is>
          <t>DALARNAS LÄN</t>
        </is>
      </c>
      <c r="E1406" t="inlineStr">
        <is>
          <t>MALUNG-SÄLEN</t>
        </is>
      </c>
      <c r="F1406" t="inlineStr">
        <is>
          <t>Bergvik skog väst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29259-2025</t>
        </is>
      </c>
      <c r="B1407" s="1" t="n">
        <v>45824</v>
      </c>
      <c r="C1407" s="1" t="n">
        <v>45852</v>
      </c>
      <c r="D1407" t="inlineStr">
        <is>
          <t>DALARNAS LÄN</t>
        </is>
      </c>
      <c r="E1407" t="inlineStr">
        <is>
          <t>MALUNG-SÄLEN</t>
        </is>
      </c>
      <c r="F1407" t="inlineStr">
        <is>
          <t>Bergvik skog väst AB</t>
        </is>
      </c>
      <c r="G1407" t="n">
        <v>9</v>
      </c>
      <c r="H1407" t="n">
        <v>0</v>
      </c>
      <c r="I1407" t="n">
        <v>0</v>
      </c>
      <c r="J1407" t="n">
        <v>0</v>
      </c>
      <c r="K1407" t="n">
        <v>0</v>
      </c>
      <c r="L1407" t="n">
        <v>0</v>
      </c>
      <c r="M1407" t="n">
        <v>0</v>
      </c>
      <c r="N1407" t="n">
        <v>0</v>
      </c>
      <c r="O1407" t="n">
        <v>0</v>
      </c>
      <c r="P1407" t="n">
        <v>0</v>
      </c>
      <c r="Q1407" t="n">
        <v>0</v>
      </c>
      <c r="R1407" s="2" t="inlineStr"/>
    </row>
    <row r="1408" ht="15" customHeight="1">
      <c r="A1408" t="inlineStr">
        <is>
          <t>A 29363-2025</t>
        </is>
      </c>
      <c r="B1408" s="1" t="n">
        <v>45824</v>
      </c>
      <c r="C1408" s="1" t="n">
        <v>45852</v>
      </c>
      <c r="D1408" t="inlineStr">
        <is>
          <t>DALARNAS LÄN</t>
        </is>
      </c>
      <c r="E1408" t="inlineStr">
        <is>
          <t>MALUNG-SÄLEN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29359-2025</t>
        </is>
      </c>
      <c r="B1409" s="1" t="n">
        <v>45824</v>
      </c>
      <c r="C1409" s="1" t="n">
        <v>45852</v>
      </c>
      <c r="D1409" t="inlineStr">
        <is>
          <t>DALARNAS LÄN</t>
        </is>
      </c>
      <c r="E1409" t="inlineStr">
        <is>
          <t>MALUNG-SÄLEN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29257-2025</t>
        </is>
      </c>
      <c r="B1410" s="1" t="n">
        <v>45824</v>
      </c>
      <c r="C1410" s="1" t="n">
        <v>45852</v>
      </c>
      <c r="D1410" t="inlineStr">
        <is>
          <t>DALARNAS LÄN</t>
        </is>
      </c>
      <c r="E1410" t="inlineStr">
        <is>
          <t>MALUNG-SÄLEN</t>
        </is>
      </c>
      <c r="F1410" t="inlineStr">
        <is>
          <t>Bergvik skog väst AB</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29398-2025</t>
        </is>
      </c>
      <c r="B1411" s="1" t="n">
        <v>45824</v>
      </c>
      <c r="C1411" s="1" t="n">
        <v>45852</v>
      </c>
      <c r="D1411" t="inlineStr">
        <is>
          <t>DALARNAS LÄN</t>
        </is>
      </c>
      <c r="E1411" t="inlineStr">
        <is>
          <t>MALUNG-SÄLEN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29362-2025</t>
        </is>
      </c>
      <c r="B1412" s="1" t="n">
        <v>45824</v>
      </c>
      <c r="C1412" s="1" t="n">
        <v>45852</v>
      </c>
      <c r="D1412" t="inlineStr">
        <is>
          <t>DALARNAS LÄN</t>
        </is>
      </c>
      <c r="E1412" t="inlineStr">
        <is>
          <t>MALUNG-SÄLEN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29365-2025</t>
        </is>
      </c>
      <c r="B1413" s="1" t="n">
        <v>45824</v>
      </c>
      <c r="C1413" s="1" t="n">
        <v>45852</v>
      </c>
      <c r="D1413" t="inlineStr">
        <is>
          <t>DALARNAS LÄN</t>
        </is>
      </c>
      <c r="E1413" t="inlineStr">
        <is>
          <t>MALUNG-SÄLEN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29950-2025</t>
        </is>
      </c>
      <c r="B1414" s="1" t="n">
        <v>45826</v>
      </c>
      <c r="C1414" s="1" t="n">
        <v>45852</v>
      </c>
      <c r="D1414" t="inlineStr">
        <is>
          <t>DALARNAS LÄN</t>
        </is>
      </c>
      <c r="E1414" t="inlineStr">
        <is>
          <t>MALUNG-SÄLEN</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29913-2025</t>
        </is>
      </c>
      <c r="B1415" s="1" t="n">
        <v>45826</v>
      </c>
      <c r="C1415" s="1" t="n">
        <v>45852</v>
      </c>
      <c r="D1415" t="inlineStr">
        <is>
          <t>DALARNAS LÄN</t>
        </is>
      </c>
      <c r="E1415" t="inlineStr">
        <is>
          <t>MALUNG-SÄLEN</t>
        </is>
      </c>
      <c r="F1415" t="inlineStr">
        <is>
          <t>Allmännings- och besparingsskogar</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30176-2025</t>
        </is>
      </c>
      <c r="B1416" s="1" t="n">
        <v>45827</v>
      </c>
      <c r="C1416" s="1" t="n">
        <v>45852</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30821-2025</t>
        </is>
      </c>
      <c r="B1417" s="1" t="n">
        <v>45831</v>
      </c>
      <c r="C1417" s="1" t="n">
        <v>45852</v>
      </c>
      <c r="D1417" t="inlineStr">
        <is>
          <t>DALARNAS LÄN</t>
        </is>
      </c>
      <c r="E1417" t="inlineStr">
        <is>
          <t>MALUNG-SÄLEN</t>
        </is>
      </c>
      <c r="F1417" t="inlineStr">
        <is>
          <t>Kommuner</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30808-2025</t>
        </is>
      </c>
      <c r="B1418" s="1" t="n">
        <v>45831</v>
      </c>
      <c r="C1418" s="1" t="n">
        <v>45852</v>
      </c>
      <c r="D1418" t="inlineStr">
        <is>
          <t>DALARNAS LÄN</t>
        </is>
      </c>
      <c r="E1418" t="inlineStr">
        <is>
          <t>MALUNG-SÄLEN</t>
        </is>
      </c>
      <c r="F1418" t="inlineStr">
        <is>
          <t>Kommuner</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30812-2025</t>
        </is>
      </c>
      <c r="B1419" s="1" t="n">
        <v>45831</v>
      </c>
      <c r="C1419" s="1" t="n">
        <v>45852</v>
      </c>
      <c r="D1419" t="inlineStr">
        <is>
          <t>DALARNAS LÄN</t>
        </is>
      </c>
      <c r="E1419" t="inlineStr">
        <is>
          <t>MALUNG-SÄLEN</t>
        </is>
      </c>
      <c r="F1419" t="inlineStr">
        <is>
          <t>Kommuner</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30633-2025</t>
        </is>
      </c>
      <c r="B1420" s="1" t="n">
        <v>45831</v>
      </c>
      <c r="C1420" s="1" t="n">
        <v>45852</v>
      </c>
      <c r="D1420" t="inlineStr">
        <is>
          <t>DALARNAS LÄN</t>
        </is>
      </c>
      <c r="E1420" t="inlineStr">
        <is>
          <t>MALUNG-SÄLEN</t>
        </is>
      </c>
      <c r="F1420" t="inlineStr">
        <is>
          <t>Bergvik skog öst AB</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30566-2025</t>
        </is>
      </c>
      <c r="B1421" s="1" t="n">
        <v>45831</v>
      </c>
      <c r="C1421" s="1" t="n">
        <v>45852</v>
      </c>
      <c r="D1421" t="inlineStr">
        <is>
          <t>DALARNAS LÄN</t>
        </is>
      </c>
      <c r="E1421" t="inlineStr">
        <is>
          <t>MALUNG-SÄLEN</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30524-2025</t>
        </is>
      </c>
      <c r="B1422" s="1" t="n">
        <v>45831</v>
      </c>
      <c r="C1422" s="1" t="n">
        <v>45852</v>
      </c>
      <c r="D1422" t="inlineStr">
        <is>
          <t>DALARNAS LÄN</t>
        </is>
      </c>
      <c r="E1422" t="inlineStr">
        <is>
          <t>MALUNG-SÄLEN</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30919-2025</t>
        </is>
      </c>
      <c r="B1423" s="1" t="n">
        <v>45832</v>
      </c>
      <c r="C1423" s="1" t="n">
        <v>45852</v>
      </c>
      <c r="D1423" t="inlineStr">
        <is>
          <t>DALARNAS LÄN</t>
        </is>
      </c>
      <c r="E1423" t="inlineStr">
        <is>
          <t>MALUNG-SÄLEN</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31067-2025</t>
        </is>
      </c>
      <c r="B1424" s="1" t="n">
        <v>45832</v>
      </c>
      <c r="C1424" s="1" t="n">
        <v>45852</v>
      </c>
      <c r="D1424" t="inlineStr">
        <is>
          <t>DALARNAS LÄN</t>
        </is>
      </c>
      <c r="E1424" t="inlineStr">
        <is>
          <t>MALUNG-SÄLEN</t>
        </is>
      </c>
      <c r="F1424" t="inlineStr">
        <is>
          <t>Bergvik skog öst AB</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30914-2025</t>
        </is>
      </c>
      <c r="B1425" s="1" t="n">
        <v>45832</v>
      </c>
      <c r="C1425" s="1" t="n">
        <v>45852</v>
      </c>
      <c r="D1425" t="inlineStr">
        <is>
          <t>DALARNAS LÄN</t>
        </is>
      </c>
      <c r="E1425" t="inlineStr">
        <is>
          <t>MALUNG-SÄLEN</t>
        </is>
      </c>
      <c r="F1425" t="inlineStr">
        <is>
          <t>Bergvik skog öst AB</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31537-2025</t>
        </is>
      </c>
      <c r="B1426" s="1" t="n">
        <v>45833</v>
      </c>
      <c r="C1426" s="1" t="n">
        <v>45852</v>
      </c>
      <c r="D1426" t="inlineStr">
        <is>
          <t>DALARNAS LÄN</t>
        </is>
      </c>
      <c r="E1426" t="inlineStr">
        <is>
          <t>MALUNG-SÄLEN</t>
        </is>
      </c>
      <c r="F1426" t="inlineStr">
        <is>
          <t>Allmännings- och besparingsskogar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31534-2025</t>
        </is>
      </c>
      <c r="B1427" s="1" t="n">
        <v>45833</v>
      </c>
      <c r="C1427" s="1" t="n">
        <v>45852</v>
      </c>
      <c r="D1427" t="inlineStr">
        <is>
          <t>DALARNAS LÄN</t>
        </is>
      </c>
      <c r="E1427" t="inlineStr">
        <is>
          <t>MALUNG-SÄLEN</t>
        </is>
      </c>
      <c r="F1427" t="inlineStr">
        <is>
          <t>Allmännings- och besparingsskogar</t>
        </is>
      </c>
      <c r="G1427" t="n">
        <v>27.3</v>
      </c>
      <c r="H1427" t="n">
        <v>0</v>
      </c>
      <c r="I1427" t="n">
        <v>0</v>
      </c>
      <c r="J1427" t="n">
        <v>0</v>
      </c>
      <c r="K1427" t="n">
        <v>0</v>
      </c>
      <c r="L1427" t="n">
        <v>0</v>
      </c>
      <c r="M1427" t="n">
        <v>0</v>
      </c>
      <c r="N1427" t="n">
        <v>0</v>
      </c>
      <c r="O1427" t="n">
        <v>0</v>
      </c>
      <c r="P1427" t="n">
        <v>0</v>
      </c>
      <c r="Q1427" t="n">
        <v>0</v>
      </c>
      <c r="R1427" s="2" t="inlineStr"/>
    </row>
    <row r="1428" ht="15" customHeight="1">
      <c r="A1428" t="inlineStr">
        <is>
          <t>A 31700-2025</t>
        </is>
      </c>
      <c r="B1428" s="1" t="n">
        <v>45834</v>
      </c>
      <c r="C1428" s="1" t="n">
        <v>45852</v>
      </c>
      <c r="D1428" t="inlineStr">
        <is>
          <t>DALARNAS LÄN</t>
        </is>
      </c>
      <c r="E1428" t="inlineStr">
        <is>
          <t>MALUNG-SÄLEN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32153-2025</t>
        </is>
      </c>
      <c r="B1429" s="1" t="n">
        <v>45835</v>
      </c>
      <c r="C1429" s="1" t="n">
        <v>45852</v>
      </c>
      <c r="D1429" t="inlineStr">
        <is>
          <t>DALARNAS LÄN</t>
        </is>
      </c>
      <c r="E1429" t="inlineStr">
        <is>
          <t>MALUNG-SÄLEN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31998-2025</t>
        </is>
      </c>
      <c r="B1430" s="1" t="n">
        <v>45835</v>
      </c>
      <c r="C1430" s="1" t="n">
        <v>45852</v>
      </c>
      <c r="D1430" t="inlineStr">
        <is>
          <t>DALARNAS LÄN</t>
        </is>
      </c>
      <c r="E1430" t="inlineStr">
        <is>
          <t>MALUNG-SÄLEN</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32117-2025</t>
        </is>
      </c>
      <c r="B1431" s="1" t="n">
        <v>45835</v>
      </c>
      <c r="C1431" s="1" t="n">
        <v>45852</v>
      </c>
      <c r="D1431" t="inlineStr">
        <is>
          <t>DALARNAS LÄN</t>
        </is>
      </c>
      <c r="E1431" t="inlineStr">
        <is>
          <t>MALUNG-SÄLEN</t>
        </is>
      </c>
      <c r="G1431" t="n">
        <v>34.5</v>
      </c>
      <c r="H1431" t="n">
        <v>0</v>
      </c>
      <c r="I1431" t="n">
        <v>0</v>
      </c>
      <c r="J1431" t="n">
        <v>0</v>
      </c>
      <c r="K1431" t="n">
        <v>0</v>
      </c>
      <c r="L1431" t="n">
        <v>0</v>
      </c>
      <c r="M1431" t="n">
        <v>0</v>
      </c>
      <c r="N1431" t="n">
        <v>0</v>
      </c>
      <c r="O1431" t="n">
        <v>0</v>
      </c>
      <c r="P1431" t="n">
        <v>0</v>
      </c>
      <c r="Q1431" t="n">
        <v>0</v>
      </c>
      <c r="R1431" s="2" t="inlineStr"/>
    </row>
    <row r="1432" ht="15" customHeight="1">
      <c r="A1432" t="inlineStr">
        <is>
          <t>A 32129-2025</t>
        </is>
      </c>
      <c r="B1432" s="1" t="n">
        <v>45835</v>
      </c>
      <c r="C1432" s="1" t="n">
        <v>45852</v>
      </c>
      <c r="D1432" t="inlineStr">
        <is>
          <t>DALARNAS LÄN</t>
        </is>
      </c>
      <c r="E1432" t="inlineStr">
        <is>
          <t>MALUNG-SÄLEN</t>
        </is>
      </c>
      <c r="G1432" t="n">
        <v>26.3</v>
      </c>
      <c r="H1432" t="n">
        <v>0</v>
      </c>
      <c r="I1432" t="n">
        <v>0</v>
      </c>
      <c r="J1432" t="n">
        <v>0</v>
      </c>
      <c r="K1432" t="n">
        <v>0</v>
      </c>
      <c r="L1432" t="n">
        <v>0</v>
      </c>
      <c r="M1432" t="n">
        <v>0</v>
      </c>
      <c r="N1432" t="n">
        <v>0</v>
      </c>
      <c r="O1432" t="n">
        <v>0</v>
      </c>
      <c r="P1432" t="n">
        <v>0</v>
      </c>
      <c r="Q1432" t="n">
        <v>0</v>
      </c>
      <c r="R1432" s="2" t="inlineStr"/>
    </row>
    <row r="1433" ht="15" customHeight="1">
      <c r="A1433" t="inlineStr">
        <is>
          <t>A 32420-2025</t>
        </is>
      </c>
      <c r="B1433" s="1" t="n">
        <v>45838</v>
      </c>
      <c r="C1433" s="1" t="n">
        <v>45852</v>
      </c>
      <c r="D1433" t="inlineStr">
        <is>
          <t>DALARNAS LÄN</t>
        </is>
      </c>
      <c r="E1433" t="inlineStr">
        <is>
          <t>MALUNG-SÄLEN</t>
        </is>
      </c>
      <c r="F1433" t="inlineStr">
        <is>
          <t>Bergvik skog öst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32570-2025</t>
        </is>
      </c>
      <c r="B1434" s="1" t="n">
        <v>45838</v>
      </c>
      <c r="C1434" s="1" t="n">
        <v>45852</v>
      </c>
      <c r="D1434" t="inlineStr">
        <is>
          <t>DALARNAS LÄN</t>
        </is>
      </c>
      <c r="E1434" t="inlineStr">
        <is>
          <t>MALUNG-SÄLEN</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32935-2025</t>
        </is>
      </c>
      <c r="B1435" s="1" t="n">
        <v>45839</v>
      </c>
      <c r="C1435" s="1" t="n">
        <v>45852</v>
      </c>
      <c r="D1435" t="inlineStr">
        <is>
          <t>DALARNAS LÄN</t>
        </is>
      </c>
      <c r="E1435" t="inlineStr">
        <is>
          <t>MALUNG-SÄLEN</t>
        </is>
      </c>
      <c r="F1435" t="inlineStr">
        <is>
          <t>Kommuner</t>
        </is>
      </c>
      <c r="G1435" t="n">
        <v>12.9</v>
      </c>
      <c r="H1435" t="n">
        <v>0</v>
      </c>
      <c r="I1435" t="n">
        <v>0</v>
      </c>
      <c r="J1435" t="n">
        <v>0</v>
      </c>
      <c r="K1435" t="n">
        <v>0</v>
      </c>
      <c r="L1435" t="n">
        <v>0</v>
      </c>
      <c r="M1435" t="n">
        <v>0</v>
      </c>
      <c r="N1435" t="n">
        <v>0</v>
      </c>
      <c r="O1435" t="n">
        <v>0</v>
      </c>
      <c r="P1435" t="n">
        <v>0</v>
      </c>
      <c r="Q1435" t="n">
        <v>0</v>
      </c>
      <c r="R1435" s="2" t="inlineStr"/>
    </row>
    <row r="1436" ht="15" customHeight="1">
      <c r="A1436" t="inlineStr">
        <is>
          <t>A 32940-2025</t>
        </is>
      </c>
      <c r="B1436" s="1" t="n">
        <v>45839</v>
      </c>
      <c r="C1436" s="1" t="n">
        <v>45852</v>
      </c>
      <c r="D1436" t="inlineStr">
        <is>
          <t>DALARNAS LÄN</t>
        </is>
      </c>
      <c r="E1436" t="inlineStr">
        <is>
          <t>MALUNG-SÄLEN</t>
        </is>
      </c>
      <c r="F1436" t="inlineStr">
        <is>
          <t>Kommuner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32944-2025</t>
        </is>
      </c>
      <c r="B1437" s="1" t="n">
        <v>45839</v>
      </c>
      <c r="C1437" s="1" t="n">
        <v>45852</v>
      </c>
      <c r="D1437" t="inlineStr">
        <is>
          <t>DALARNAS LÄN</t>
        </is>
      </c>
      <c r="E1437" t="inlineStr">
        <is>
          <t>MALUNG-SÄLEN</t>
        </is>
      </c>
      <c r="F1437" t="inlineStr">
        <is>
          <t>Kommuner</t>
        </is>
      </c>
      <c r="G1437" t="n">
        <v>11.3</v>
      </c>
      <c r="H1437" t="n">
        <v>0</v>
      </c>
      <c r="I1437" t="n">
        <v>0</v>
      </c>
      <c r="J1437" t="n">
        <v>0</v>
      </c>
      <c r="K1437" t="n">
        <v>0</v>
      </c>
      <c r="L1437" t="n">
        <v>0</v>
      </c>
      <c r="M1437" t="n">
        <v>0</v>
      </c>
      <c r="N1437" t="n">
        <v>0</v>
      </c>
      <c r="O1437" t="n">
        <v>0</v>
      </c>
      <c r="P1437" t="n">
        <v>0</v>
      </c>
      <c r="Q1437" t="n">
        <v>0</v>
      </c>
      <c r="R1437" s="2" t="inlineStr"/>
    </row>
    <row r="1438" ht="15" customHeight="1">
      <c r="A1438" t="inlineStr">
        <is>
          <t>A 32700-2025</t>
        </is>
      </c>
      <c r="B1438" s="1" t="n">
        <v>45839</v>
      </c>
      <c r="C1438" s="1" t="n">
        <v>45852</v>
      </c>
      <c r="D1438" t="inlineStr">
        <is>
          <t>DALARNAS LÄN</t>
        </is>
      </c>
      <c r="E1438" t="inlineStr">
        <is>
          <t>MALUNG-SÄLEN</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32702-2025</t>
        </is>
      </c>
      <c r="B1439" s="1" t="n">
        <v>45839</v>
      </c>
      <c r="C1439" s="1" t="n">
        <v>45852</v>
      </c>
      <c r="D1439" t="inlineStr">
        <is>
          <t>DALARNAS LÄN</t>
        </is>
      </c>
      <c r="E1439" t="inlineStr">
        <is>
          <t>MALUNG-SÄLEN</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33190-2025</t>
        </is>
      </c>
      <c r="B1440" s="1" t="n">
        <v>45840</v>
      </c>
      <c r="C1440" s="1" t="n">
        <v>45852</v>
      </c>
      <c r="D1440" t="inlineStr">
        <is>
          <t>DALARNAS LÄN</t>
        </is>
      </c>
      <c r="E1440" t="inlineStr">
        <is>
          <t>MALUNG-SÄLEN</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33086-2025</t>
        </is>
      </c>
      <c r="B1441" s="1" t="n">
        <v>45840</v>
      </c>
      <c r="C1441" s="1" t="n">
        <v>45852</v>
      </c>
      <c r="D1441" t="inlineStr">
        <is>
          <t>DALARNAS LÄN</t>
        </is>
      </c>
      <c r="E1441" t="inlineStr">
        <is>
          <t>MALUNG-SÄLEN</t>
        </is>
      </c>
      <c r="F1441" t="inlineStr">
        <is>
          <t>Kommuner</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33306-2025</t>
        </is>
      </c>
      <c r="B1442" s="1" t="n">
        <v>45841</v>
      </c>
      <c r="C1442" s="1" t="n">
        <v>45852</v>
      </c>
      <c r="D1442" t="inlineStr">
        <is>
          <t>DALARNAS LÄN</t>
        </is>
      </c>
      <c r="E1442" t="inlineStr">
        <is>
          <t>MALUNG-SÄLEN</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33647-2025</t>
        </is>
      </c>
      <c r="B1443" s="1" t="n">
        <v>45841</v>
      </c>
      <c r="C1443" s="1" t="n">
        <v>45852</v>
      </c>
      <c r="D1443" t="inlineStr">
        <is>
          <t>DALARNAS LÄN</t>
        </is>
      </c>
      <c r="E1443" t="inlineStr">
        <is>
          <t>MALUNG-SÄLEN</t>
        </is>
      </c>
      <c r="F1443" t="inlineStr">
        <is>
          <t>Övriga statliga verk och myndigheter</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33659-2025</t>
        </is>
      </c>
      <c r="B1444" s="1" t="n">
        <v>45841</v>
      </c>
      <c r="C1444" s="1" t="n">
        <v>45852</v>
      </c>
      <c r="D1444" t="inlineStr">
        <is>
          <t>DALARNAS LÄN</t>
        </is>
      </c>
      <c r="E1444" t="inlineStr">
        <is>
          <t>MALUNG-SÄLEN</t>
        </is>
      </c>
      <c r="F1444" t="inlineStr">
        <is>
          <t>Bergvik skog väst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33403-2025</t>
        </is>
      </c>
      <c r="B1445" s="1" t="n">
        <v>45841</v>
      </c>
      <c r="C1445" s="1" t="n">
        <v>45852</v>
      </c>
      <c r="D1445" t="inlineStr">
        <is>
          <t>DALARNAS LÄN</t>
        </is>
      </c>
      <c r="E1445" t="inlineStr">
        <is>
          <t>MALUNG-SÄLEN</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33680-2025</t>
        </is>
      </c>
      <c r="B1446" s="1" t="n">
        <v>45841</v>
      </c>
      <c r="C1446" s="1" t="n">
        <v>45852</v>
      </c>
      <c r="D1446" t="inlineStr">
        <is>
          <t>DALARNAS LÄN</t>
        </is>
      </c>
      <c r="E1446" t="inlineStr">
        <is>
          <t>MALUNG-SÄLEN</t>
        </is>
      </c>
      <c r="F1446" t="inlineStr">
        <is>
          <t>Bergvik skog väst AB</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33670-2025</t>
        </is>
      </c>
      <c r="B1447" s="1" t="n">
        <v>45841</v>
      </c>
      <c r="C1447" s="1" t="n">
        <v>45852</v>
      </c>
      <c r="D1447" t="inlineStr">
        <is>
          <t>DALARNAS LÄN</t>
        </is>
      </c>
      <c r="E1447" t="inlineStr">
        <is>
          <t>MALUNG-SÄLEN</t>
        </is>
      </c>
      <c r="F1447" t="inlineStr">
        <is>
          <t>Bergvik skog väst AB</t>
        </is>
      </c>
      <c r="G1447" t="n">
        <v>8.5</v>
      </c>
      <c r="H1447" t="n">
        <v>0</v>
      </c>
      <c r="I1447" t="n">
        <v>0</v>
      </c>
      <c r="J1447" t="n">
        <v>0</v>
      </c>
      <c r="K1447" t="n">
        <v>0</v>
      </c>
      <c r="L1447" t="n">
        <v>0</v>
      </c>
      <c r="M1447" t="n">
        <v>0</v>
      </c>
      <c r="N1447" t="n">
        <v>0</v>
      </c>
      <c r="O1447" t="n">
        <v>0</v>
      </c>
      <c r="P1447" t="n">
        <v>0</v>
      </c>
      <c r="Q1447" t="n">
        <v>0</v>
      </c>
      <c r="R1447" s="2" t="inlineStr"/>
    </row>
    <row r="1448" ht="15" customHeight="1">
      <c r="A1448" t="inlineStr">
        <is>
          <t>A 33667-2025</t>
        </is>
      </c>
      <c r="B1448" s="1" t="n">
        <v>45841</v>
      </c>
      <c r="C1448" s="1" t="n">
        <v>45852</v>
      </c>
      <c r="D1448" t="inlineStr">
        <is>
          <t>DALARNAS LÄN</t>
        </is>
      </c>
      <c r="E1448" t="inlineStr">
        <is>
          <t>MALUNG-SÄLEN</t>
        </is>
      </c>
      <c r="F1448" t="inlineStr">
        <is>
          <t>Bergvik skog väst AB</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33880-2025</t>
        </is>
      </c>
      <c r="B1449" s="1" t="n">
        <v>45842</v>
      </c>
      <c r="C1449" s="1" t="n">
        <v>45852</v>
      </c>
      <c r="D1449" t="inlineStr">
        <is>
          <t>DALARNAS LÄN</t>
        </is>
      </c>
      <c r="E1449" t="inlineStr">
        <is>
          <t>MALUNG-SÄLEN</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34255-2025</t>
        </is>
      </c>
      <c r="B1450" s="1" t="n">
        <v>45845</v>
      </c>
      <c r="C1450" s="1" t="n">
        <v>45852</v>
      </c>
      <c r="D1450" t="inlineStr">
        <is>
          <t>DALARNAS LÄN</t>
        </is>
      </c>
      <c r="E1450" t="inlineStr">
        <is>
          <t>MALUNG-SÄLEN</t>
        </is>
      </c>
      <c r="F1450" t="inlineStr">
        <is>
          <t>Kommuner</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34256-2025</t>
        </is>
      </c>
      <c r="B1451" s="1" t="n">
        <v>45845</v>
      </c>
      <c r="C1451" s="1" t="n">
        <v>45852</v>
      </c>
      <c r="D1451" t="inlineStr">
        <is>
          <t>DALARNAS LÄN</t>
        </is>
      </c>
      <c r="E1451" t="inlineStr">
        <is>
          <t>MALUNG-SÄLEN</t>
        </is>
      </c>
      <c r="F1451" t="inlineStr">
        <is>
          <t>Kommuner</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34257-2025</t>
        </is>
      </c>
      <c r="B1452" s="1" t="n">
        <v>45845</v>
      </c>
      <c r="C1452" s="1" t="n">
        <v>45852</v>
      </c>
      <c r="D1452" t="inlineStr">
        <is>
          <t>DALARNAS LÄN</t>
        </is>
      </c>
      <c r="E1452" t="inlineStr">
        <is>
          <t>MALUNG-SÄLEN</t>
        </is>
      </c>
      <c r="F1452" t="inlineStr">
        <is>
          <t>Kommuner</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34378-2025</t>
        </is>
      </c>
      <c r="B1453" s="1" t="n">
        <v>45846</v>
      </c>
      <c r="C1453" s="1" t="n">
        <v>45852</v>
      </c>
      <c r="D1453" t="inlineStr">
        <is>
          <t>DALARNAS LÄN</t>
        </is>
      </c>
      <c r="E1453" t="inlineStr">
        <is>
          <t>MALUNG-SÄLEN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34901-2025</t>
        </is>
      </c>
      <c r="B1454" s="1" t="n">
        <v>45849</v>
      </c>
      <c r="C1454" s="1" t="n">
        <v>45852</v>
      </c>
      <c r="D1454" t="inlineStr">
        <is>
          <t>DALARNAS LÄN</t>
        </is>
      </c>
      <c r="E1454" t="inlineStr">
        <is>
          <t>MALUNG-SÄLEN</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34854-2025</t>
        </is>
      </c>
      <c r="B1455" s="1" t="n">
        <v>45849</v>
      </c>
      <c r="C1455" s="1" t="n">
        <v>45852</v>
      </c>
      <c r="D1455" t="inlineStr">
        <is>
          <t>DALARNAS LÄN</t>
        </is>
      </c>
      <c r="E1455" t="inlineStr">
        <is>
          <t>MALUNG-SÄLEN</t>
        </is>
      </c>
      <c r="F1455" t="inlineStr">
        <is>
          <t>Bergvik skog öst AB</t>
        </is>
      </c>
      <c r="G1455" t="n">
        <v>12.8</v>
      </c>
      <c r="H1455" t="n">
        <v>0</v>
      </c>
      <c r="I1455" t="n">
        <v>0</v>
      </c>
      <c r="J1455" t="n">
        <v>0</v>
      </c>
      <c r="K1455" t="n">
        <v>0</v>
      </c>
      <c r="L1455" t="n">
        <v>0</v>
      </c>
      <c r="M1455" t="n">
        <v>0</v>
      </c>
      <c r="N1455" t="n">
        <v>0</v>
      </c>
      <c r="O1455" t="n">
        <v>0</v>
      </c>
      <c r="P1455" t="n">
        <v>0</v>
      </c>
      <c r="Q1455" t="n">
        <v>0</v>
      </c>
      <c r="R1455" s="2" t="inlineStr"/>
    </row>
    <row r="1456" ht="15" customHeight="1">
      <c r="A1456" t="inlineStr">
        <is>
          <t>A 34894-2025</t>
        </is>
      </c>
      <c r="B1456" s="1" t="n">
        <v>45849</v>
      </c>
      <c r="C1456" s="1" t="n">
        <v>45852</v>
      </c>
      <c r="D1456" t="inlineStr">
        <is>
          <t>DALARNAS LÄN</t>
        </is>
      </c>
      <c r="E1456" t="inlineStr">
        <is>
          <t>MALUNG-SÄLEN</t>
        </is>
      </c>
      <c r="F1456" t="inlineStr">
        <is>
          <t>Bergvik skog väst AB</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34906-2025</t>
        </is>
      </c>
      <c r="B1457" s="1" t="n">
        <v>45849</v>
      </c>
      <c r="C1457" s="1" t="n">
        <v>45852</v>
      </c>
      <c r="D1457" t="inlineStr">
        <is>
          <t>DALARNAS LÄN</t>
        </is>
      </c>
      <c r="E1457" t="inlineStr">
        <is>
          <t>MALUNG-SÄLEN</t>
        </is>
      </c>
      <c r="G1457" t="n">
        <v>1</v>
      </c>
      <c r="H1457" t="n">
        <v>0</v>
      </c>
      <c r="I1457" t="n">
        <v>0</v>
      </c>
      <c r="J1457" t="n">
        <v>0</v>
      </c>
      <c r="K1457" t="n">
        <v>0</v>
      </c>
      <c r="L1457" t="n">
        <v>0</v>
      </c>
      <c r="M1457" t="n">
        <v>0</v>
      </c>
      <c r="N1457" t="n">
        <v>0</v>
      </c>
      <c r="O1457" t="n">
        <v>0</v>
      </c>
      <c r="P1457" t="n">
        <v>0</v>
      </c>
      <c r="Q1457" t="n">
        <v>0</v>
      </c>
      <c r="R1457" s="2" t="inlineStr"/>
    </row>
    <row r="1458">
      <c r="A1458" t="inlineStr">
        <is>
          <t>A 34898-2025</t>
        </is>
      </c>
      <c r="B1458" s="1" t="n">
        <v>45849</v>
      </c>
      <c r="C1458" s="1" t="n">
        <v>45852</v>
      </c>
      <c r="D1458" t="inlineStr">
        <is>
          <t>DALARNAS LÄN</t>
        </is>
      </c>
      <c r="E1458" t="inlineStr">
        <is>
          <t>MALUNG-SÄLEN</t>
        </is>
      </c>
      <c r="G1458" t="n">
        <v>1.5</v>
      </c>
      <c r="H1458" t="n">
        <v>0</v>
      </c>
      <c r="I1458" t="n">
        <v>0</v>
      </c>
      <c r="J1458" t="n">
        <v>0</v>
      </c>
      <c r="K1458" t="n">
        <v>0</v>
      </c>
      <c r="L1458" t="n">
        <v>0</v>
      </c>
      <c r="M1458" t="n">
        <v>0</v>
      </c>
      <c r="N1458" t="n">
        <v>0</v>
      </c>
      <c r="O1458" t="n">
        <v>0</v>
      </c>
      <c r="P1458" t="n">
        <v>0</v>
      </c>
      <c r="Q1458" t="n">
        <v>0</v>
      </c>
      <c r="R1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2025-07-14T19:44:01Z</dcterms:created>
  <dcterms:modified xmlns:dcterms="http://purl.org/dc/terms/" xmlns:xsi="http://www.w3.org/2001/XMLSchema-instance" xsi:type="dcterms:W3CDTF">2025-07-14T19:44:02Z</dcterms:modified>
</cp:coreProperties>
</file>